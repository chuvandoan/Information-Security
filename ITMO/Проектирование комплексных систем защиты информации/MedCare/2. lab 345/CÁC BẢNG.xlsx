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ẢNG 12" sheetId="1" r:id="rId4"/>
    <sheet state="visible" name="BẢNG 14" sheetId="2" r:id="rId5"/>
  </sheets>
  <definedNames/>
  <calcPr/>
  <extLst>
    <ext uri="GoogleSheetsCustomDataVersion2">
      <go:sheetsCustomData xmlns:go="http://customooxmlschemas.google.com/" r:id="rId6" roundtripDataChecksum="knwtqD9LZpTpnfQYArsOExazbJWAx8SMN8JEVZTBHLY="/>
    </ext>
  </extLst>
</workbook>
</file>

<file path=xl/sharedStrings.xml><?xml version="1.0" encoding="utf-8"?>
<sst xmlns="http://schemas.openxmlformats.org/spreadsheetml/2006/main" count="14" uniqueCount="14">
  <si>
    <t>Средства видеонаблюдения</t>
  </si>
  <si>
    <t>Средства системы контроля доступа</t>
  </si>
  <si>
    <t>Средства пожарно-охранной сигнализации</t>
  </si>
  <si>
    <t>Итоговая стоимость КСЗИ</t>
  </si>
  <si>
    <t xml:space="preserve">
Организационно-правовая защита информации
</t>
  </si>
  <si>
    <t>BẢNG 6</t>
  </si>
  <si>
    <t xml:space="preserve">
Программно-аппаратная защита информации
</t>
  </si>
  <si>
    <t>BẢNG 7</t>
  </si>
  <si>
    <t xml:space="preserve">
Инженерно-техническая защита информации
</t>
  </si>
  <si>
    <t>BẢNG 8</t>
  </si>
  <si>
    <t xml:space="preserve">
Технические средства охраны
</t>
  </si>
  <si>
    <t>BẢNG 12</t>
  </si>
  <si>
    <t xml:space="preserve">
Криптографическая защита
</t>
  </si>
  <si>
    <t>BẢNG 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</si>
</sst>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2.0"/>
      <color theme="1"/>
      <name val="Times New Roma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4.5"/>
    <col customWidth="1" min="2" max="2" width="32.0"/>
    <col customWidth="1" min="3" max="3" width="37.63"/>
    <col customWidth="1" min="4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>
        <f>22*8750</f>
        <v>192500</v>
      </c>
      <c r="B2" s="1">
        <f>24*2700</f>
        <v>64800</v>
      </c>
      <c r="C2" s="1">
        <f>45*2268</f>
        <v>102060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>
        <f>2*12800</f>
        <v>25600</v>
      </c>
      <c r="B3" s="1">
        <f>12*1600</f>
        <v>19200</v>
      </c>
      <c r="C3" s="1">
        <f>4*2101</f>
        <v>8404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>
        <f>2*6560</f>
        <v>13120</v>
      </c>
      <c r="B4" s="1">
        <f>1*1700</f>
        <v>1700</v>
      </c>
      <c r="C4" s="1">
        <f>4*824</f>
        <v>3296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1">
        <f>12*4300</f>
        <v>51600</v>
      </c>
      <c r="C5" s="1">
        <f>27*1375</f>
        <v>37125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>
        <f>A2+A3+A4</f>
        <v>231220</v>
      </c>
      <c r="B8" s="1">
        <f t="shared" ref="B8:C8" si="1">sum(B2:B6)</f>
        <v>137300</v>
      </c>
      <c r="C8" s="1">
        <f t="shared" si="1"/>
        <v>150885</v>
      </c>
      <c r="D8" s="1">
        <f>sum(A8:C8)</f>
        <v>519405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1.38"/>
    <col customWidth="1" min="2" max="2" width="9.13"/>
    <col customWidth="1" min="3" max="3" width="7.0"/>
    <col customWidth="1" min="4" max="6" width="12.63"/>
  </cols>
  <sheetData>
    <row r="1" ht="15.75" customHeight="1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2" t="s">
        <v>4</v>
      </c>
      <c r="B3" s="2" t="s">
        <v>5</v>
      </c>
      <c r="C3" s="2">
        <v>170000.0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2" t="s">
        <v>6</v>
      </c>
      <c r="B4" s="2" t="s">
        <v>7</v>
      </c>
      <c r="C4" s="2">
        <v>114361.0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2" t="s">
        <v>8</v>
      </c>
      <c r="B5" s="2" t="s">
        <v>9</v>
      </c>
      <c r="C5" s="2">
        <v>66200.0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2" t="s">
        <v>10</v>
      </c>
      <c r="B6" s="2" t="s">
        <v>11</v>
      </c>
      <c r="C6" s="2">
        <v>519405.0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2" t="s">
        <v>12</v>
      </c>
      <c r="B7" s="2" t="s">
        <v>13</v>
      </c>
      <c r="C7" s="2">
        <v>16000.0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3"/>
      <c r="B8" s="3"/>
      <c r="C8" s="2">
        <f>sum(C3:C7)</f>
        <v>885966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