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ẢNG 3" sheetId="2" r:id="rId5"/>
    <sheet state="visible" name="Lương" sheetId="3" r:id="rId6"/>
    <sheet state="visible" name="BẢNG 16" sheetId="4" r:id="rId7"/>
  </sheets>
  <definedNames>
    <definedName localSheetId="2" name="_Hlk153921164">'Lương'!$D$14</definedName>
    <definedName localSheetId="2" name="_Hlk153921243">'Lương'!$D$21</definedName>
    <definedName localSheetId="2" name="_Hlk153921200">'Lương'!$D$19</definedName>
  </definedNames>
  <calcPr/>
  <extLst>
    <ext uri="GoogleSheetsCustomDataVersion2">
      <go:sheetsCustomData xmlns:go="http://customooxmlschemas.google.com/" r:id="rId8" roundtripDataChecksum="ADA1Rdr/lYgCEwda0zSuyX3uugYM1wfbMu/Ob6czTgg="/>
    </ext>
  </extLst>
</workbook>
</file>

<file path=xl/sharedStrings.xml><?xml version="1.0" encoding="utf-8"?>
<sst xmlns="http://schemas.openxmlformats.org/spreadsheetml/2006/main" count="102" uniqueCount="51">
  <si>
    <t>Эксперт</t>
  </si>
  <si>
    <t>Среднее</t>
  </si>
  <si>
    <t>CV</t>
  </si>
  <si>
    <t>sx xay ra</t>
  </si>
  <si>
    <t>Tiền</t>
  </si>
  <si>
    <t>Sau</t>
  </si>
  <si>
    <t>Директор</t>
  </si>
  <si>
    <t>УБИ.003</t>
  </si>
  <si>
    <t>заместители директора</t>
  </si>
  <si>
    <t>УБИ.014</t>
  </si>
  <si>
    <t>бухгалтер</t>
  </si>
  <si>
    <t>УБИ.019</t>
  </si>
  <si>
    <t>врачи</t>
  </si>
  <si>
    <t>УБИ.027</t>
  </si>
  <si>
    <t>медсестры</t>
  </si>
  <si>
    <t>УБИ.031</t>
  </si>
  <si>
    <t>административный персонал и технические специалисты</t>
  </si>
  <si>
    <t>УБИ.033</t>
  </si>
  <si>
    <t>охранника</t>
  </si>
  <si>
    <t>УБИ.067</t>
  </si>
  <si>
    <t>Tổng lương phải trả</t>
  </si>
  <si>
    <t>УБИ.069</t>
  </si>
  <si>
    <t>УБИ.073</t>
  </si>
  <si>
    <t>УБИ.104</t>
  </si>
  <si>
    <t>УБИ.156</t>
  </si>
  <si>
    <t>Угроза использования слабостей криптографических алгоритмов и уязвимостей в программном обеспечении их реализации</t>
  </si>
  <si>
    <t>УБИ.006</t>
  </si>
  <si>
    <t>Угроза длительного удержания вычислительных ресурсов пользователями</t>
  </si>
  <si>
    <t>bảng 14</t>
  </si>
  <si>
    <t>lquan đến kết luận</t>
  </si>
  <si>
    <t>УБИ.083</t>
  </si>
  <si>
    <t>Угроза заражения DNS-кеша</t>
  </si>
  <si>
    <t>УБИ.139</t>
  </si>
  <si>
    <t>Угроза искажения вводимой и выводимой на периферийные устройства информации</t>
  </si>
  <si>
    <t>УБИ.175</t>
  </si>
  <si>
    <t>Угроза использования механизмов авторизации для повышения привилегий</t>
  </si>
  <si>
    <t>УБИ.189</t>
  </si>
  <si>
    <t>Угроза использования слабостей кодирования входных данных</t>
  </si>
  <si>
    <t>Угроза неправомерного ознакомления с защищаемой информацией</t>
  </si>
  <si>
    <t>Угроза неправомерных действий в каналах связи</t>
  </si>
  <si>
    <t>общей стоимости КСЗИ + пусконаладочные работы, указанной в п.6.6 и рассчитанной как</t>
  </si>
  <si>
    <t>Угроза несанкционированного доступа к активному и (или) пассивному виртуальному и (или) физическому сетевому оборудованию из физической и (или) виртуальной сети</t>
  </si>
  <si>
    <t>Угроза определения топологии вычислительной сети</t>
  </si>
  <si>
    <t>Угроза утраты носителей информации</t>
  </si>
  <si>
    <t>Угроза внедрения кода или данных </t>
  </si>
  <si>
    <t>Угроза несанкционированного доступа к системе по беспроводным каналам</t>
  </si>
  <si>
    <t>Угроза преодоления физической защиты </t>
  </si>
  <si>
    <t>Угроза «фишинга» </t>
  </si>
  <si>
    <t>Угроза маскирования действий вредоносного кода </t>
  </si>
  <si>
    <t>Риск до внедрения КСЗИ (руб.)</t>
  </si>
  <si>
    <t xml:space="preserve">
Риск после внедрения КСЗИ (руб.)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</si>
</sst>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rgb="FF000000"/>
      <name val="'Times New Roman'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ВЕРОЯТНОСТЬ РЕАЛИЗАЦИИ УБИ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'Lương'!$C$12:$C$27</c:f>
            </c:strRef>
          </c:cat>
          <c:val>
            <c:numRef>
              <c:f>'Lương'!$E$12:$E$27</c:f>
              <c:numCache/>
            </c:numRef>
          </c:val>
        </c:ser>
        <c:axId val="1797178603"/>
        <c:axId val="2012400522"/>
      </c:barChart>
      <c:catAx>
        <c:axId val="1797178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Угроз безопасности информации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2400522"/>
      </c:catAx>
      <c:valAx>
        <c:axId val="2012400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Вероятность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717860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ИТОГОВАЯ ОЦЕНКА РИСКОВ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'Lương'!$P$1:$P$16</c:f>
            </c:strRef>
          </c:cat>
          <c:val>
            <c:numRef>
              <c:f>'Lương'!$Q$1:$Q$16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'Lương'!$P$1:$P$16</c:f>
            </c:strRef>
          </c:cat>
          <c:val>
            <c:numRef>
              <c:f>'Lương'!$T$1:$T$16</c:f>
              <c:numCache/>
            </c:numRef>
          </c:val>
        </c:ser>
        <c:axId val="55203079"/>
        <c:axId val="761825961"/>
      </c:barChart>
      <c:catAx>
        <c:axId val="55203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Угроз безопасности информации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1825961"/>
      </c:catAx>
      <c:valAx>
        <c:axId val="761825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Ущерб (руб.)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20307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Итоговая оценка рисков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Вероятность УБИ до применения КСЗИ (%)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'Lương'!$W$1:$W$16</c:f>
            </c:strRef>
          </c:cat>
          <c:val>
            <c:numRef>
              <c:f>'Lương'!$X$1:$X$16</c:f>
              <c:numCache/>
            </c:numRef>
          </c:val>
        </c:ser>
        <c:ser>
          <c:idx val="1"/>
          <c:order val="1"/>
          <c:tx>
            <c:v>Вероятность УБИ после применения КСЗИ (%)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'Lương'!$W$1:$W$16</c:f>
            </c:strRef>
          </c:cat>
          <c:val>
            <c:numRef>
              <c:f>'Lương'!$Y$1:$Y$16</c:f>
              <c:numCache/>
            </c:numRef>
          </c:val>
        </c:ser>
        <c:axId val="875184147"/>
        <c:axId val="919309655"/>
      </c:barChart>
      <c:catAx>
        <c:axId val="875184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Угроз безопасности информации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9309655"/>
      </c:catAx>
      <c:valAx>
        <c:axId val="919309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Вероятность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51841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28</xdr:row>
      <xdr:rowOff>66675</xdr:rowOff>
    </xdr:from>
    <xdr:ext cx="10029825" cy="4667250"/>
    <xdr:graphicFrame>
      <xdr:nvGraphicFramePr>
        <xdr:cNvPr id="100762839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276225</xdr:colOff>
      <xdr:row>18</xdr:row>
      <xdr:rowOff>142875</xdr:rowOff>
    </xdr:from>
    <xdr:ext cx="8410575" cy="5581650"/>
    <xdr:graphicFrame>
      <xdr:nvGraphicFramePr>
        <xdr:cNvPr id="183441610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542925</xdr:colOff>
      <xdr:row>4</xdr:row>
      <xdr:rowOff>0</xdr:rowOff>
    </xdr:from>
    <xdr:ext cx="9324975" cy="4972050"/>
    <xdr:graphicFrame>
      <xdr:nvGraphicFramePr>
        <xdr:cNvPr id="212109133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>
        <v>3.0</v>
      </c>
      <c r="C1" s="1">
        <v>14.0</v>
      </c>
      <c r="D1" s="1">
        <v>19.0</v>
      </c>
      <c r="E1" s="1">
        <v>27.0</v>
      </c>
      <c r="F1" s="1">
        <v>31.0</v>
      </c>
      <c r="G1" s="1">
        <v>33.0</v>
      </c>
      <c r="H1" s="1">
        <v>67.0</v>
      </c>
      <c r="I1" s="1">
        <v>69.0</v>
      </c>
      <c r="J1" s="1">
        <v>73.0</v>
      </c>
      <c r="K1" s="1">
        <v>104.0</v>
      </c>
      <c r="L1" s="1">
        <v>156.0</v>
      </c>
      <c r="M1" s="1">
        <v>6.0</v>
      </c>
      <c r="N1" s="1">
        <v>83.0</v>
      </c>
      <c r="O1" s="1">
        <v>139.0</v>
      </c>
      <c r="P1" s="1">
        <v>175.0</v>
      </c>
      <c r="Q1" s="1">
        <v>189.0</v>
      </c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f t="shared" ref="B2:Q2" si="1">RANDBETWEEN(B$10-5,B$10+5)</f>
        <v>9</v>
      </c>
      <c r="C2" s="1">
        <f t="shared" si="1"/>
        <v>15</v>
      </c>
      <c r="D2" s="1">
        <f t="shared" si="1"/>
        <v>9</v>
      </c>
      <c r="E2" s="1">
        <f t="shared" si="1"/>
        <v>13</v>
      </c>
      <c r="F2" s="1">
        <f t="shared" si="1"/>
        <v>6</v>
      </c>
      <c r="G2" s="1">
        <f t="shared" si="1"/>
        <v>19</v>
      </c>
      <c r="H2" s="1">
        <f t="shared" si="1"/>
        <v>14</v>
      </c>
      <c r="I2" s="1">
        <f t="shared" si="1"/>
        <v>18</v>
      </c>
      <c r="J2" s="1">
        <f t="shared" si="1"/>
        <v>17</v>
      </c>
      <c r="K2" s="1">
        <f t="shared" si="1"/>
        <v>23</v>
      </c>
      <c r="L2" s="1">
        <f t="shared" si="1"/>
        <v>17</v>
      </c>
      <c r="M2" s="1">
        <f t="shared" si="1"/>
        <v>17</v>
      </c>
      <c r="N2" s="1">
        <f t="shared" si="1"/>
        <v>26</v>
      </c>
      <c r="O2" s="1">
        <f t="shared" si="1"/>
        <v>29</v>
      </c>
      <c r="P2" s="1">
        <f t="shared" si="1"/>
        <v>17</v>
      </c>
      <c r="Q2" s="1">
        <f t="shared" si="1"/>
        <v>31</v>
      </c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f t="shared" ref="B3:Q3" si="2">RANDBETWEEN(B$10-5,B$10+5)</f>
        <v>15</v>
      </c>
      <c r="C3" s="1">
        <f t="shared" si="2"/>
        <v>9</v>
      </c>
      <c r="D3" s="1">
        <f t="shared" si="2"/>
        <v>13</v>
      </c>
      <c r="E3" s="1">
        <f t="shared" si="2"/>
        <v>17</v>
      </c>
      <c r="F3" s="1">
        <f t="shared" si="2"/>
        <v>9</v>
      </c>
      <c r="G3" s="1">
        <f t="shared" si="2"/>
        <v>18</v>
      </c>
      <c r="H3" s="1">
        <f t="shared" si="2"/>
        <v>20</v>
      </c>
      <c r="I3" s="1">
        <f t="shared" si="2"/>
        <v>22</v>
      </c>
      <c r="J3" s="1">
        <f t="shared" si="2"/>
        <v>20</v>
      </c>
      <c r="K3" s="1">
        <f t="shared" si="2"/>
        <v>23</v>
      </c>
      <c r="L3" s="1">
        <f t="shared" si="2"/>
        <v>9</v>
      </c>
      <c r="M3" s="1">
        <f t="shared" si="2"/>
        <v>18</v>
      </c>
      <c r="N3" s="1">
        <f t="shared" si="2"/>
        <v>33</v>
      </c>
      <c r="O3" s="1">
        <f t="shared" si="2"/>
        <v>28</v>
      </c>
      <c r="P3" s="1">
        <f t="shared" si="2"/>
        <v>17</v>
      </c>
      <c r="Q3" s="1">
        <f t="shared" si="2"/>
        <v>35</v>
      </c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f t="shared" ref="B4:Q4" si="3">RANDBETWEEN(B$10-5,B$10+5)</f>
        <v>7</v>
      </c>
      <c r="C4" s="1">
        <f t="shared" si="3"/>
        <v>10</v>
      </c>
      <c r="D4" s="1">
        <f t="shared" si="3"/>
        <v>10</v>
      </c>
      <c r="E4" s="1">
        <f t="shared" si="3"/>
        <v>20</v>
      </c>
      <c r="F4" s="1">
        <f t="shared" si="3"/>
        <v>13</v>
      </c>
      <c r="G4" s="1">
        <f t="shared" si="3"/>
        <v>23</v>
      </c>
      <c r="H4" s="1">
        <f t="shared" si="3"/>
        <v>11</v>
      </c>
      <c r="I4" s="1">
        <f t="shared" si="3"/>
        <v>19</v>
      </c>
      <c r="J4" s="1">
        <f t="shared" si="3"/>
        <v>14</v>
      </c>
      <c r="K4" s="1">
        <f t="shared" si="3"/>
        <v>16</v>
      </c>
      <c r="L4" s="1">
        <f t="shared" si="3"/>
        <v>12</v>
      </c>
      <c r="M4" s="1">
        <f t="shared" si="3"/>
        <v>17</v>
      </c>
      <c r="N4" s="1">
        <f t="shared" si="3"/>
        <v>25</v>
      </c>
      <c r="O4" s="1">
        <f t="shared" si="3"/>
        <v>24</v>
      </c>
      <c r="P4" s="1">
        <f t="shared" si="3"/>
        <v>21</v>
      </c>
      <c r="Q4" s="1">
        <f t="shared" si="3"/>
        <v>36</v>
      </c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>
        <f t="shared" ref="B5:Q5" si="4">RANDBETWEEN(B$10-5,B$10+5)</f>
        <v>5</v>
      </c>
      <c r="C5" s="1">
        <f t="shared" si="4"/>
        <v>15</v>
      </c>
      <c r="D5" s="1">
        <f t="shared" si="4"/>
        <v>18</v>
      </c>
      <c r="E5" s="1">
        <f t="shared" si="4"/>
        <v>18</v>
      </c>
      <c r="F5" s="1">
        <f t="shared" si="4"/>
        <v>15</v>
      </c>
      <c r="G5" s="1">
        <f t="shared" si="4"/>
        <v>21</v>
      </c>
      <c r="H5" s="1">
        <f t="shared" si="4"/>
        <v>18</v>
      </c>
      <c r="I5" s="1">
        <f t="shared" si="4"/>
        <v>20</v>
      </c>
      <c r="J5" s="1">
        <f t="shared" si="4"/>
        <v>13</v>
      </c>
      <c r="K5" s="1">
        <f t="shared" si="4"/>
        <v>17</v>
      </c>
      <c r="L5" s="1">
        <f t="shared" si="4"/>
        <v>15</v>
      </c>
      <c r="M5" s="1">
        <f t="shared" si="4"/>
        <v>18</v>
      </c>
      <c r="N5" s="1">
        <f t="shared" si="4"/>
        <v>27</v>
      </c>
      <c r="O5" s="1">
        <f t="shared" si="4"/>
        <v>21</v>
      </c>
      <c r="P5" s="1">
        <f t="shared" si="4"/>
        <v>16</v>
      </c>
      <c r="Q5" s="1">
        <f t="shared" si="4"/>
        <v>27</v>
      </c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>
        <f t="shared" ref="B6:Q6" si="5">RANDBETWEEN(B$10-5,B$10+5)</f>
        <v>6</v>
      </c>
      <c r="C6" s="1">
        <f t="shared" si="5"/>
        <v>13</v>
      </c>
      <c r="D6" s="1">
        <f t="shared" si="5"/>
        <v>12</v>
      </c>
      <c r="E6" s="1">
        <f t="shared" si="5"/>
        <v>17</v>
      </c>
      <c r="F6" s="1">
        <f t="shared" si="5"/>
        <v>14</v>
      </c>
      <c r="G6" s="1">
        <f t="shared" si="5"/>
        <v>22</v>
      </c>
      <c r="H6" s="1">
        <f t="shared" si="5"/>
        <v>18</v>
      </c>
      <c r="I6" s="1">
        <f t="shared" si="5"/>
        <v>18</v>
      </c>
      <c r="J6" s="1">
        <f t="shared" si="5"/>
        <v>12</v>
      </c>
      <c r="K6" s="1">
        <f t="shared" si="5"/>
        <v>15</v>
      </c>
      <c r="L6" s="1">
        <f t="shared" si="5"/>
        <v>17</v>
      </c>
      <c r="M6" s="1">
        <f t="shared" si="5"/>
        <v>20</v>
      </c>
      <c r="N6" s="1">
        <f t="shared" si="5"/>
        <v>26</v>
      </c>
      <c r="O6" s="1">
        <f t="shared" si="5"/>
        <v>23</v>
      </c>
      <c r="P6" s="1">
        <f t="shared" si="5"/>
        <v>20</v>
      </c>
      <c r="Q6" s="1">
        <f t="shared" si="5"/>
        <v>33</v>
      </c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</v>
      </c>
      <c r="B7" s="1">
        <f t="shared" ref="B7:Q7" si="6">AVERAGE(B2:B6)</f>
        <v>8.4</v>
      </c>
      <c r="C7" s="1">
        <f t="shared" si="6"/>
        <v>12.4</v>
      </c>
      <c r="D7" s="1">
        <f t="shared" si="6"/>
        <v>12.4</v>
      </c>
      <c r="E7" s="1">
        <f t="shared" si="6"/>
        <v>17</v>
      </c>
      <c r="F7" s="1">
        <f t="shared" si="6"/>
        <v>11.4</v>
      </c>
      <c r="G7" s="1">
        <f t="shared" si="6"/>
        <v>20.6</v>
      </c>
      <c r="H7" s="1">
        <f t="shared" si="6"/>
        <v>16.2</v>
      </c>
      <c r="I7" s="1">
        <f t="shared" si="6"/>
        <v>19.4</v>
      </c>
      <c r="J7" s="1">
        <f t="shared" si="6"/>
        <v>15.2</v>
      </c>
      <c r="K7" s="1">
        <f t="shared" si="6"/>
        <v>18.8</v>
      </c>
      <c r="L7" s="1">
        <f t="shared" si="6"/>
        <v>14</v>
      </c>
      <c r="M7" s="1">
        <f t="shared" si="6"/>
        <v>18</v>
      </c>
      <c r="N7" s="1">
        <f t="shared" si="6"/>
        <v>27.4</v>
      </c>
      <c r="O7" s="1">
        <f t="shared" si="6"/>
        <v>25</v>
      </c>
      <c r="P7" s="1">
        <f t="shared" si="6"/>
        <v>18.2</v>
      </c>
      <c r="Q7" s="1">
        <f t="shared" si="6"/>
        <v>32.4</v>
      </c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</v>
      </c>
      <c r="B8" s="1">
        <f t="shared" ref="B8:Q8" si="7">ROUND(100*STDEV(B2:B6)/B7,1)</f>
        <v>47.3</v>
      </c>
      <c r="C8" s="1">
        <f t="shared" si="7"/>
        <v>22.5</v>
      </c>
      <c r="D8" s="1">
        <f t="shared" si="7"/>
        <v>28.3</v>
      </c>
      <c r="E8" s="1">
        <f t="shared" si="7"/>
        <v>15</v>
      </c>
      <c r="F8" s="1">
        <f t="shared" si="7"/>
        <v>33.2</v>
      </c>
      <c r="G8" s="1">
        <f t="shared" si="7"/>
        <v>10.1</v>
      </c>
      <c r="H8" s="1">
        <f t="shared" si="7"/>
        <v>22.4</v>
      </c>
      <c r="I8" s="1">
        <f t="shared" si="7"/>
        <v>8.6</v>
      </c>
      <c r="J8" s="1">
        <f t="shared" si="7"/>
        <v>21.5</v>
      </c>
      <c r="K8" s="1">
        <f t="shared" si="7"/>
        <v>20.7</v>
      </c>
      <c r="L8" s="1">
        <f t="shared" si="7"/>
        <v>24.7</v>
      </c>
      <c r="M8" s="1">
        <f t="shared" si="7"/>
        <v>6.8</v>
      </c>
      <c r="N8" s="1">
        <f t="shared" si="7"/>
        <v>11.7</v>
      </c>
      <c r="O8" s="1">
        <f t="shared" si="7"/>
        <v>13.6</v>
      </c>
      <c r="P8" s="1">
        <f t="shared" si="7"/>
        <v>11.9</v>
      </c>
      <c r="Q8" s="1">
        <f t="shared" si="7"/>
        <v>11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3</v>
      </c>
      <c r="B10" s="2">
        <v>10.0</v>
      </c>
      <c r="C10" s="2">
        <v>11.0</v>
      </c>
      <c r="D10" s="2">
        <v>13.0</v>
      </c>
      <c r="E10" s="2">
        <v>15.0</v>
      </c>
      <c r="F10" s="2">
        <v>11.0</v>
      </c>
      <c r="G10" s="2">
        <v>20.0</v>
      </c>
      <c r="H10" s="2">
        <v>15.0</v>
      </c>
      <c r="I10" s="2">
        <v>21.0</v>
      </c>
      <c r="J10" s="2">
        <v>17.0</v>
      </c>
      <c r="K10" s="2">
        <v>19.0</v>
      </c>
      <c r="L10" s="2">
        <v>14.0</v>
      </c>
      <c r="M10" s="2">
        <v>20.0</v>
      </c>
      <c r="N10" s="2">
        <v>30.0</v>
      </c>
      <c r="O10" s="2">
        <v>24.0</v>
      </c>
      <c r="P10" s="2">
        <v>21.0</v>
      </c>
      <c r="Q10" s="2">
        <v>32.0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3.14"/>
    <col customWidth="1" min="3" max="3" width="8.71"/>
    <col customWidth="1" min="4" max="4" width="11.43"/>
    <col customWidth="1" min="5" max="8" width="8.71"/>
    <col customWidth="1" min="9" max="9" width="10.86"/>
    <col customWidth="1" min="10" max="17" width="8.71"/>
    <col customWidth="1" min="18" max="18" width="10.0"/>
    <col customWidth="1" min="19" max="26" width="8.71"/>
  </cols>
  <sheetData>
    <row r="1">
      <c r="A1" s="3" t="s">
        <v>0</v>
      </c>
      <c r="B1" s="3">
        <v>3.0</v>
      </c>
      <c r="C1" s="3">
        <v>14.0</v>
      </c>
      <c r="D1" s="3">
        <v>19.0</v>
      </c>
      <c r="E1" s="3">
        <v>27.0</v>
      </c>
      <c r="F1" s="3">
        <v>31.0</v>
      </c>
      <c r="G1" s="3">
        <v>33.0</v>
      </c>
      <c r="H1" s="3">
        <v>67.0</v>
      </c>
      <c r="I1" s="3">
        <v>69.0</v>
      </c>
      <c r="J1" s="3">
        <v>73.0</v>
      </c>
      <c r="K1" s="3">
        <v>104.0</v>
      </c>
      <c r="L1" s="3">
        <v>156.0</v>
      </c>
      <c r="M1" s="3">
        <v>6.0</v>
      </c>
      <c r="N1" s="3">
        <v>83.0</v>
      </c>
      <c r="O1" s="3">
        <v>139.0</v>
      </c>
      <c r="P1" s="3">
        <v>175.0</v>
      </c>
      <c r="Q1" s="3">
        <v>189.0</v>
      </c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1.0</v>
      </c>
      <c r="B2" s="3">
        <v>11.0</v>
      </c>
      <c r="C2" s="3">
        <v>16.0</v>
      </c>
      <c r="D2" s="3">
        <v>14.0</v>
      </c>
      <c r="E2" s="3">
        <v>15.0</v>
      </c>
      <c r="F2" s="3">
        <v>9.0</v>
      </c>
      <c r="G2" s="3">
        <v>25.0</v>
      </c>
      <c r="H2" s="3">
        <v>12.0</v>
      </c>
      <c r="I2" s="3">
        <v>26.0</v>
      </c>
      <c r="J2" s="3">
        <v>17.0</v>
      </c>
      <c r="K2" s="3">
        <v>14.0</v>
      </c>
      <c r="L2" s="3">
        <v>19.0</v>
      </c>
      <c r="M2" s="3">
        <v>18.0</v>
      </c>
      <c r="N2" s="3">
        <v>33.0</v>
      </c>
      <c r="O2" s="3">
        <v>21.0</v>
      </c>
      <c r="P2" s="3">
        <v>25.0</v>
      </c>
      <c r="Q2" s="3">
        <v>30.0</v>
      </c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2.0</v>
      </c>
      <c r="B3" s="3">
        <v>13.0</v>
      </c>
      <c r="C3" s="3">
        <v>7.0</v>
      </c>
      <c r="D3" s="3">
        <v>10.0</v>
      </c>
      <c r="E3" s="3">
        <v>14.0</v>
      </c>
      <c r="F3" s="3">
        <v>16.0</v>
      </c>
      <c r="G3" s="3">
        <v>18.0</v>
      </c>
      <c r="H3" s="3">
        <v>19.0</v>
      </c>
      <c r="I3" s="3">
        <v>16.0</v>
      </c>
      <c r="J3" s="3">
        <v>20.0</v>
      </c>
      <c r="K3" s="3">
        <v>15.0</v>
      </c>
      <c r="L3" s="3">
        <v>17.0</v>
      </c>
      <c r="M3" s="3">
        <v>19.0</v>
      </c>
      <c r="N3" s="3">
        <v>28.0</v>
      </c>
      <c r="O3" s="3">
        <v>26.0</v>
      </c>
      <c r="P3" s="3">
        <v>20.0</v>
      </c>
      <c r="Q3" s="3">
        <v>34.0</v>
      </c>
      <c r="R3" s="3"/>
      <c r="S3" s="3"/>
      <c r="T3" s="3"/>
      <c r="U3" s="3"/>
      <c r="V3" s="3"/>
      <c r="W3" s="3"/>
      <c r="X3" s="3"/>
      <c r="Y3" s="3"/>
      <c r="Z3" s="3"/>
    </row>
    <row r="4">
      <c r="A4" s="3">
        <v>3.0</v>
      </c>
      <c r="B4" s="3">
        <v>8.0</v>
      </c>
      <c r="C4" s="3">
        <v>13.0</v>
      </c>
      <c r="D4" s="3">
        <v>16.0</v>
      </c>
      <c r="E4" s="3">
        <v>17.0</v>
      </c>
      <c r="F4" s="3">
        <v>7.0</v>
      </c>
      <c r="G4" s="3">
        <v>15.0</v>
      </c>
      <c r="H4" s="3">
        <v>19.0</v>
      </c>
      <c r="I4" s="3">
        <v>16.0</v>
      </c>
      <c r="J4" s="3">
        <v>18.0</v>
      </c>
      <c r="K4" s="3">
        <v>20.0</v>
      </c>
      <c r="L4" s="3">
        <v>10.0</v>
      </c>
      <c r="M4" s="3">
        <v>21.0</v>
      </c>
      <c r="N4" s="3">
        <v>34.0</v>
      </c>
      <c r="O4" s="3">
        <v>19.0</v>
      </c>
      <c r="P4" s="3">
        <v>22.0</v>
      </c>
      <c r="Q4" s="3">
        <v>30.0</v>
      </c>
      <c r="R4" s="3"/>
      <c r="S4" s="3"/>
      <c r="T4" s="3"/>
      <c r="U4" s="3"/>
      <c r="V4" s="3"/>
      <c r="W4" s="3"/>
      <c r="X4" s="3"/>
      <c r="Y4" s="3"/>
      <c r="Z4" s="3"/>
    </row>
    <row r="5">
      <c r="A5" s="3">
        <v>4.0</v>
      </c>
      <c r="B5" s="3">
        <v>12.0</v>
      </c>
      <c r="C5" s="3">
        <v>10.0</v>
      </c>
      <c r="D5" s="3">
        <v>10.0</v>
      </c>
      <c r="E5" s="3">
        <v>18.0</v>
      </c>
      <c r="F5" s="3">
        <v>7.0</v>
      </c>
      <c r="G5" s="3">
        <v>21.0</v>
      </c>
      <c r="H5" s="3">
        <v>13.0</v>
      </c>
      <c r="I5" s="3">
        <v>18.0</v>
      </c>
      <c r="J5" s="3">
        <v>20.0</v>
      </c>
      <c r="K5" s="3">
        <v>20.0</v>
      </c>
      <c r="L5" s="3">
        <v>14.0</v>
      </c>
      <c r="M5" s="3">
        <v>22.0</v>
      </c>
      <c r="N5" s="3">
        <v>27.0</v>
      </c>
      <c r="O5" s="3">
        <v>25.0</v>
      </c>
      <c r="P5" s="3">
        <v>23.0</v>
      </c>
      <c r="Q5" s="3">
        <v>32.0</v>
      </c>
      <c r="R5" s="3"/>
      <c r="S5" s="3"/>
      <c r="T5" s="3"/>
      <c r="U5" s="3"/>
      <c r="V5" s="3"/>
      <c r="W5" s="3"/>
      <c r="X5" s="3"/>
      <c r="Y5" s="3"/>
      <c r="Z5" s="3"/>
    </row>
    <row r="6">
      <c r="A6" s="3">
        <v>5.0</v>
      </c>
      <c r="B6" s="3">
        <v>10.0</v>
      </c>
      <c r="C6" s="3">
        <v>11.0</v>
      </c>
      <c r="D6" s="3">
        <v>16.0</v>
      </c>
      <c r="E6" s="3">
        <v>14.0</v>
      </c>
      <c r="F6" s="3">
        <v>8.0</v>
      </c>
      <c r="G6" s="3">
        <v>21.0</v>
      </c>
      <c r="H6" s="3">
        <v>19.0</v>
      </c>
      <c r="I6" s="3">
        <v>24.0</v>
      </c>
      <c r="J6" s="3">
        <v>13.0</v>
      </c>
      <c r="K6" s="3">
        <v>16.0</v>
      </c>
      <c r="L6" s="3">
        <v>10.0</v>
      </c>
      <c r="M6" s="3">
        <v>19.0</v>
      </c>
      <c r="N6" s="3">
        <v>27.0</v>
      </c>
      <c r="O6" s="3">
        <v>23.0</v>
      </c>
      <c r="P6" s="3">
        <v>23.0</v>
      </c>
      <c r="Q6" s="3">
        <v>30.0</v>
      </c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</v>
      </c>
      <c r="B7" s="3">
        <v>10.8</v>
      </c>
      <c r="C7" s="3">
        <v>11.4</v>
      </c>
      <c r="D7" s="3">
        <v>13.2</v>
      </c>
      <c r="E7" s="3">
        <v>15.6</v>
      </c>
      <c r="F7" s="3">
        <v>9.4</v>
      </c>
      <c r="G7" s="3">
        <v>20.0</v>
      </c>
      <c r="H7" s="3">
        <v>16.4</v>
      </c>
      <c r="I7" s="3">
        <v>20.0</v>
      </c>
      <c r="J7" s="3">
        <v>17.6</v>
      </c>
      <c r="K7" s="3">
        <v>17.0</v>
      </c>
      <c r="L7" s="3">
        <v>14.0</v>
      </c>
      <c r="M7" s="3">
        <v>19.8</v>
      </c>
      <c r="N7" s="3">
        <v>29.8</v>
      </c>
      <c r="O7" s="3">
        <v>22.8</v>
      </c>
      <c r="P7" s="3">
        <v>22.6</v>
      </c>
      <c r="Q7" s="3">
        <v>31.2</v>
      </c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</v>
      </c>
      <c r="B8" s="3">
        <v>17.8</v>
      </c>
      <c r="C8" s="3">
        <v>29.5</v>
      </c>
      <c r="D8" s="3">
        <v>23.0</v>
      </c>
      <c r="E8" s="3">
        <v>11.6</v>
      </c>
      <c r="F8" s="3">
        <v>40.2</v>
      </c>
      <c r="G8" s="3">
        <v>18.7</v>
      </c>
      <c r="H8" s="3">
        <v>21.8</v>
      </c>
      <c r="I8" s="3">
        <v>23.5</v>
      </c>
      <c r="J8" s="3">
        <v>16.4</v>
      </c>
      <c r="K8" s="3">
        <v>16.6</v>
      </c>
      <c r="L8" s="3">
        <v>29.0</v>
      </c>
      <c r="M8" s="3">
        <v>8.3</v>
      </c>
      <c r="N8" s="3">
        <v>11.5</v>
      </c>
      <c r="O8" s="3">
        <v>12.6</v>
      </c>
      <c r="P8" s="3">
        <v>8.0</v>
      </c>
      <c r="Q8" s="3">
        <v>5.7</v>
      </c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</v>
      </c>
      <c r="B10" s="5">
        <v>1000000.0</v>
      </c>
      <c r="C10" s="5">
        <v>550000.0</v>
      </c>
      <c r="D10" s="5">
        <v>450000.0</v>
      </c>
      <c r="E10" s="5">
        <v>500000.0</v>
      </c>
      <c r="F10" s="5">
        <v>1100000.0</v>
      </c>
      <c r="G10" s="5">
        <v>1000000.0</v>
      </c>
      <c r="H10" s="5">
        <v>1100000.0</v>
      </c>
      <c r="I10" s="5">
        <v>1100000.0</v>
      </c>
      <c r="J10" s="5">
        <v>1000000.0</v>
      </c>
      <c r="K10" s="5">
        <v>2200000.0</v>
      </c>
      <c r="L10" s="5">
        <v>1200000.0</v>
      </c>
      <c r="M10" s="5">
        <v>1650000.0</v>
      </c>
      <c r="N10" s="5">
        <v>1000000.0</v>
      </c>
      <c r="O10" s="5">
        <v>1100000.0</v>
      </c>
      <c r="P10" s="5">
        <v>1000000.0</v>
      </c>
      <c r="Q10" s="5">
        <v>1650000.0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</v>
      </c>
      <c r="B11" s="4">
        <f t="shared" ref="B11:Q11" si="1">B10*B7/100</f>
        <v>108000</v>
      </c>
      <c r="C11" s="4">
        <f t="shared" si="1"/>
        <v>62700</v>
      </c>
      <c r="D11" s="4">
        <f t="shared" si="1"/>
        <v>59400</v>
      </c>
      <c r="E11" s="4">
        <f t="shared" si="1"/>
        <v>78000</v>
      </c>
      <c r="F11" s="4">
        <f t="shared" si="1"/>
        <v>103400</v>
      </c>
      <c r="G11" s="4">
        <f t="shared" si="1"/>
        <v>200000</v>
      </c>
      <c r="H11" s="4">
        <f t="shared" si="1"/>
        <v>180400</v>
      </c>
      <c r="I11" s="4">
        <f t="shared" si="1"/>
        <v>220000</v>
      </c>
      <c r="J11" s="4">
        <f t="shared" si="1"/>
        <v>176000</v>
      </c>
      <c r="K11" s="4">
        <f t="shared" si="1"/>
        <v>374000</v>
      </c>
      <c r="L11" s="4">
        <f t="shared" si="1"/>
        <v>168000</v>
      </c>
      <c r="M11" s="4">
        <f t="shared" si="1"/>
        <v>326700</v>
      </c>
      <c r="N11" s="4">
        <f t="shared" si="1"/>
        <v>298000</v>
      </c>
      <c r="O11" s="4">
        <f t="shared" si="1"/>
        <v>250800</v>
      </c>
      <c r="P11" s="4">
        <f t="shared" si="1"/>
        <v>226000</v>
      </c>
      <c r="Q11" s="4">
        <f t="shared" si="1"/>
        <v>514800</v>
      </c>
      <c r="R11" s="4">
        <f>SUM(B11:Q11)</f>
        <v>3346200</v>
      </c>
      <c r="S11" s="4"/>
      <c r="T11" s="4"/>
      <c r="U11" s="4"/>
      <c r="V11" s="4"/>
      <c r="W11" s="4"/>
      <c r="X11" s="4"/>
      <c r="Y11" s="4"/>
      <c r="Z11" s="4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9.14"/>
    <col customWidth="1" min="3" max="3" width="9.71"/>
    <col customWidth="1" min="4" max="4" width="151.0"/>
    <col customWidth="1" min="5" max="15" width="8.71"/>
    <col customWidth="1" min="16" max="16" width="9.71"/>
    <col customWidth="1" min="17" max="17" width="8.71"/>
    <col customWidth="1" min="18" max="18" width="11.29"/>
    <col customWidth="1" min="19" max="19" width="8.71"/>
    <col customWidth="1" min="20" max="20" width="11.14"/>
    <col customWidth="1" min="21" max="22" width="8.71"/>
    <col customWidth="1" min="23" max="23" width="9.71"/>
    <col customWidth="1" min="24" max="42" width="8.71"/>
  </cols>
  <sheetData>
    <row r="1">
      <c r="A1" s="6" t="s">
        <v>6</v>
      </c>
      <c r="B1" s="6">
        <v>1.0</v>
      </c>
      <c r="C1" s="6">
        <v>200000.0</v>
      </c>
      <c r="D1" s="7"/>
      <c r="E1" s="7"/>
      <c r="F1" s="7">
        <v>211400.0</v>
      </c>
      <c r="G1" s="7">
        <f>F1-(6000*2+11700*2)</f>
        <v>176000</v>
      </c>
      <c r="H1" s="7">
        <f>G1/22</f>
        <v>8000</v>
      </c>
      <c r="I1" s="7"/>
      <c r="J1" s="7"/>
      <c r="K1" s="7"/>
      <c r="L1" s="7"/>
      <c r="M1" s="7"/>
      <c r="N1" s="7"/>
      <c r="O1" s="7"/>
      <c r="P1" s="7" t="s">
        <v>7</v>
      </c>
      <c r="Q1" s="8">
        <v>1000000.0</v>
      </c>
      <c r="R1" s="9">
        <f>10.8%*Q1</f>
        <v>108000</v>
      </c>
      <c r="S1" s="7">
        <v>3.0</v>
      </c>
      <c r="T1" s="9">
        <f t="shared" ref="T1:T16" si="1">Q1*S1/100</f>
        <v>30000</v>
      </c>
      <c r="U1" s="7"/>
      <c r="V1" s="7"/>
      <c r="W1" s="7" t="s">
        <v>7</v>
      </c>
      <c r="X1" s="7">
        <v>10.8</v>
      </c>
      <c r="Y1" s="7">
        <v>3.0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>
      <c r="A2" s="6" t="s">
        <v>8</v>
      </c>
      <c r="B2" s="6">
        <v>2.0</v>
      </c>
      <c r="C2" s="6">
        <f>2*130000</f>
        <v>260000</v>
      </c>
      <c r="D2" s="7"/>
      <c r="E2" s="7"/>
      <c r="F2" s="7">
        <v>134600.0</v>
      </c>
      <c r="G2" s="7">
        <f>24*2500+12*1500+1575+12*4000</f>
        <v>127575</v>
      </c>
      <c r="H2" s="7"/>
      <c r="I2" s="7"/>
      <c r="J2" s="7"/>
      <c r="K2" s="7"/>
      <c r="L2" s="7"/>
      <c r="M2" s="7"/>
      <c r="N2" s="7"/>
      <c r="O2" s="7"/>
      <c r="P2" s="7" t="s">
        <v>9</v>
      </c>
      <c r="Q2" s="8">
        <v>550000.0</v>
      </c>
      <c r="R2" s="9">
        <f>11.4%*Q2</f>
        <v>62700</v>
      </c>
      <c r="S2" s="7">
        <v>5.0</v>
      </c>
      <c r="T2" s="9">
        <f t="shared" si="1"/>
        <v>27500</v>
      </c>
      <c r="U2" s="7"/>
      <c r="V2" s="7"/>
      <c r="W2" s="7" t="s">
        <v>9</v>
      </c>
      <c r="X2" s="7">
        <v>11.4</v>
      </c>
      <c r="Y2" s="7">
        <v>5.0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>
      <c r="A3" s="6" t="s">
        <v>10</v>
      </c>
      <c r="B3" s="6">
        <v>1.0</v>
      </c>
      <c r="C3" s="6">
        <v>100000.0</v>
      </c>
      <c r="D3" s="7"/>
      <c r="E3" s="7"/>
      <c r="F3" s="7"/>
      <c r="G3" s="7"/>
      <c r="H3" s="7"/>
      <c r="I3" s="7"/>
      <c r="J3" s="7"/>
      <c r="K3" s="7"/>
      <c r="L3" s="7">
        <v>150000.0</v>
      </c>
      <c r="M3" s="7"/>
      <c r="N3" s="7"/>
      <c r="O3" s="7"/>
      <c r="P3" s="7" t="s">
        <v>11</v>
      </c>
      <c r="Q3" s="8">
        <v>450000.0</v>
      </c>
      <c r="R3" s="9">
        <f>13.2%*Q3</f>
        <v>59400</v>
      </c>
      <c r="S3" s="7">
        <v>10.0</v>
      </c>
      <c r="T3" s="9">
        <f t="shared" si="1"/>
        <v>45000</v>
      </c>
      <c r="U3" s="7"/>
      <c r="V3" s="7"/>
      <c r="W3" s="7" t="s">
        <v>11</v>
      </c>
      <c r="X3" s="7">
        <v>13.2</v>
      </c>
      <c r="Y3" s="7">
        <v>10.0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>
      <c r="A4" s="6" t="s">
        <v>12</v>
      </c>
      <c r="B4" s="6">
        <v>10.0</v>
      </c>
      <c r="C4" s="6">
        <f>10*90000</f>
        <v>900000</v>
      </c>
      <c r="D4" s="7"/>
      <c r="E4" s="7"/>
      <c r="F4" s="7">
        <f>41*38332+4*3600+4*9408+27*413478</f>
        <v>12787550</v>
      </c>
      <c r="G4" s="7"/>
      <c r="H4" s="7"/>
      <c r="I4" s="7"/>
      <c r="J4" s="7"/>
      <c r="K4" s="7"/>
      <c r="L4" s="7">
        <v>104600.0</v>
      </c>
      <c r="M4" s="7"/>
      <c r="N4" s="7"/>
      <c r="O4" s="7"/>
      <c r="P4" s="7" t="s">
        <v>13</v>
      </c>
      <c r="Q4" s="8">
        <v>500000.0</v>
      </c>
      <c r="R4" s="9">
        <f>15.6%*Q4</f>
        <v>78000</v>
      </c>
      <c r="S4" s="7">
        <v>11.0</v>
      </c>
      <c r="T4" s="9">
        <f t="shared" si="1"/>
        <v>55000</v>
      </c>
      <c r="U4" s="7"/>
      <c r="V4" s="7"/>
      <c r="W4" s="7" t="s">
        <v>13</v>
      </c>
      <c r="X4" s="7">
        <v>15.6</v>
      </c>
      <c r="Y4" s="7">
        <v>11.0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>
      <c r="A5" s="6" t="s">
        <v>14</v>
      </c>
      <c r="B5" s="6">
        <v>10.0</v>
      </c>
      <c r="C5" s="3">
        <f>10*50000</f>
        <v>500000</v>
      </c>
      <c r="D5" s="7"/>
      <c r="E5" s="7"/>
      <c r="F5" s="7"/>
      <c r="G5" s="7"/>
      <c r="H5" s="7"/>
      <c r="I5" s="7"/>
      <c r="J5" s="7"/>
      <c r="K5" s="7"/>
      <c r="L5" s="7">
        <v>30200.0</v>
      </c>
      <c r="M5" s="7"/>
      <c r="N5" s="7"/>
      <c r="O5" s="7"/>
      <c r="P5" s="7" t="s">
        <v>15</v>
      </c>
      <c r="Q5" s="8">
        <v>1100000.0</v>
      </c>
      <c r="R5" s="9">
        <f>9.4%*Q5</f>
        <v>103400</v>
      </c>
      <c r="S5" s="7">
        <v>7.0</v>
      </c>
      <c r="T5" s="9">
        <f t="shared" si="1"/>
        <v>77000</v>
      </c>
      <c r="U5" s="7"/>
      <c r="V5" s="7"/>
      <c r="W5" s="7" t="s">
        <v>15</v>
      </c>
      <c r="X5" s="7">
        <v>9.4</v>
      </c>
      <c r="Y5" s="7">
        <v>7.0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>
      <c r="A6" s="6" t="s">
        <v>16</v>
      </c>
      <c r="B6" s="6">
        <v>7.0</v>
      </c>
      <c r="C6" s="6">
        <f>7*80000</f>
        <v>560000</v>
      </c>
      <c r="D6" s="7"/>
      <c r="E6" s="7"/>
      <c r="F6" s="7">
        <v>110000.0</v>
      </c>
      <c r="G6" s="7">
        <v>45.0</v>
      </c>
      <c r="H6" s="7">
        <v>4.0</v>
      </c>
      <c r="I6" s="7">
        <v>4.0</v>
      </c>
      <c r="J6" s="7">
        <v>27.0</v>
      </c>
      <c r="K6" s="7"/>
      <c r="L6" s="7">
        <v>452975.0</v>
      </c>
      <c r="M6" s="7"/>
      <c r="N6" s="7"/>
      <c r="O6" s="7"/>
      <c r="P6" s="7" t="s">
        <v>17</v>
      </c>
      <c r="Q6" s="8">
        <v>1000000.0</v>
      </c>
      <c r="R6" s="9">
        <f>20%*Q6</f>
        <v>200000</v>
      </c>
      <c r="S6" s="7">
        <v>14.0</v>
      </c>
      <c r="T6" s="9">
        <f t="shared" si="1"/>
        <v>140000</v>
      </c>
      <c r="U6" s="7"/>
      <c r="V6" s="7"/>
      <c r="W6" s="7" t="s">
        <v>17</v>
      </c>
      <c r="X6" s="7">
        <v>20.0</v>
      </c>
      <c r="Y6" s="7">
        <v>14.0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>
      <c r="A7" s="6" t="s">
        <v>18</v>
      </c>
      <c r="B7" s="6">
        <v>2.0</v>
      </c>
      <c r="C7" s="6">
        <f>2*40000</f>
        <v>80000</v>
      </c>
      <c r="D7" s="7"/>
      <c r="E7" s="7"/>
      <c r="F7" s="7"/>
      <c r="G7" s="7">
        <v>1037.0</v>
      </c>
      <c r="H7" s="7">
        <v>960.96</v>
      </c>
      <c r="I7" s="7">
        <v>376.93</v>
      </c>
      <c r="J7" s="7">
        <v>629.0</v>
      </c>
      <c r="K7" s="7"/>
      <c r="L7" s="7">
        <v>16000.0</v>
      </c>
      <c r="M7" s="7"/>
      <c r="N7" s="7"/>
      <c r="O7" s="7"/>
      <c r="P7" s="7" t="s">
        <v>19</v>
      </c>
      <c r="Q7" s="8">
        <v>1100000.0</v>
      </c>
      <c r="R7" s="9">
        <f>16.4%*Q7</f>
        <v>180400</v>
      </c>
      <c r="S7" s="7">
        <v>13.0</v>
      </c>
      <c r="T7" s="9">
        <f t="shared" si="1"/>
        <v>143000</v>
      </c>
      <c r="U7" s="7"/>
      <c r="V7" s="7"/>
      <c r="W7" s="7" t="s">
        <v>19</v>
      </c>
      <c r="X7" s="7">
        <v>16.4</v>
      </c>
      <c r="Y7" s="7">
        <v>13.0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>
      <c r="A8" s="10" t="s">
        <v>20</v>
      </c>
      <c r="B8" s="11"/>
      <c r="C8" s="11">
        <f>sum(C1:C7)</f>
        <v>2600000</v>
      </c>
      <c r="D8" s="7"/>
      <c r="E8" s="7"/>
      <c r="F8" s="7"/>
      <c r="G8" s="7">
        <f t="shared" ref="G8:J8" si="2">ROUND(G7*2,0)</f>
        <v>2074</v>
      </c>
      <c r="H8" s="7">
        <f t="shared" si="2"/>
        <v>1922</v>
      </c>
      <c r="I8" s="7">
        <f t="shared" si="2"/>
        <v>754</v>
      </c>
      <c r="J8" s="7">
        <f t="shared" si="2"/>
        <v>1258</v>
      </c>
      <c r="K8" s="7"/>
      <c r="L8" s="7">
        <f>SUM(L3:L7)</f>
        <v>753775</v>
      </c>
      <c r="M8" s="7"/>
      <c r="N8" s="7"/>
      <c r="O8" s="7"/>
      <c r="P8" s="7" t="s">
        <v>21</v>
      </c>
      <c r="Q8" s="8">
        <v>1100000.0</v>
      </c>
      <c r="R8" s="9">
        <f>20%*Q8</f>
        <v>220000</v>
      </c>
      <c r="S8" s="7">
        <v>8.0</v>
      </c>
      <c r="T8" s="9">
        <f t="shared" si="1"/>
        <v>88000</v>
      </c>
      <c r="U8" s="7"/>
      <c r="V8" s="7"/>
      <c r="W8" s="7" t="s">
        <v>21</v>
      </c>
      <c r="X8" s="7">
        <v>20.0</v>
      </c>
      <c r="Y8" s="7">
        <v>8.0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>
      <c r="A9" s="7"/>
      <c r="B9" s="7"/>
      <c r="C9" s="7"/>
      <c r="D9" s="7"/>
      <c r="E9" s="7"/>
      <c r="F9" s="7"/>
      <c r="G9" s="7">
        <f t="shared" ref="G9:J9" si="3">G6*G8</f>
        <v>93330</v>
      </c>
      <c r="H9" s="7">
        <f t="shared" si="3"/>
        <v>7688</v>
      </c>
      <c r="I9" s="7">
        <f t="shared" si="3"/>
        <v>3016</v>
      </c>
      <c r="J9" s="7">
        <f t="shared" si="3"/>
        <v>33966</v>
      </c>
      <c r="K9" s="7"/>
      <c r="L9" s="7"/>
      <c r="M9" s="7"/>
      <c r="N9" s="7"/>
      <c r="O9" s="7"/>
      <c r="P9" s="7" t="s">
        <v>22</v>
      </c>
      <c r="Q9" s="8">
        <v>1000000.0</v>
      </c>
      <c r="R9" s="9">
        <f>17.6%*Q9</f>
        <v>176000</v>
      </c>
      <c r="S9" s="7">
        <v>13.0</v>
      </c>
      <c r="T9" s="9">
        <f t="shared" si="1"/>
        <v>130000</v>
      </c>
      <c r="U9" s="7"/>
      <c r="V9" s="7"/>
      <c r="W9" s="7" t="s">
        <v>22</v>
      </c>
      <c r="X9" s="7">
        <v>17.6</v>
      </c>
      <c r="Y9" s="7">
        <v>13.0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>
      <c r="A10" s="7"/>
      <c r="B10" s="7"/>
      <c r="C10" s="7"/>
      <c r="D10" s="7"/>
      <c r="E10" s="7"/>
      <c r="F10" s="7"/>
      <c r="G10" s="7">
        <f>SUM(G9:J9)</f>
        <v>138000</v>
      </c>
      <c r="H10" s="7"/>
      <c r="I10" s="7"/>
      <c r="J10" s="7"/>
      <c r="K10" s="7"/>
      <c r="L10" s="7"/>
      <c r="M10" s="7"/>
      <c r="N10" s="7"/>
      <c r="O10" s="7"/>
      <c r="P10" s="7" t="s">
        <v>23</v>
      </c>
      <c r="Q10" s="8">
        <v>2200000.0</v>
      </c>
      <c r="R10" s="9">
        <f>17%*Q10</f>
        <v>374000</v>
      </c>
      <c r="S10" s="7">
        <v>10.0</v>
      </c>
      <c r="T10" s="9">
        <f t="shared" si="1"/>
        <v>220000</v>
      </c>
      <c r="U10" s="7"/>
      <c r="V10" s="7"/>
      <c r="W10" s="7" t="s">
        <v>23</v>
      </c>
      <c r="X10" s="7">
        <v>17.0</v>
      </c>
      <c r="Y10" s="7">
        <v>10.0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 t="s">
        <v>24</v>
      </c>
      <c r="Q11" s="8">
        <v>1200000.0</v>
      </c>
      <c r="R11" s="9">
        <f>14%*Q11</f>
        <v>168000</v>
      </c>
      <c r="S11" s="7">
        <v>10.0</v>
      </c>
      <c r="T11" s="9">
        <f t="shared" si="1"/>
        <v>120000</v>
      </c>
      <c r="U11" s="7"/>
      <c r="V11" s="7"/>
      <c r="W11" s="7" t="s">
        <v>24</v>
      </c>
      <c r="X11" s="7">
        <v>14.0</v>
      </c>
      <c r="Y11" s="7">
        <v>10.0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>
      <c r="A12" s="7"/>
      <c r="B12" s="7"/>
      <c r="C12" s="7" t="s">
        <v>7</v>
      </c>
      <c r="D12" s="7" t="s">
        <v>25</v>
      </c>
      <c r="E12" s="7">
        <v>10.8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 t="s">
        <v>26</v>
      </c>
      <c r="Q12" s="8">
        <v>1650000.0</v>
      </c>
      <c r="R12" s="9">
        <f>19.8%*Q12</f>
        <v>326700</v>
      </c>
      <c r="S12" s="7">
        <v>17.0</v>
      </c>
      <c r="T12" s="9">
        <f t="shared" si="1"/>
        <v>280500</v>
      </c>
      <c r="U12" s="7"/>
      <c r="V12" s="7"/>
      <c r="W12" s="7" t="s">
        <v>26</v>
      </c>
      <c r="X12" s="7">
        <v>19.8</v>
      </c>
      <c r="Y12" s="7">
        <v>17.0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>
      <c r="A13" s="7"/>
      <c r="B13" s="7"/>
      <c r="C13" s="7" t="s">
        <v>9</v>
      </c>
      <c r="D13" s="7" t="s">
        <v>27</v>
      </c>
      <c r="E13" s="7">
        <v>11.4</v>
      </c>
      <c r="F13" s="7"/>
      <c r="G13" s="7"/>
      <c r="H13" s="8" t="s">
        <v>28</v>
      </c>
      <c r="I13" s="8" t="s">
        <v>29</v>
      </c>
      <c r="J13" s="7"/>
      <c r="K13" s="7"/>
      <c r="L13" s="7"/>
      <c r="M13" s="7"/>
      <c r="N13" s="7"/>
      <c r="O13" s="7"/>
      <c r="P13" s="7" t="s">
        <v>30</v>
      </c>
      <c r="Q13" s="8">
        <v>1000000.0</v>
      </c>
      <c r="R13" s="9">
        <f>29.8%*Q13</f>
        <v>298000</v>
      </c>
      <c r="S13" s="7">
        <v>19.0</v>
      </c>
      <c r="T13" s="9">
        <f t="shared" si="1"/>
        <v>190000</v>
      </c>
      <c r="U13" s="7"/>
      <c r="V13" s="7"/>
      <c r="W13" s="7" t="s">
        <v>30</v>
      </c>
      <c r="X13" s="7">
        <v>29.8</v>
      </c>
      <c r="Y13" s="7">
        <v>19.0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>
      <c r="A14" s="7"/>
      <c r="B14" s="7"/>
      <c r="C14" s="7" t="s">
        <v>11</v>
      </c>
      <c r="D14" s="7" t="s">
        <v>31</v>
      </c>
      <c r="E14" s="7">
        <v>13.2</v>
      </c>
      <c r="F14" s="7"/>
      <c r="G14" s="7"/>
      <c r="H14" s="12">
        <v>170000.0</v>
      </c>
      <c r="I14" s="7"/>
      <c r="J14" s="7"/>
      <c r="K14" s="7"/>
      <c r="L14" s="7"/>
      <c r="M14" s="7"/>
      <c r="N14" s="7"/>
      <c r="O14" s="7"/>
      <c r="P14" s="7" t="s">
        <v>32</v>
      </c>
      <c r="Q14" s="8">
        <v>1100000.0</v>
      </c>
      <c r="R14" s="9">
        <f>22.8%*Q14</f>
        <v>250800</v>
      </c>
      <c r="S14" s="7">
        <v>17.0</v>
      </c>
      <c r="T14" s="9">
        <f t="shared" si="1"/>
        <v>187000</v>
      </c>
      <c r="U14" s="7"/>
      <c r="V14" s="7"/>
      <c r="W14" s="7" t="s">
        <v>32</v>
      </c>
      <c r="X14" s="7">
        <v>22.8</v>
      </c>
      <c r="Y14" s="7">
        <v>17.0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>
      <c r="A15" s="7"/>
      <c r="B15" s="7"/>
      <c r="C15" s="7" t="s">
        <v>13</v>
      </c>
      <c r="D15" s="7" t="s">
        <v>33</v>
      </c>
      <c r="E15" s="7">
        <v>15.6</v>
      </c>
      <c r="F15" s="7"/>
      <c r="G15" s="7"/>
      <c r="H15" s="12">
        <v>114361.0</v>
      </c>
      <c r="I15" s="7"/>
      <c r="J15" s="7"/>
      <c r="K15" s="7"/>
      <c r="L15" s="7"/>
      <c r="M15" s="7"/>
      <c r="N15" s="7"/>
      <c r="O15" s="7"/>
      <c r="P15" s="7" t="s">
        <v>34</v>
      </c>
      <c r="Q15" s="8">
        <v>1000000.0</v>
      </c>
      <c r="R15" s="9">
        <f>22.6%*Q15</f>
        <v>226000</v>
      </c>
      <c r="S15" s="7">
        <v>15.0</v>
      </c>
      <c r="T15" s="9">
        <f t="shared" si="1"/>
        <v>150000</v>
      </c>
      <c r="U15" s="7"/>
      <c r="V15" s="7"/>
      <c r="W15" s="7" t="s">
        <v>34</v>
      </c>
      <c r="X15" s="7">
        <v>22.6</v>
      </c>
      <c r="Y15" s="7">
        <v>15.0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>
      <c r="A16" s="7"/>
      <c r="B16" s="7"/>
      <c r="C16" s="7" t="s">
        <v>15</v>
      </c>
      <c r="D16" s="7" t="s">
        <v>35</v>
      </c>
      <c r="E16" s="7">
        <v>9.4</v>
      </c>
      <c r="F16" s="7"/>
      <c r="G16" s="7"/>
      <c r="H16" s="12">
        <v>66200.0</v>
      </c>
      <c r="I16" s="7"/>
      <c r="J16" s="7"/>
      <c r="K16" s="7"/>
      <c r="L16" s="7"/>
      <c r="M16" s="7"/>
      <c r="N16" s="7"/>
      <c r="O16" s="7"/>
      <c r="P16" s="7" t="s">
        <v>36</v>
      </c>
      <c r="Q16" s="8">
        <v>1650000.0</v>
      </c>
      <c r="R16" s="9">
        <f>31.2%*Q16</f>
        <v>514800</v>
      </c>
      <c r="S16" s="7">
        <v>21.0</v>
      </c>
      <c r="T16" s="9">
        <f t="shared" si="1"/>
        <v>346500</v>
      </c>
      <c r="U16" s="7"/>
      <c r="V16" s="7"/>
      <c r="W16" s="7" t="s">
        <v>36</v>
      </c>
      <c r="X16" s="7">
        <v>31.2</v>
      </c>
      <c r="Y16" s="7">
        <v>21.0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>
      <c r="A17" s="7"/>
      <c r="B17" s="7"/>
      <c r="C17" s="7" t="s">
        <v>17</v>
      </c>
      <c r="D17" s="7" t="s">
        <v>37</v>
      </c>
      <c r="E17" s="7">
        <v>20.0</v>
      </c>
      <c r="F17" s="7"/>
      <c r="G17" s="7"/>
      <c r="H17" s="12">
        <v>519405.0</v>
      </c>
      <c r="I17" s="7"/>
      <c r="J17" s="7"/>
      <c r="K17" s="7"/>
      <c r="L17" s="7"/>
      <c r="M17" s="7"/>
      <c r="N17" s="7"/>
      <c r="O17" s="7"/>
      <c r="P17" s="7"/>
      <c r="Q17" s="7"/>
      <c r="R17" s="9">
        <f>SUM(R1:R16)</f>
        <v>3346200</v>
      </c>
      <c r="S17" s="7"/>
      <c r="T17" s="9">
        <f>SUM(T1:T16)</f>
        <v>2229500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>
      <c r="A18" s="7"/>
      <c r="B18" s="7"/>
      <c r="C18" s="7" t="s">
        <v>19</v>
      </c>
      <c r="D18" s="7" t="s">
        <v>38</v>
      </c>
      <c r="E18" s="7">
        <v>16.4</v>
      </c>
      <c r="F18" s="7"/>
      <c r="G18" s="7"/>
      <c r="H18" s="13">
        <v>16000.0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>
      <c r="A19" s="7"/>
      <c r="B19" s="7"/>
      <c r="C19" s="7" t="s">
        <v>21</v>
      </c>
      <c r="D19" s="7" t="s">
        <v>39</v>
      </c>
      <c r="E19" s="7">
        <v>20.0</v>
      </c>
      <c r="F19" s="7"/>
      <c r="G19" s="7"/>
      <c r="H19" s="9">
        <f>SUM(H14:H18)</f>
        <v>885966</v>
      </c>
      <c r="I19" s="14" t="s">
        <v>40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>
      <c r="A20" s="7"/>
      <c r="B20" s="7"/>
      <c r="C20" s="7" t="s">
        <v>22</v>
      </c>
      <c r="D20" s="7" t="s">
        <v>41</v>
      </c>
      <c r="E20" s="7">
        <v>17.6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ht="15.75" customHeight="1">
      <c r="A21" s="7"/>
      <c r="B21" s="7"/>
      <c r="C21" s="7" t="s">
        <v>23</v>
      </c>
      <c r="D21" s="7" t="s">
        <v>42</v>
      </c>
      <c r="E21" s="7">
        <v>17.0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ht="15.75" customHeight="1">
      <c r="A22" s="7"/>
      <c r="B22" s="7"/>
      <c r="C22" s="7" t="s">
        <v>24</v>
      </c>
      <c r="D22" s="7" t="s">
        <v>43</v>
      </c>
      <c r="E22" s="7">
        <v>14.0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ht="15.75" customHeight="1">
      <c r="A23" s="7"/>
      <c r="B23" s="7"/>
      <c r="C23" s="7" t="s">
        <v>26</v>
      </c>
      <c r="D23" s="7" t="s">
        <v>44</v>
      </c>
      <c r="E23" s="7">
        <v>19.8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ht="15.75" customHeight="1">
      <c r="A24" s="7"/>
      <c r="B24" s="7"/>
      <c r="C24" s="7" t="s">
        <v>30</v>
      </c>
      <c r="D24" s="7" t="s">
        <v>45</v>
      </c>
      <c r="E24" s="7">
        <v>29.8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ht="15.75" customHeight="1">
      <c r="A25" s="7"/>
      <c r="B25" s="7"/>
      <c r="C25" s="7" t="s">
        <v>32</v>
      </c>
      <c r="D25" s="7" t="s">
        <v>46</v>
      </c>
      <c r="E25" s="7">
        <v>22.8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ht="15.75" customHeight="1">
      <c r="A26" s="7"/>
      <c r="B26" s="7"/>
      <c r="C26" s="7" t="s">
        <v>34</v>
      </c>
      <c r="D26" s="7" t="s">
        <v>47</v>
      </c>
      <c r="E26" s="7">
        <v>22.6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ht="15.75" customHeight="1">
      <c r="A27" s="7"/>
      <c r="B27" s="7"/>
      <c r="C27" s="7" t="s">
        <v>36</v>
      </c>
      <c r="D27" s="7" t="s">
        <v>48</v>
      </c>
      <c r="E27" s="7">
        <v>31.2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71"/>
    <col customWidth="1" min="5" max="5" width="35.0"/>
  </cols>
  <sheetData>
    <row r="1">
      <c r="A1" s="3"/>
      <c r="B1" s="6"/>
      <c r="C1" s="5" t="s">
        <v>49</v>
      </c>
      <c r="D1" s="3"/>
      <c r="E1" s="5" t="s">
        <v>50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3" t="s">
        <v>7</v>
      </c>
      <c r="B2" s="6">
        <v>1000000.0</v>
      </c>
      <c r="C2" s="4">
        <f>10.8%*B2</f>
        <v>108000</v>
      </c>
      <c r="D2" s="3">
        <v>3.0</v>
      </c>
      <c r="E2" s="4">
        <f t="shared" ref="E2:E17" si="1">B2*D2/100</f>
        <v>30000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" t="s">
        <v>9</v>
      </c>
      <c r="B3" s="6">
        <v>550000.0</v>
      </c>
      <c r="C3" s="4">
        <f>11.4%*B3</f>
        <v>62700</v>
      </c>
      <c r="D3" s="3">
        <v>5.0</v>
      </c>
      <c r="E3" s="4">
        <f t="shared" si="1"/>
        <v>27500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3" t="s">
        <v>11</v>
      </c>
      <c r="B4" s="6">
        <v>450000.0</v>
      </c>
      <c r="C4" s="4">
        <f>13.2%*B4</f>
        <v>59400</v>
      </c>
      <c r="D4" s="3">
        <v>10.0</v>
      </c>
      <c r="E4" s="4">
        <f t="shared" si="1"/>
        <v>45000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" t="s">
        <v>13</v>
      </c>
      <c r="B5" s="6">
        <v>500000.0</v>
      </c>
      <c r="C5" s="4">
        <f>15.6%*B5</f>
        <v>78000</v>
      </c>
      <c r="D5" s="3">
        <v>11.0</v>
      </c>
      <c r="E5" s="4">
        <f t="shared" si="1"/>
        <v>55000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3" t="s">
        <v>15</v>
      </c>
      <c r="B6" s="6">
        <v>1100000.0</v>
      </c>
      <c r="C6" s="4">
        <f>9.4%*B6</f>
        <v>103400</v>
      </c>
      <c r="D6" s="3">
        <v>7.0</v>
      </c>
      <c r="E6" s="4">
        <f t="shared" si="1"/>
        <v>77000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" t="s">
        <v>17</v>
      </c>
      <c r="B7" s="6">
        <v>1000000.0</v>
      </c>
      <c r="C7" s="4">
        <f>20%*B7</f>
        <v>200000</v>
      </c>
      <c r="D7" s="3">
        <v>14.0</v>
      </c>
      <c r="E7" s="4">
        <f t="shared" si="1"/>
        <v>140000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3" t="s">
        <v>19</v>
      </c>
      <c r="B8" s="6">
        <v>1100000.0</v>
      </c>
      <c r="C8" s="4">
        <f>16.4%*B8</f>
        <v>180400</v>
      </c>
      <c r="D8" s="3">
        <v>13.0</v>
      </c>
      <c r="E8" s="4">
        <f t="shared" si="1"/>
        <v>143000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" t="s">
        <v>21</v>
      </c>
      <c r="B9" s="6">
        <v>1100000.0</v>
      </c>
      <c r="C9" s="4">
        <f>20%*B9</f>
        <v>220000</v>
      </c>
      <c r="D9" s="3">
        <v>8.0</v>
      </c>
      <c r="E9" s="4">
        <f t="shared" si="1"/>
        <v>88000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3" t="s">
        <v>22</v>
      </c>
      <c r="B10" s="6">
        <v>1000000.0</v>
      </c>
      <c r="C10" s="4">
        <f>17.6%*B10</f>
        <v>176000</v>
      </c>
      <c r="D10" s="3">
        <v>13.0</v>
      </c>
      <c r="E10" s="4">
        <f t="shared" si="1"/>
        <v>130000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" t="s">
        <v>23</v>
      </c>
      <c r="B11" s="6">
        <v>2200000.0</v>
      </c>
      <c r="C11" s="4">
        <f>17%*B11</f>
        <v>374000</v>
      </c>
      <c r="D11" s="3">
        <v>10.0</v>
      </c>
      <c r="E11" s="4">
        <f t="shared" si="1"/>
        <v>220000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3" t="s">
        <v>24</v>
      </c>
      <c r="B12" s="6">
        <v>1200000.0</v>
      </c>
      <c r="C12" s="4">
        <f>14%*B12</f>
        <v>168000</v>
      </c>
      <c r="D12" s="3">
        <v>10.0</v>
      </c>
      <c r="E12" s="4">
        <f t="shared" si="1"/>
        <v>120000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" t="s">
        <v>26</v>
      </c>
      <c r="B13" s="6">
        <v>1650000.0</v>
      </c>
      <c r="C13" s="4">
        <f>19.8%*B13</f>
        <v>326700</v>
      </c>
      <c r="D13" s="3">
        <v>17.0</v>
      </c>
      <c r="E13" s="4">
        <f t="shared" si="1"/>
        <v>280500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" t="s">
        <v>30</v>
      </c>
      <c r="B14" s="6">
        <v>1000000.0</v>
      </c>
      <c r="C14" s="4">
        <f>29.8%*B14</f>
        <v>298000</v>
      </c>
      <c r="D14" s="3">
        <v>19.0</v>
      </c>
      <c r="E14" s="4">
        <f t="shared" si="1"/>
        <v>190000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" t="s">
        <v>32</v>
      </c>
      <c r="B15" s="6">
        <v>1100000.0</v>
      </c>
      <c r="C15" s="4">
        <f>22.8%*B15</f>
        <v>250800</v>
      </c>
      <c r="D15" s="3">
        <v>17.0</v>
      </c>
      <c r="E15" s="4">
        <f t="shared" si="1"/>
        <v>187000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3" t="s">
        <v>34</v>
      </c>
      <c r="B16" s="6">
        <v>1000000.0</v>
      </c>
      <c r="C16" s="4">
        <f>22.6%*B16</f>
        <v>226000</v>
      </c>
      <c r="D16" s="3">
        <v>15.0</v>
      </c>
      <c r="E16" s="4">
        <f t="shared" si="1"/>
        <v>150000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" t="s">
        <v>36</v>
      </c>
      <c r="B17" s="6">
        <v>1650000.0</v>
      </c>
      <c r="C17" s="4">
        <f>31.2%*B17</f>
        <v>514800</v>
      </c>
      <c r="D17" s="3">
        <v>21.0</v>
      </c>
      <c r="E17" s="4">
        <f t="shared" si="1"/>
        <v>346500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3"/>
      <c r="B18" s="3"/>
      <c r="C18" s="4">
        <f>SUM(C2:C17)</f>
        <v>3346200</v>
      </c>
      <c r="D18" s="3"/>
      <c r="E18" s="4">
        <f>SUM(E2:E17)</f>
        <v>2229500</v>
      </c>
      <c r="F18" s="16">
        <f>C18-E18</f>
        <v>1116700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2023-12-19T08:33:54Z</dcterms:created>
  <dc:creator>Нгуен Тхань Чунг</dc:creator>
</cp:coreProperties>
</file>