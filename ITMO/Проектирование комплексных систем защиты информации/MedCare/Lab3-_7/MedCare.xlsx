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d3Xvdwee3VPPPKeqv1MBObYxvhfVhHcpMQEgtv5Ze0c="/>
    </ext>
  </extLst>
</workbook>
</file>

<file path=xl/sharedStrings.xml><?xml version="1.0" encoding="utf-8"?>
<sst xmlns="http://schemas.openxmlformats.org/spreadsheetml/2006/main" count="120" uniqueCount="35">
  <si>
    <t>Идентификатор УБИ</t>
  </si>
  <si>
    <t>Наименование УБИ</t>
  </si>
  <si>
    <t>Вероятность реализации УБИ, %</t>
  </si>
  <si>
    <t>Ущерб от реализации УБИ (руб.)</t>
  </si>
  <si>
    <t>Риск (руб.)</t>
  </si>
  <si>
    <t>Среднее</t>
  </si>
  <si>
    <t>CV</t>
  </si>
  <si>
    <t>УИБ.005</t>
  </si>
  <si>
    <t>Угроза внедрения вредоносного кода в BIOS</t>
  </si>
  <si>
    <t>УБИ.006</t>
  </si>
  <si>
    <t>Угроза внедрения кода или данных</t>
  </si>
  <si>
    <t>УБИ.007</t>
  </si>
  <si>
    <t>Угроза воздействия на программы с высокими привилегиями</t>
  </si>
  <si>
    <t>УБИ.010</t>
  </si>
  <si>
    <t>Угроза выхода процесса за пределы виртуальной машины</t>
  </si>
  <si>
    <t>УБИ.015</t>
  </si>
  <si>
    <t>Угроза доступа к защищаемым файлам с использованием обходного пути</t>
  </si>
  <si>
    <t>УИБ.120</t>
  </si>
  <si>
    <t>Угроза перехвата управления средой виртуализации</t>
  </si>
  <si>
    <t>УБИ.017</t>
  </si>
  <si>
    <t>Угроза доступа/перехвата/изменения HTTP cookies</t>
  </si>
  <si>
    <t>УБИ.073</t>
  </si>
  <si>
    <t>Угроза несанкционированного доступа к активному и (или) пассивному виртуальному и (или) физическому сетевому оборудованию из физической и (или) виртуальной сети</t>
  </si>
  <si>
    <t>УБИ.67</t>
  </si>
  <si>
    <t>Угроза неправомерного ознакомления с защищаемой информацией</t>
  </si>
  <si>
    <t>УБИ.088</t>
  </si>
  <si>
    <t>Угроза несанкционированного копирования защищаемой информации</t>
  </si>
  <si>
    <t>УБИ.097</t>
  </si>
  <si>
    <t>Угроза несогласованности правил доступа к большим данным</t>
  </si>
  <si>
    <t>УБИ.191</t>
  </si>
  <si>
    <t>Угроза внедрения вредоносного кода в дистрибутив программного обеспечения</t>
  </si>
  <si>
    <t>УБИ.005</t>
  </si>
  <si>
    <t>После</t>
  </si>
  <si>
    <t xml:space="preserve">До применения мер </t>
  </si>
  <si>
    <t xml:space="preserve">После применения мер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</si>
</sst>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sz val="12.0"/>
      <color theme="1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0" fillId="0" fontId="1" numFmtId="2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Оценка ущерба от реализации УБИ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Среднее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Sheet2!$A$15:$A$26</c:f>
            </c:strRef>
          </c:cat>
          <c:val>
            <c:numRef>
              <c:f>Sheet2!$B$15:$B$26</c:f>
              <c:numCache/>
            </c:numRef>
          </c:val>
        </c:ser>
        <c:ser>
          <c:idx val="1"/>
          <c:order val="1"/>
          <c:tx>
            <c:v>CV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Sheet2!$A$15:$A$26</c:f>
            </c:strRef>
          </c:cat>
          <c:val>
            <c:numRef>
              <c:f>Sheet2!$C$15:$C$26</c:f>
              <c:numCache/>
            </c:numRef>
          </c:val>
        </c:ser>
        <c:axId val="1777288418"/>
        <c:axId val="1795826430"/>
      </c:barChart>
      <c:catAx>
        <c:axId val="17772884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95826430"/>
      </c:catAx>
      <c:valAx>
        <c:axId val="17958264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7728841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Вероятность реализации УБИ, %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Sheet3!$A$2:$A$13</c:f>
            </c:strRef>
          </c:cat>
          <c:val>
            <c:numRef>
              <c:f>Sheet3!$C$2:$C$13</c:f>
              <c:numCache/>
            </c:numRef>
          </c:val>
        </c:ser>
        <c:axId val="746041857"/>
        <c:axId val="1130519853"/>
      </c:barChart>
      <c:catAx>
        <c:axId val="7460418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30519853"/>
      </c:catAx>
      <c:valAx>
        <c:axId val="1130519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46041857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000000"/>
                </a:solidFill>
                <a:latin typeface="+mn-lt"/>
              </a:defRPr>
            </a:pPr>
            <a:r>
              <a:rPr b="0" i="0" sz="1400">
                <a:solidFill>
                  <a:srgbClr val="000000"/>
                </a:solidFill>
                <a:latin typeface="+mn-lt"/>
              </a:rPr>
              <a:t>Итоговая оценка рисков (руб.)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До применения мер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Sheet3!$A$2:$A$13</c:f>
            </c:strRef>
          </c:cat>
          <c:val>
            <c:numRef>
              <c:f>Sheet3!$F$2:$F$13</c:f>
              <c:numCache/>
            </c:numRef>
          </c:val>
        </c:ser>
        <c:ser>
          <c:idx val="1"/>
          <c:order val="1"/>
          <c:tx>
            <c:v>После применения мер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Sheet3!$A$2:$A$13</c:f>
            </c:strRef>
          </c:cat>
          <c:val>
            <c:numRef>
              <c:f>Sheet3!$G$2:$G$13</c:f>
              <c:numCache/>
            </c:numRef>
          </c:val>
        </c:ser>
        <c:axId val="886619978"/>
        <c:axId val="180775983"/>
      </c:barChart>
      <c:catAx>
        <c:axId val="886619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775983"/>
      </c:catAx>
      <c:valAx>
        <c:axId val="1807759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6619978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190500</xdr:colOff>
      <xdr:row>6</xdr:row>
      <xdr:rowOff>171450</xdr:rowOff>
    </xdr:from>
    <xdr:ext cx="4371975" cy="2714625"/>
    <xdr:graphicFrame>
      <xdr:nvGraphicFramePr>
        <xdr:cNvPr id="174971629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171450</xdr:colOff>
      <xdr:row>4</xdr:row>
      <xdr:rowOff>57150</xdr:rowOff>
    </xdr:from>
    <xdr:ext cx="4371975" cy="3000375"/>
    <xdr:graphicFrame>
      <xdr:nvGraphicFramePr>
        <xdr:cNvPr id="1656596049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3114675</xdr:colOff>
      <xdr:row>18</xdr:row>
      <xdr:rowOff>19050</xdr:rowOff>
    </xdr:from>
    <xdr:ext cx="4152900" cy="3000375"/>
    <xdr:graphicFrame>
      <xdr:nvGraphicFramePr>
        <xdr:cNvPr id="1562116363" name="Chart 3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77.14"/>
    <col customWidth="1" min="3" max="3" width="33.43"/>
    <col customWidth="1" min="4" max="4" width="33.29"/>
    <col customWidth="1" min="5" max="5" width="11.86"/>
    <col customWidth="1" min="6" max="6" width="8.71"/>
    <col customWidth="1" min="7" max="7" width="21.57"/>
    <col customWidth="1" min="8" max="12" width="8.71"/>
    <col customWidth="1" min="13" max="13" width="9.14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/>
      <c r="G1" s="1" t="s">
        <v>0</v>
      </c>
      <c r="H1" s="1">
        <v>1.0</v>
      </c>
      <c r="I1" s="1">
        <v>2.0</v>
      </c>
      <c r="J1" s="1">
        <v>3.0</v>
      </c>
      <c r="K1" s="1">
        <v>4.0</v>
      </c>
      <c r="L1" s="1">
        <v>5.0</v>
      </c>
      <c r="M1" s="1" t="s">
        <v>5</v>
      </c>
      <c r="N1" s="1" t="s">
        <v>6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8</v>
      </c>
      <c r="C2" s="3">
        <v>15.0</v>
      </c>
      <c r="D2" s="2">
        <v>1000000.0</v>
      </c>
      <c r="E2" s="2">
        <f t="shared" ref="E2:E13" si="2">D2*M2/100</f>
        <v>148000</v>
      </c>
      <c r="F2" s="1"/>
      <c r="G2" s="1" t="s">
        <v>7</v>
      </c>
      <c r="H2" s="4">
        <f t="shared" ref="H2:H13" si="3">RANDBETWEEN($C2-5,$C2+5)</f>
        <v>11</v>
      </c>
      <c r="I2" s="4">
        <f t="shared" ref="I2:L2" si="1">RANDBETWEEN($C$2-5,$C$2+5)</f>
        <v>17</v>
      </c>
      <c r="J2" s="4">
        <f t="shared" si="1"/>
        <v>16</v>
      </c>
      <c r="K2" s="4">
        <f t="shared" si="1"/>
        <v>13</v>
      </c>
      <c r="L2" s="4">
        <f t="shared" si="1"/>
        <v>17</v>
      </c>
      <c r="M2" s="3">
        <f t="shared" ref="M2:M13" si="5">AVERAGE(H2:L2)</f>
        <v>14.8</v>
      </c>
      <c r="N2" s="5">
        <f t="shared" ref="N2:N13" si="6">100*STDEV(H2:L2)/M2</f>
        <v>18.1302809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9</v>
      </c>
      <c r="B3" s="1" t="s">
        <v>10</v>
      </c>
      <c r="C3" s="3">
        <v>20.0</v>
      </c>
      <c r="D3" s="2">
        <v>1000000.0</v>
      </c>
      <c r="E3" s="2">
        <f t="shared" si="2"/>
        <v>204000</v>
      </c>
      <c r="F3" s="1"/>
      <c r="G3" s="1" t="s">
        <v>9</v>
      </c>
      <c r="H3" s="4">
        <f t="shared" si="3"/>
        <v>22</v>
      </c>
      <c r="I3" s="4">
        <f t="shared" ref="I3:L3" si="4">RANDBETWEEN($C3-5,$C3+5)</f>
        <v>15</v>
      </c>
      <c r="J3" s="4">
        <f t="shared" si="4"/>
        <v>23</v>
      </c>
      <c r="K3" s="4">
        <f t="shared" si="4"/>
        <v>23</v>
      </c>
      <c r="L3" s="4">
        <f t="shared" si="4"/>
        <v>19</v>
      </c>
      <c r="M3" s="3">
        <f t="shared" si="5"/>
        <v>20.4</v>
      </c>
      <c r="N3" s="5">
        <f t="shared" si="6"/>
        <v>16.83878827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1" t="s">
        <v>12</v>
      </c>
      <c r="C4" s="3">
        <v>24.0</v>
      </c>
      <c r="D4" s="2">
        <v>2000000.0</v>
      </c>
      <c r="E4" s="2">
        <f t="shared" si="2"/>
        <v>520000</v>
      </c>
      <c r="F4" s="1"/>
      <c r="G4" s="1" t="s">
        <v>11</v>
      </c>
      <c r="H4" s="4">
        <f t="shared" si="3"/>
        <v>27</v>
      </c>
      <c r="I4" s="4">
        <f t="shared" ref="I4:L4" si="7">RANDBETWEEN($C4-5,$C4+5)</f>
        <v>26</v>
      </c>
      <c r="J4" s="4">
        <f t="shared" si="7"/>
        <v>24</v>
      </c>
      <c r="K4" s="4">
        <f t="shared" si="7"/>
        <v>28</v>
      </c>
      <c r="L4" s="4">
        <f t="shared" si="7"/>
        <v>25</v>
      </c>
      <c r="M4" s="3">
        <f t="shared" si="5"/>
        <v>26</v>
      </c>
      <c r="N4" s="5">
        <f t="shared" si="6"/>
        <v>6.081303193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13</v>
      </c>
      <c r="B5" s="1" t="s">
        <v>14</v>
      </c>
      <c r="C5" s="3">
        <v>10.0</v>
      </c>
      <c r="D5" s="2">
        <v>750000.0</v>
      </c>
      <c r="E5" s="2">
        <f t="shared" si="2"/>
        <v>45000</v>
      </c>
      <c r="F5" s="1"/>
      <c r="G5" s="1" t="s">
        <v>13</v>
      </c>
      <c r="H5" s="4">
        <f t="shared" si="3"/>
        <v>6</v>
      </c>
      <c r="I5" s="4">
        <f t="shared" ref="I5:L5" si="8">RANDBETWEEN($C5-5,$C5+5)</f>
        <v>7</v>
      </c>
      <c r="J5" s="4">
        <f t="shared" si="8"/>
        <v>6</v>
      </c>
      <c r="K5" s="4">
        <f t="shared" si="8"/>
        <v>5</v>
      </c>
      <c r="L5" s="4">
        <f t="shared" si="8"/>
        <v>6</v>
      </c>
      <c r="M5" s="3">
        <f t="shared" si="5"/>
        <v>6</v>
      </c>
      <c r="N5" s="5">
        <f t="shared" si="6"/>
        <v>11.78511302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15</v>
      </c>
      <c r="B6" s="1" t="s">
        <v>16</v>
      </c>
      <c r="C6" s="3">
        <v>13.0</v>
      </c>
      <c r="D6" s="2">
        <v>2000000.0</v>
      </c>
      <c r="E6" s="2">
        <f t="shared" si="2"/>
        <v>280000</v>
      </c>
      <c r="F6" s="1"/>
      <c r="G6" s="1" t="s">
        <v>15</v>
      </c>
      <c r="H6" s="4">
        <f t="shared" si="3"/>
        <v>16</v>
      </c>
      <c r="I6" s="4">
        <f t="shared" ref="I6:L6" si="9">RANDBETWEEN($C6-5,$C6+5)</f>
        <v>17</v>
      </c>
      <c r="J6" s="4">
        <f t="shared" si="9"/>
        <v>12</v>
      </c>
      <c r="K6" s="4">
        <f t="shared" si="9"/>
        <v>17</v>
      </c>
      <c r="L6" s="4">
        <f t="shared" si="9"/>
        <v>8</v>
      </c>
      <c r="M6" s="3">
        <f t="shared" si="5"/>
        <v>14</v>
      </c>
      <c r="N6" s="5">
        <f t="shared" si="6"/>
        <v>28.12145669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17</v>
      </c>
      <c r="B7" s="1" t="s">
        <v>18</v>
      </c>
      <c r="C7" s="3">
        <v>18.0</v>
      </c>
      <c r="D7" s="2">
        <v>500000.0</v>
      </c>
      <c r="E7" s="2">
        <f t="shared" si="2"/>
        <v>89000</v>
      </c>
      <c r="F7" s="1"/>
      <c r="G7" s="1" t="s">
        <v>17</v>
      </c>
      <c r="H7" s="4">
        <f t="shared" si="3"/>
        <v>16</v>
      </c>
      <c r="I7" s="4">
        <f t="shared" ref="I7:L7" si="10">RANDBETWEEN($C7-5,$C7+5)</f>
        <v>21</v>
      </c>
      <c r="J7" s="4">
        <f t="shared" si="10"/>
        <v>21</v>
      </c>
      <c r="K7" s="4">
        <f t="shared" si="10"/>
        <v>15</v>
      </c>
      <c r="L7" s="4">
        <f t="shared" si="10"/>
        <v>16</v>
      </c>
      <c r="M7" s="3">
        <f t="shared" si="5"/>
        <v>17.8</v>
      </c>
      <c r="N7" s="5">
        <f t="shared" si="6"/>
        <v>16.57065304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19</v>
      </c>
      <c r="B8" s="1" t="s">
        <v>20</v>
      </c>
      <c r="C8" s="3">
        <v>15.0</v>
      </c>
      <c r="D8" s="2">
        <v>900000.0</v>
      </c>
      <c r="E8" s="2">
        <f t="shared" si="2"/>
        <v>120600</v>
      </c>
      <c r="F8" s="1"/>
      <c r="G8" s="1" t="s">
        <v>19</v>
      </c>
      <c r="H8" s="4">
        <f t="shared" si="3"/>
        <v>11</v>
      </c>
      <c r="I8" s="4">
        <f t="shared" ref="I8:L8" si="11">RANDBETWEEN($C8-5,$C8+5)</f>
        <v>16</v>
      </c>
      <c r="J8" s="4">
        <f t="shared" si="11"/>
        <v>13</v>
      </c>
      <c r="K8" s="4">
        <f t="shared" si="11"/>
        <v>12</v>
      </c>
      <c r="L8" s="4">
        <f t="shared" si="11"/>
        <v>15</v>
      </c>
      <c r="M8" s="3">
        <f t="shared" si="5"/>
        <v>13.4</v>
      </c>
      <c r="N8" s="5">
        <f t="shared" si="6"/>
        <v>15.47495623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21</v>
      </c>
      <c r="B9" s="6" t="s">
        <v>22</v>
      </c>
      <c r="C9" s="3">
        <v>24.0</v>
      </c>
      <c r="D9" s="2">
        <v>2500000.0</v>
      </c>
      <c r="E9" s="2">
        <f t="shared" si="2"/>
        <v>650000</v>
      </c>
      <c r="F9" s="1"/>
      <c r="G9" s="1" t="s">
        <v>21</v>
      </c>
      <c r="H9" s="4">
        <f t="shared" si="3"/>
        <v>28</v>
      </c>
      <c r="I9" s="4">
        <f t="shared" ref="I9:L9" si="12">RANDBETWEEN($C9-5,$C9+5)</f>
        <v>22</v>
      </c>
      <c r="J9" s="4">
        <f t="shared" si="12"/>
        <v>26</v>
      </c>
      <c r="K9" s="4">
        <f t="shared" si="12"/>
        <v>26</v>
      </c>
      <c r="L9" s="4">
        <f t="shared" si="12"/>
        <v>28</v>
      </c>
      <c r="M9" s="3">
        <f t="shared" si="5"/>
        <v>26</v>
      </c>
      <c r="N9" s="5">
        <f t="shared" si="6"/>
        <v>9.421114395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23</v>
      </c>
      <c r="B10" s="1" t="s">
        <v>24</v>
      </c>
      <c r="C10" s="3">
        <v>33.0</v>
      </c>
      <c r="D10" s="2">
        <v>1000000.0</v>
      </c>
      <c r="E10" s="2">
        <f t="shared" si="2"/>
        <v>356000</v>
      </c>
      <c r="F10" s="1"/>
      <c r="G10" s="1" t="s">
        <v>23</v>
      </c>
      <c r="H10" s="4">
        <f t="shared" si="3"/>
        <v>31</v>
      </c>
      <c r="I10" s="4">
        <f t="shared" ref="I10:L10" si="13">RANDBETWEEN($C10-5,$C10+5)</f>
        <v>38</v>
      </c>
      <c r="J10" s="4">
        <f t="shared" si="13"/>
        <v>34</v>
      </c>
      <c r="K10" s="4">
        <f t="shared" si="13"/>
        <v>38</v>
      </c>
      <c r="L10" s="4">
        <f t="shared" si="13"/>
        <v>37</v>
      </c>
      <c r="M10" s="3">
        <f t="shared" si="5"/>
        <v>35.6</v>
      </c>
      <c r="N10" s="5">
        <f t="shared" si="6"/>
        <v>8.566264428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25</v>
      </c>
      <c r="B11" s="1" t="s">
        <v>26</v>
      </c>
      <c r="C11" s="3">
        <v>32.0</v>
      </c>
      <c r="D11" s="2">
        <v>2000000.0</v>
      </c>
      <c r="E11" s="2">
        <f t="shared" si="2"/>
        <v>648000</v>
      </c>
      <c r="F11" s="1"/>
      <c r="G11" s="1" t="s">
        <v>25</v>
      </c>
      <c r="H11" s="4">
        <f t="shared" si="3"/>
        <v>32</v>
      </c>
      <c r="I11" s="4">
        <f t="shared" ref="I11:L11" si="14">RANDBETWEEN($C11-5,$C11+5)</f>
        <v>35</v>
      </c>
      <c r="J11" s="4">
        <f t="shared" si="14"/>
        <v>37</v>
      </c>
      <c r="K11" s="4">
        <f t="shared" si="14"/>
        <v>30</v>
      </c>
      <c r="L11" s="4">
        <f t="shared" si="14"/>
        <v>28</v>
      </c>
      <c r="M11" s="3">
        <f t="shared" si="5"/>
        <v>32.4</v>
      </c>
      <c r="N11" s="5">
        <f t="shared" si="6"/>
        <v>11.25591514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27</v>
      </c>
      <c r="B12" s="1" t="s">
        <v>28</v>
      </c>
      <c r="C12" s="3">
        <v>28.0</v>
      </c>
      <c r="D12" s="2">
        <v>500000.0</v>
      </c>
      <c r="E12" s="2">
        <f t="shared" si="2"/>
        <v>132000</v>
      </c>
      <c r="F12" s="1"/>
      <c r="G12" s="1" t="s">
        <v>27</v>
      </c>
      <c r="H12" s="4">
        <f t="shared" si="3"/>
        <v>27</v>
      </c>
      <c r="I12" s="4">
        <f t="shared" ref="I12:L12" si="15">RANDBETWEEN($C12-5,$C12+5)</f>
        <v>31</v>
      </c>
      <c r="J12" s="4">
        <f t="shared" si="15"/>
        <v>26</v>
      </c>
      <c r="K12" s="4">
        <f t="shared" si="15"/>
        <v>25</v>
      </c>
      <c r="L12" s="4">
        <f t="shared" si="15"/>
        <v>23</v>
      </c>
      <c r="M12" s="3">
        <f t="shared" si="5"/>
        <v>26.4</v>
      </c>
      <c r="N12" s="5">
        <f t="shared" si="6"/>
        <v>11.23666437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29</v>
      </c>
      <c r="B13" s="1" t="s">
        <v>30</v>
      </c>
      <c r="C13" s="3">
        <v>26.0</v>
      </c>
      <c r="D13" s="2">
        <v>1500000.0</v>
      </c>
      <c r="E13" s="2">
        <f t="shared" si="2"/>
        <v>420000</v>
      </c>
      <c r="F13" s="1"/>
      <c r="G13" s="1" t="s">
        <v>29</v>
      </c>
      <c r="H13" s="4">
        <f t="shared" si="3"/>
        <v>31</v>
      </c>
      <c r="I13" s="4">
        <f t="shared" ref="I13:L13" si="16">RANDBETWEEN($C13-5,$C13+5)</f>
        <v>23</v>
      </c>
      <c r="J13" s="4">
        <f t="shared" si="16"/>
        <v>28</v>
      </c>
      <c r="K13" s="4">
        <f t="shared" si="16"/>
        <v>28</v>
      </c>
      <c r="L13" s="4">
        <f t="shared" si="16"/>
        <v>30</v>
      </c>
      <c r="M13" s="3">
        <f t="shared" si="5"/>
        <v>28</v>
      </c>
      <c r="N13" s="5">
        <f t="shared" si="6"/>
        <v>11.00788215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2"/>
      <c r="E14" s="2">
        <f>SUM(E2:E13)</f>
        <v>3612600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4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4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4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4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4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4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4"/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4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4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4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4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4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9.14"/>
    <col customWidth="1" min="3" max="3" width="6.29"/>
    <col customWidth="1" min="4" max="4" width="5.14"/>
    <col customWidth="1" min="5" max="5" width="6.29"/>
    <col customWidth="1" min="6" max="26" width="8.71"/>
  </cols>
  <sheetData>
    <row r="1" ht="14.25" customHeight="1">
      <c r="A1" s="1" t="s">
        <v>0</v>
      </c>
      <c r="B1" s="1" t="s">
        <v>5</v>
      </c>
      <c r="C1" s="1" t="s">
        <v>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31</v>
      </c>
      <c r="B2" s="7">
        <v>22.0</v>
      </c>
      <c r="C2" s="7">
        <v>6.2</v>
      </c>
      <c r="D2" s="1">
        <f t="shared" ref="D2:E2" si="1">B2/100</f>
        <v>0.22</v>
      </c>
      <c r="E2" s="1">
        <f t="shared" si="1"/>
        <v>0.062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9</v>
      </c>
      <c r="B3" s="1">
        <v>23.0</v>
      </c>
      <c r="C3" s="7">
        <v>17.7</v>
      </c>
      <c r="D3" s="1">
        <f t="shared" ref="D3:E3" si="2">B3/100</f>
        <v>0.23</v>
      </c>
      <c r="E3" s="1">
        <f t="shared" si="2"/>
        <v>0.177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11</v>
      </c>
      <c r="B4" s="1">
        <v>25.0</v>
      </c>
      <c r="C4" s="7">
        <v>14.1</v>
      </c>
      <c r="D4" s="1">
        <f t="shared" ref="D4:E4" si="3">B4/100</f>
        <v>0.25</v>
      </c>
      <c r="E4" s="1">
        <f t="shared" si="3"/>
        <v>0.141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13</v>
      </c>
      <c r="B5" s="1">
        <v>23.0</v>
      </c>
      <c r="C5" s="7">
        <v>11.2</v>
      </c>
      <c r="D5" s="1">
        <f t="shared" ref="D5:E5" si="4">B5/100</f>
        <v>0.23</v>
      </c>
      <c r="E5" s="1">
        <f t="shared" si="4"/>
        <v>0.112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15</v>
      </c>
      <c r="B6" s="1">
        <v>35.0</v>
      </c>
      <c r="C6" s="7">
        <v>8.7</v>
      </c>
      <c r="D6" s="1">
        <f t="shared" ref="D6:E6" si="5">B6/100</f>
        <v>0.35</v>
      </c>
      <c r="E6" s="1">
        <f t="shared" si="5"/>
        <v>0.087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17</v>
      </c>
      <c r="B7" s="1">
        <v>33.0</v>
      </c>
      <c r="C7" s="7">
        <v>10.3</v>
      </c>
      <c r="D7" s="1">
        <f t="shared" ref="D7:E7" si="6">B7/100</f>
        <v>0.33</v>
      </c>
      <c r="E7" s="1">
        <f t="shared" si="6"/>
        <v>0.103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19</v>
      </c>
      <c r="B8" s="1">
        <v>34.0</v>
      </c>
      <c r="C8" s="7">
        <v>3.2</v>
      </c>
      <c r="D8" s="1">
        <f t="shared" ref="D8:E8" si="7">B8/100</f>
        <v>0.34</v>
      </c>
      <c r="E8" s="1">
        <f t="shared" si="7"/>
        <v>0.032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21</v>
      </c>
      <c r="B9" s="1">
        <v>14.0</v>
      </c>
      <c r="C9" s="7">
        <v>24.1</v>
      </c>
      <c r="D9" s="1">
        <f t="shared" ref="D9:E9" si="8">B9/100</f>
        <v>0.14</v>
      </c>
      <c r="E9" s="1">
        <f t="shared" si="8"/>
        <v>0.241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23</v>
      </c>
      <c r="B10" s="1">
        <v>17.0</v>
      </c>
      <c r="C10" s="7">
        <v>28.4</v>
      </c>
      <c r="D10" s="1">
        <f t="shared" ref="D10:E10" si="9">B10/100</f>
        <v>0.17</v>
      </c>
      <c r="E10" s="1">
        <f t="shared" si="9"/>
        <v>0.284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25</v>
      </c>
      <c r="B11" s="1">
        <v>17.0</v>
      </c>
      <c r="C11" s="7">
        <v>33.2</v>
      </c>
      <c r="D11" s="1">
        <f t="shared" ref="D11:E11" si="10">B11/100</f>
        <v>0.17</v>
      </c>
      <c r="E11" s="1">
        <f t="shared" si="10"/>
        <v>0.332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 t="s">
        <v>27</v>
      </c>
      <c r="B12" s="1">
        <v>15.0</v>
      </c>
      <c r="C12" s="7">
        <v>27.6</v>
      </c>
      <c r="D12" s="1">
        <f t="shared" ref="D12:E12" si="11">B12/100</f>
        <v>0.15</v>
      </c>
      <c r="E12" s="1">
        <f t="shared" si="11"/>
        <v>0.276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29</v>
      </c>
      <c r="B13" s="1">
        <v>16.0</v>
      </c>
      <c r="C13" s="7">
        <v>30.3</v>
      </c>
      <c r="D13" s="1">
        <f t="shared" ref="D13:E13" si="12">B13/100</f>
        <v>0.16</v>
      </c>
      <c r="E13" s="1">
        <f t="shared" si="12"/>
        <v>0.303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0</v>
      </c>
      <c r="B14" s="1" t="s">
        <v>5</v>
      </c>
      <c r="C14" s="1" t="s">
        <v>6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31</v>
      </c>
      <c r="B15" s="1">
        <v>0.22</v>
      </c>
      <c r="C15" s="1">
        <v>0.062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9</v>
      </c>
      <c r="B16" s="1">
        <v>0.23</v>
      </c>
      <c r="C16" s="1">
        <v>0.177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11</v>
      </c>
      <c r="B17" s="1">
        <v>0.25</v>
      </c>
      <c r="C17" s="1">
        <v>0.141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13</v>
      </c>
      <c r="B18" s="1">
        <v>0.23</v>
      </c>
      <c r="C18" s="1">
        <v>0.11199999999999999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15</v>
      </c>
      <c r="B19" s="1">
        <v>0.35</v>
      </c>
      <c r="C19" s="1">
        <v>0.087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17</v>
      </c>
      <c r="B20" s="1">
        <v>0.33</v>
      </c>
      <c r="C20" s="1">
        <v>0.10300000000000001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19</v>
      </c>
      <c r="B21" s="1">
        <v>0.34</v>
      </c>
      <c r="C21" s="1">
        <v>0.032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 t="s">
        <v>21</v>
      </c>
      <c r="B22" s="1">
        <v>0.14</v>
      </c>
      <c r="C22" s="1">
        <v>0.24100000000000002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 t="s">
        <v>23</v>
      </c>
      <c r="B23" s="1">
        <v>0.17</v>
      </c>
      <c r="C23" s="1">
        <v>0.284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25</v>
      </c>
      <c r="B24" s="1">
        <v>0.17</v>
      </c>
      <c r="C24" s="1">
        <v>0.332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27</v>
      </c>
      <c r="B25" s="1">
        <v>0.15</v>
      </c>
      <c r="C25" s="1">
        <v>0.276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 t="s">
        <v>29</v>
      </c>
      <c r="B26" s="1">
        <v>0.16</v>
      </c>
      <c r="C26" s="1">
        <v>0.303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170.29"/>
    <col customWidth="1" min="3" max="3" width="33.43"/>
    <col customWidth="1" min="4" max="4" width="7.14"/>
    <col customWidth="1" min="5" max="5" width="33.29"/>
    <col customWidth="1" min="6" max="6" width="21.0"/>
    <col customWidth="1" min="7" max="7" width="24.29"/>
    <col customWidth="1" min="8" max="8" width="21.57"/>
    <col customWidth="1" min="9" max="13" width="3.43"/>
    <col customWidth="1" min="14" max="14" width="9.14"/>
    <col customWidth="1" min="15" max="15" width="5.14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32</v>
      </c>
      <c r="E1" s="1" t="s">
        <v>3</v>
      </c>
      <c r="F1" s="1" t="s">
        <v>33</v>
      </c>
      <c r="G1" s="1" t="s">
        <v>34</v>
      </c>
      <c r="H1" s="1" t="s">
        <v>0</v>
      </c>
      <c r="I1" s="1">
        <v>1.0</v>
      </c>
      <c r="J1" s="1">
        <v>2.0</v>
      </c>
      <c r="K1" s="1">
        <v>3.0</v>
      </c>
      <c r="L1" s="1">
        <v>4.0</v>
      </c>
      <c r="M1" s="1">
        <v>5.0</v>
      </c>
      <c r="N1" s="1" t="s">
        <v>5</v>
      </c>
      <c r="O1" s="1" t="s">
        <v>6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8</v>
      </c>
      <c r="C2" s="1">
        <f t="shared" ref="C2:C13" si="1">N2</f>
        <v>14.8</v>
      </c>
      <c r="D2" s="1">
        <v>7.0</v>
      </c>
      <c r="E2" s="1">
        <v>1000000.0</v>
      </c>
      <c r="F2" s="1">
        <f t="shared" ref="F2:F13" si="2">C2*E2/100</f>
        <v>148000</v>
      </c>
      <c r="G2" s="1">
        <f t="shared" ref="G2:G13" si="3">D2*E2/100</f>
        <v>70000</v>
      </c>
      <c r="H2" s="1" t="s">
        <v>7</v>
      </c>
      <c r="I2" s="1">
        <v>13.0</v>
      </c>
      <c r="J2" s="1">
        <v>11.0</v>
      </c>
      <c r="K2" s="1">
        <v>20.0</v>
      </c>
      <c r="L2" s="1">
        <v>10.0</v>
      </c>
      <c r="M2" s="1">
        <v>20.0</v>
      </c>
      <c r="N2" s="1">
        <v>14.8</v>
      </c>
      <c r="O2" s="5">
        <v>32.893679580102926</v>
      </c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9</v>
      </c>
      <c r="B3" s="1" t="s">
        <v>10</v>
      </c>
      <c r="C3" s="1">
        <f t="shared" si="1"/>
        <v>19</v>
      </c>
      <c r="D3" s="1">
        <v>13.0</v>
      </c>
      <c r="E3" s="1">
        <v>1000000.0</v>
      </c>
      <c r="F3" s="1">
        <f t="shared" si="2"/>
        <v>190000</v>
      </c>
      <c r="G3" s="1">
        <f t="shared" si="3"/>
        <v>130000</v>
      </c>
      <c r="H3" s="1" t="s">
        <v>9</v>
      </c>
      <c r="I3" s="1">
        <v>15.0</v>
      </c>
      <c r="J3" s="1">
        <v>17.0</v>
      </c>
      <c r="K3" s="1">
        <v>24.0</v>
      </c>
      <c r="L3" s="1">
        <v>20.0</v>
      </c>
      <c r="M3" s="1">
        <v>19.0</v>
      </c>
      <c r="N3" s="1">
        <v>19.0</v>
      </c>
      <c r="O3" s="5">
        <v>17.848236797698075</v>
      </c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11</v>
      </c>
      <c r="B4" s="1" t="s">
        <v>12</v>
      </c>
      <c r="C4" s="1">
        <f t="shared" si="1"/>
        <v>24.4</v>
      </c>
      <c r="D4" s="1">
        <v>17.0</v>
      </c>
      <c r="E4" s="1">
        <v>2000000.0</v>
      </c>
      <c r="F4" s="1">
        <f t="shared" si="2"/>
        <v>488000</v>
      </c>
      <c r="G4" s="1">
        <f t="shared" si="3"/>
        <v>340000</v>
      </c>
      <c r="H4" s="1" t="s">
        <v>11</v>
      </c>
      <c r="I4" s="1">
        <v>20.0</v>
      </c>
      <c r="J4" s="1">
        <v>27.0</v>
      </c>
      <c r="K4" s="1">
        <v>23.0</v>
      </c>
      <c r="L4" s="1">
        <v>28.0</v>
      </c>
      <c r="M4" s="1">
        <v>24.0</v>
      </c>
      <c r="N4" s="1">
        <v>24.4</v>
      </c>
      <c r="O4" s="5">
        <v>13.153120111378016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13</v>
      </c>
      <c r="B5" s="1" t="s">
        <v>14</v>
      </c>
      <c r="C5" s="1">
        <f t="shared" si="1"/>
        <v>11</v>
      </c>
      <c r="D5" s="1">
        <v>4.0</v>
      </c>
      <c r="E5" s="1">
        <v>750000.0</v>
      </c>
      <c r="F5" s="1">
        <f t="shared" si="2"/>
        <v>82500</v>
      </c>
      <c r="G5" s="1">
        <f t="shared" si="3"/>
        <v>30000</v>
      </c>
      <c r="H5" s="1" t="s">
        <v>13</v>
      </c>
      <c r="I5" s="1">
        <v>10.0</v>
      </c>
      <c r="J5" s="1">
        <v>14.0</v>
      </c>
      <c r="K5" s="1">
        <v>12.0</v>
      </c>
      <c r="L5" s="1">
        <v>13.0</v>
      </c>
      <c r="M5" s="1">
        <v>6.0</v>
      </c>
      <c r="N5" s="1">
        <v>11.0</v>
      </c>
      <c r="O5" s="5">
        <v>28.74797872880345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15</v>
      </c>
      <c r="B6" s="1" t="s">
        <v>16</v>
      </c>
      <c r="C6" s="1">
        <f t="shared" si="1"/>
        <v>15</v>
      </c>
      <c r="D6" s="1">
        <v>8.0</v>
      </c>
      <c r="E6" s="1">
        <v>2000000.0</v>
      </c>
      <c r="F6" s="1">
        <f t="shared" si="2"/>
        <v>300000</v>
      </c>
      <c r="G6" s="1">
        <f t="shared" si="3"/>
        <v>160000</v>
      </c>
      <c r="H6" s="1" t="s">
        <v>15</v>
      </c>
      <c r="I6" s="1">
        <v>8.0</v>
      </c>
      <c r="J6" s="1">
        <v>14.0</v>
      </c>
      <c r="K6" s="1">
        <v>17.0</v>
      </c>
      <c r="L6" s="1">
        <v>18.0</v>
      </c>
      <c r="M6" s="1">
        <v>18.0</v>
      </c>
      <c r="N6" s="1">
        <v>15.0</v>
      </c>
      <c r="O6" s="5">
        <v>28.2842712474619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17</v>
      </c>
      <c r="B7" s="1" t="s">
        <v>18</v>
      </c>
      <c r="C7" s="1">
        <f t="shared" si="1"/>
        <v>17.4</v>
      </c>
      <c r="D7" s="1">
        <v>10.0</v>
      </c>
      <c r="E7" s="1">
        <v>500000.0</v>
      </c>
      <c r="F7" s="1">
        <f t="shared" si="2"/>
        <v>87000</v>
      </c>
      <c r="G7" s="1">
        <f t="shared" si="3"/>
        <v>50000</v>
      </c>
      <c r="H7" s="1" t="s">
        <v>17</v>
      </c>
      <c r="I7" s="1">
        <v>14.0</v>
      </c>
      <c r="J7" s="1">
        <v>13.0</v>
      </c>
      <c r="K7" s="1">
        <v>23.0</v>
      </c>
      <c r="L7" s="1">
        <v>14.0</v>
      </c>
      <c r="M7" s="1">
        <v>23.0</v>
      </c>
      <c r="N7" s="1">
        <v>17.4</v>
      </c>
      <c r="O7" s="5">
        <v>29.473290586110554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19</v>
      </c>
      <c r="B8" s="1" t="s">
        <v>20</v>
      </c>
      <c r="C8" s="1">
        <f t="shared" si="1"/>
        <v>14</v>
      </c>
      <c r="D8" s="1">
        <v>8.0</v>
      </c>
      <c r="E8" s="1">
        <v>900000.0</v>
      </c>
      <c r="F8" s="1">
        <f t="shared" si="2"/>
        <v>126000</v>
      </c>
      <c r="G8" s="1">
        <f t="shared" si="3"/>
        <v>72000</v>
      </c>
      <c r="H8" s="1" t="s">
        <v>19</v>
      </c>
      <c r="I8" s="1">
        <v>15.0</v>
      </c>
      <c r="J8" s="1">
        <v>16.0</v>
      </c>
      <c r="K8" s="1">
        <v>14.0</v>
      </c>
      <c r="L8" s="1">
        <v>14.0</v>
      </c>
      <c r="M8" s="1">
        <v>11.0</v>
      </c>
      <c r="N8" s="1">
        <v>14.0</v>
      </c>
      <c r="O8" s="5">
        <v>13.363062095621219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21</v>
      </c>
      <c r="B9" s="1" t="s">
        <v>22</v>
      </c>
      <c r="C9" s="1">
        <f t="shared" si="1"/>
        <v>23</v>
      </c>
      <c r="D9" s="1">
        <v>10.0</v>
      </c>
      <c r="E9" s="1">
        <v>2500000.0</v>
      </c>
      <c r="F9" s="1">
        <f t="shared" si="2"/>
        <v>575000</v>
      </c>
      <c r="G9" s="1">
        <f t="shared" si="3"/>
        <v>250000</v>
      </c>
      <c r="H9" s="1" t="s">
        <v>21</v>
      </c>
      <c r="I9" s="1">
        <v>22.0</v>
      </c>
      <c r="J9" s="1">
        <v>28.0</v>
      </c>
      <c r="K9" s="1">
        <v>23.0</v>
      </c>
      <c r="L9" s="1">
        <v>23.0</v>
      </c>
      <c r="M9" s="1">
        <v>19.0</v>
      </c>
      <c r="N9" s="1">
        <v>23.0</v>
      </c>
      <c r="O9" s="5">
        <v>14.08856673566926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23</v>
      </c>
      <c r="B10" s="1" t="s">
        <v>24</v>
      </c>
      <c r="C10" s="1">
        <f t="shared" si="1"/>
        <v>32</v>
      </c>
      <c r="D10" s="1">
        <v>25.0</v>
      </c>
      <c r="E10" s="1">
        <v>1000000.0</v>
      </c>
      <c r="F10" s="1">
        <f t="shared" si="2"/>
        <v>320000</v>
      </c>
      <c r="G10" s="1">
        <f t="shared" si="3"/>
        <v>250000</v>
      </c>
      <c r="H10" s="1" t="s">
        <v>23</v>
      </c>
      <c r="I10" s="1">
        <v>33.0</v>
      </c>
      <c r="J10" s="1">
        <v>30.0</v>
      </c>
      <c r="K10" s="1">
        <v>29.0</v>
      </c>
      <c r="L10" s="1">
        <v>34.0</v>
      </c>
      <c r="M10" s="1">
        <v>34.0</v>
      </c>
      <c r="N10" s="1">
        <v>32.0</v>
      </c>
      <c r="O10" s="5">
        <v>7.328774624724109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25</v>
      </c>
      <c r="B11" s="1" t="s">
        <v>26</v>
      </c>
      <c r="C11" s="1">
        <f t="shared" si="1"/>
        <v>30.8</v>
      </c>
      <c r="D11" s="1">
        <v>19.0</v>
      </c>
      <c r="E11" s="1">
        <v>2000000.0</v>
      </c>
      <c r="F11" s="1">
        <f t="shared" si="2"/>
        <v>616000</v>
      </c>
      <c r="G11" s="1">
        <f t="shared" si="3"/>
        <v>380000</v>
      </c>
      <c r="H11" s="1" t="s">
        <v>25</v>
      </c>
      <c r="I11" s="1">
        <v>30.0</v>
      </c>
      <c r="J11" s="1">
        <v>30.0</v>
      </c>
      <c r="K11" s="1">
        <v>27.0</v>
      </c>
      <c r="L11" s="1">
        <v>33.0</v>
      </c>
      <c r="M11" s="1">
        <v>34.0</v>
      </c>
      <c r="N11" s="1">
        <v>30.8</v>
      </c>
      <c r="O11" s="5">
        <v>9.009374626955589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27</v>
      </c>
      <c r="B12" s="1" t="s">
        <v>28</v>
      </c>
      <c r="C12" s="1">
        <f t="shared" si="1"/>
        <v>29.6</v>
      </c>
      <c r="D12" s="1">
        <v>22.0</v>
      </c>
      <c r="E12" s="1">
        <v>500000.0</v>
      </c>
      <c r="F12" s="1">
        <f t="shared" si="2"/>
        <v>148000</v>
      </c>
      <c r="G12" s="1">
        <f t="shared" si="3"/>
        <v>110000</v>
      </c>
      <c r="H12" s="1" t="s">
        <v>27</v>
      </c>
      <c r="I12" s="1">
        <v>33.0</v>
      </c>
      <c r="J12" s="1">
        <v>31.0</v>
      </c>
      <c r="K12" s="1">
        <v>33.0</v>
      </c>
      <c r="L12" s="1">
        <v>27.0</v>
      </c>
      <c r="M12" s="1">
        <v>24.0</v>
      </c>
      <c r="N12" s="1">
        <v>29.6</v>
      </c>
      <c r="O12" s="5">
        <v>13.428788455643081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29</v>
      </c>
      <c r="B13" s="1" t="s">
        <v>30</v>
      </c>
      <c r="C13" s="1">
        <f t="shared" si="1"/>
        <v>25.2</v>
      </c>
      <c r="D13" s="1">
        <v>15.0</v>
      </c>
      <c r="E13" s="1">
        <v>1500000.0</v>
      </c>
      <c r="F13" s="1">
        <f t="shared" si="2"/>
        <v>378000</v>
      </c>
      <c r="G13" s="1">
        <f t="shared" si="3"/>
        <v>225000</v>
      </c>
      <c r="H13" s="1" t="s">
        <v>29</v>
      </c>
      <c r="I13" s="1">
        <v>31.0</v>
      </c>
      <c r="J13" s="1">
        <v>23.0</v>
      </c>
      <c r="K13" s="1">
        <v>21.0</v>
      </c>
      <c r="L13" s="1">
        <v>24.0</v>
      </c>
      <c r="M13" s="1">
        <v>27.0</v>
      </c>
      <c r="N13" s="1">
        <v>25.2</v>
      </c>
      <c r="O13" s="5">
        <v>15.471102134617427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>
        <v>3458500.0</v>
      </c>
      <c r="G14" s="3">
        <f>SUM(G2:G13)</f>
        <v>2067000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3">
        <f>F14-G14</f>
        <v>1391500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Hong Hanh Nguyen</dc:creator>
</cp:coreProperties>
</file>