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Итоги" sheetId="1" r:id="rId5"/>
    <sheet state="hidden" name="н" sheetId="2" r:id="rId6"/>
    <sheet state="visible" name="Ссылка на образцы" sheetId="3" r:id="rId7"/>
    <sheet state="visible" name="N3445" sheetId="4" r:id="rId8"/>
    <sheet state="visible" name="N3446" sheetId="5" r:id="rId9"/>
    <sheet state="visible" name="N3447" sheetId="6" r:id="rId10"/>
    <sheet state="visible" name="N3448" sheetId="7" r:id="rId11"/>
    <sheet state="visible" name="N3449" sheetId="8" r:id="rId12"/>
    <sheet state="visible" name="N3450" sheetId="9" r:id="rId13"/>
    <sheet state="visible" name="N3451" sheetId="10" r:id="rId14"/>
    <sheet state="visible" name="N3452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tc={0496b6d8-6a17-41e5-823e-c8f966ce3f0e}</author>
    <author>tc={4d0d6cb3-b038-4399-a4cd-63a306a9b51b}</author>
    <author>tc={5eb8117d-31f7-4330-a23b-5ef75d1e9bae}</author>
    <author>tc={a1c98786-db2d-4ec3-b3e6-646ef5ff7b90}</author>
  </authors>
  <commentList>
    <comment authorId="0" xr:uid="{0496b6d8-6a17-41e5-823e-c8f966ce3f0e}" ref="P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Срочно введите ИЗ в ИСУ
</t>
      </text>
    </comment>
    <comment authorId="1" xr:uid="{4d0d6cb3-b038-4399-a4cd-63a306a9b51b}" ref="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Введите данные вн. руководителя и ИЗ в ИСУ
</t>
      </text>
    </comment>
    <comment authorId="2" xr:uid="{5eb8117d-31f7-4330-a23b-5ef75d1e9bae}" ref="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Карточку откатили! загружайте исправленные докум. в архив.
</t>
      </text>
    </comment>
    <comment authorId="3" xr:uid="{a1c98786-db2d-4ec3-b3e6-646ef5ff7b90}" ref="P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Исправьте и заново загрузите документы в архив ИСУ.
Reply:
	Исправьте и заново загрузите документы в архив ИСУ.
1. В ИЗ не правильно указаны даты окончания этапов , они должны соответствовать датам в ИЗ ИСУ. 
2.Отзыв руков. не соответствует Образцу и не выставлена Итоговая оценка.
3.В Отчете Список литературы составлен не по ГОСТу.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tc={05c50346-ce21-483c-a4e5-0a8683696b94}</author>
    <author>tc={20bce268-cc3b-4bb5-b66e-33cdedcd1df0}</author>
    <author>tc={44c8e085-049c-47c1-a7d2-c4a689831e26}</author>
    <author>tc={6d7048f5-f7c0-4061-83ea-2bed5c0cf84b}</author>
    <author>tc={9dfd8c1d-10fe-4cc6-bac8-b4c405f54626}</author>
  </authors>
  <commentList>
    <comment authorId="0" xr:uid="{05c50346-ce21-483c-a4e5-0a8683696b94}" ref="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19.04_Срочно введите ИЗ в ИСУ
Reply:
	Срочно введите ИЗ в ИСУ, окончание ПТП 29.04.26!
</t>
      </text>
    </comment>
    <comment authorId="1" xr:uid="{20bce268-cc3b-4bb5-b66e-33cdedcd1df0}" ref="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19.04_Срочно введите ИЗ в ИСУ
</t>
      </text>
    </comment>
    <comment authorId="2" xr:uid="{44c8e085-049c-47c1-a7d2-c4a689831e26}" ref="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Здравствуйте! 
В Отзыве вн.руковод. проставьте оценку Отлично, и заново загрузите в архив ИСУ. Остальное всё правильно.
Reply:
	В графе Итоговая оценка
</t>
      </text>
    </comment>
    <comment authorId="3" xr:uid="{6d7048f5-f7c0-4061-83ea-2bed5c0cf84b}" ref="P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Отправил
</t>
      </text>
    </comment>
    <comment authorId="4" xr:uid="{9dfd8c1d-10fe-4cc6-bac8-b4c405f54626}" ref="P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28.02.2026, почту внрука добавил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tc={56d5f87d-13ae-4c18-8693-7dae28dc4d2b}</author>
    <author>tc={70f731b3-371f-4d2e-ac37-a2eedd20ddcf}</author>
    <author>tc={a4ba3d25-cadb-49a3-a3e6-8e3258e347c9}</author>
  </authors>
  <commentList>
    <comment authorId="0" xr:uid="{56d5f87d-13ae-4c18-8693-7dae28dc4d2b}" ref="P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Нет подписей Канжелева Ю.А.
</t>
      </text>
    </comment>
    <comment authorId="1" xr:uid="{70f731b3-371f-4d2e-ac37-a2eedd20ddcf}" ref="P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Исправьте подпись вн. руков.
</t>
      </text>
    </comment>
    <comment authorId="2" xr:uid="{a4ba3d25-cadb-49a3-a3e6-8e3258e347c9}" ref="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19.04_Введите данные руковод. и ИЗ в ИСУ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tc={74dd49f0-0b49-45b2-93fd-ffcd25db10c8}</author>
    <author>tc={a1725662-c18c-446b-9363-339da7622566}</author>
  </authors>
  <commentList>
    <comment authorId="0" xr:uid="{74dd49f0-0b49-45b2-93fd-ffcd25db10c8}" ref="P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Уточните у вн. руков.  - почему он не утверждает ваше ИЗ?
</t>
      </text>
    </comment>
    <comment authorId="1" xr:uid="{a1725662-c18c-446b-9363-339da7622566}" ref="P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9.03 - исправил
Reply:
	Отправил ИЗ на согласование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tc={123f25dd-ca0c-4d65-b0ad-36ad6b671a1c}</author>
    <author>tc={8491d9a6-e9a2-439d-a9f0-b8fb3ae4074c}</author>
    <author>tc={c2cbdc4f-2d56-4624-aff8-b3b23cfd3d7b}</author>
  </authors>
  <commentList>
    <comment authorId="0" xr:uid="{123f25dd-ca0c-4d65-b0ad-36ad6b671a1c}" ref="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Заполнил
Reply:
	Ввела в ИСУ
</t>
      </text>
    </comment>
    <comment authorId="1" xr:uid="{8491d9a6-e9a2-439d-a9f0-b8fb3ae4074c}" ref="P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19.04_Срочно сообщите данные руков. ПТП и введите ИЗ в ИСУ
</t>
      </text>
    </comment>
    <comment authorId="2" xr:uid="{c2cbdc4f-2d56-4624-aff8-b3b23cfd3d7b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Когда замените ИЗ сообщите
Reply:
	Исправил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tc={547cbbf6-d576-42b0-809d-e7838202eb23}</author>
    <author>tc={9ffdc713-a661-4b73-b993-71eb09ca49d7}</author>
  </authors>
  <commentList>
    <comment authorId="0" xr:uid="{547cbbf6-d576-42b0-809d-e7838202eb23}" ref="Q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Когда замените ИЗ сообщите
Reply:
	Исправил ИЗ
Reply:
	В Оглавление Отчета нет Списка Литературы. Исправьте и загрузите заново.
Reply:
	Всё исправил
Reply:
	Теперь должен утв. Канжелев Ю.А.
Reply:
	Утвердил
</t>
      </text>
    </comment>
    <comment authorId="1" xr:uid="{9ffdc713-a661-4b73-b993-71eb09ca49d7}" ref="P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архиве д.б. 3 pdf-файла:
ИЗ,Отзыв, Отчет. Исправьте и заново загрузите архив.
Reply:
	В Отчете нет Списка литературы. Исправьте и заново загрузите в архив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tc={04188738-a305-4858-bd90-4724f49c4de3}</author>
    <author>tc={2945ed0d-0f97-4852-8a08-4cc3a1dea3d5}</author>
    <author>tc={775869e0-dd43-48d9-b885-6439fefd005f}</author>
    <author>tc={c59e2331-6b87-4d76-990e-7f0294517704}</author>
    <author>tc={f81e1dc9-775d-4860-aea1-c52f90f2a6ea}</author>
  </authors>
  <commentList>
    <comment authorId="0" xr:uid="{04188738-a305-4858-bd90-4724f49c4de3}" ref="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19.04_Срочно введите почту вн. руков.  и ИЗ в ИСУ
</t>
      </text>
    </comment>
    <comment authorId="1" xr:uid="{2945ed0d-0f97-4852-8a08-4cc3a1dea3d5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18.04_Почему вн. руков. до сих пор не утвердил ИЗ?
</t>
      </text>
    </comment>
    <comment authorId="2" xr:uid="{775869e0-dd43-48d9-b885-6439fefd005f}" ref="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19.04_Срочно введите ИЗ в ИСУ
</t>
      </text>
    </comment>
    <comment authorId="3" xr:uid="{c59e2331-6b87-4d76-990e-7f0294517704}" ref="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19.04_Срочно введите ИЗ в ИСУ
</t>
      </text>
    </comment>
    <comment authorId="4" xr:uid="{f81e1dc9-775d-4860-aea1-c52f90f2a6ea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Неверно указан руководитель
Гришенцев А. Ю.
</t>
      </text>
    </comment>
  </commentList>
</comments>
</file>

<file path=xl/sharedStrings.xml><?xml version="1.0" encoding="utf-8"?>
<sst xmlns="http://schemas.openxmlformats.org/spreadsheetml/2006/main" count="1633" uniqueCount="826">
  <si>
    <t>Отзыв утвержден</t>
  </si>
  <si>
    <t>Всего студентов</t>
  </si>
  <si>
    <t>н/я</t>
  </si>
  <si>
    <t>в ИСУ  нет  ИЗ</t>
  </si>
  <si>
    <t>Черновик</t>
  </si>
  <si>
    <t>№ п/п</t>
  </si>
  <si>
    <t>Ф.И.О.</t>
  </si>
  <si>
    <t>Группа</t>
  </si>
  <si>
    <t>Рук</t>
  </si>
  <si>
    <t>Оценка</t>
  </si>
  <si>
    <t>ППА</t>
  </si>
  <si>
    <t>Примечание</t>
  </si>
  <si>
    <t xml:space="preserve">ИЗ ИСУ утверждено   02.05.25 </t>
  </si>
  <si>
    <t>Формирование отчета                            24.05.25</t>
  </si>
  <si>
    <t xml:space="preserve">ИЗ Черновик  24.05.25 </t>
  </si>
  <si>
    <t xml:space="preserve">ИЗ на согласовании   24.05.25 </t>
  </si>
  <si>
    <t>Отзыв утвержден 21.05.25</t>
  </si>
  <si>
    <t>группа</t>
  </si>
  <si>
    <t>Руководитель ВКР</t>
  </si>
  <si>
    <t>Борецкий Даниил Александрович</t>
  </si>
  <si>
    <t>Еритенко Николай Алексеевич</t>
  </si>
  <si>
    <t>Жуков Владимир Александрович</t>
  </si>
  <si>
    <t>Есипов Дмитрий Андреевич</t>
  </si>
  <si>
    <t>Золотарев Григорий Романович</t>
  </si>
  <si>
    <t>Левко Игорь Владимирович</t>
  </si>
  <si>
    <t>Кирилин Семён Вячеславович</t>
  </si>
  <si>
    <t>Коржук Виктория Михайловна</t>
  </si>
  <si>
    <t>Коптяев Александр Араикович</t>
  </si>
  <si>
    <t>Канжелев Юрий Алексеевич</t>
  </si>
  <si>
    <t>Ложкин Владислав Сергеевич</t>
  </si>
  <si>
    <t>Ткалич Вера Леонидовна</t>
  </si>
  <si>
    <t>Никуличев Владислав Андреевич</t>
  </si>
  <si>
    <t>Харченко Андрей Андреевич</t>
  </si>
  <si>
    <t>Савков Сергей Витальевич</t>
  </si>
  <si>
    <t>Чекмезов Константин Николаевич</t>
  </si>
  <si>
    <t>Пшеничный Кирилл Анатольевич</t>
  </si>
  <si>
    <t>Шурыгин Данил Сергеевич</t>
  </si>
  <si>
    <t>Федоров Иван Романович</t>
  </si>
  <si>
    <t>Юдина Маргарита</t>
  </si>
  <si>
    <t>Беккер Роман Александрович</t>
  </si>
  <si>
    <t xml:space="preserve">Ищенко Алексей Петрович </t>
  </si>
  <si>
    <t>Дырин Игорь Денисович</t>
  </si>
  <si>
    <t>Маслов Никита Иванович</t>
  </si>
  <si>
    <t>Лукашов Иван Викторович</t>
  </si>
  <si>
    <t>Омран Хади Р. И.</t>
  </si>
  <si>
    <t>Цзя Баоянь</t>
  </si>
  <si>
    <t>Трифонов Роман Алексеевич</t>
  </si>
  <si>
    <t>Чичагин Максим Сергеевич</t>
  </si>
  <si>
    <t xml:space="preserve">Канжелев Юрий Алексеевич </t>
  </si>
  <si>
    <t>Шурчанов Иван Александрович</t>
  </si>
  <si>
    <t xml:space="preserve">Ханов Артур Рафаэльевич </t>
  </si>
  <si>
    <t>Юткин Никита Михайлович</t>
  </si>
  <si>
    <t>Абоимова Анастасия Андреевна</t>
  </si>
  <si>
    <t>Арендаренко Максим Михайлович</t>
  </si>
  <si>
    <t>Баринов Николай Викторович</t>
  </si>
  <si>
    <t>Салихов Максим Русланович</t>
  </si>
  <si>
    <t>Болдырев Евгений Андреевич</t>
  </si>
  <si>
    <t>Ищенко Алексей Петрович</t>
  </si>
  <si>
    <t>Елисеев Леонид Андреевич</t>
  </si>
  <si>
    <t xml:space="preserve">Менщиков Александр Алексеевич </t>
  </si>
  <si>
    <t>Кравчук Владислав Владимирович</t>
  </si>
  <si>
    <t>Коробейников Анатолий Григорьевич</t>
  </si>
  <si>
    <t>Ростовцев Иван Александрович</t>
  </si>
  <si>
    <t>Пенин Андрей</t>
  </si>
  <si>
    <t>Тихонов Иван Артемович</t>
  </si>
  <si>
    <t>Мухамеджанов Санжар</t>
  </si>
  <si>
    <t>Астрашаб Игорь Александрович</t>
  </si>
  <si>
    <t>Бондарчук Фёдор Андреевич</t>
  </si>
  <si>
    <t>Никольский Алексей Валерьевич</t>
  </si>
  <si>
    <t>Малахов Дмитрий Александрович</t>
  </si>
  <si>
    <t>Прохоров Григорий Дмитриевич</t>
  </si>
  <si>
    <t>Суров Александр Викторович</t>
  </si>
  <si>
    <t>Хваевский Илья Игоревич</t>
  </si>
  <si>
    <t>Шевченко Никита Андреевич</t>
  </si>
  <si>
    <t>Кузнецов Иван Игоревич</t>
  </si>
  <si>
    <t>Кукелко Владислав Дмитриевич</t>
  </si>
  <si>
    <t>Мешков Андрей Владимирович</t>
  </si>
  <si>
    <t>Питерский Павел Павлович</t>
  </si>
  <si>
    <t>ООО "НТЦ Нептунит"</t>
  </si>
  <si>
    <t>Станбеков Султан Эрнисович</t>
  </si>
  <si>
    <t>Ханов Артур Рафаэльевич</t>
  </si>
  <si>
    <t>Степанов Егор Константинович</t>
  </si>
  <si>
    <t>Бойко Андрей Михайлович</t>
  </si>
  <si>
    <t>ИТМО</t>
  </si>
  <si>
    <t>Чупанов Курбанмагомед Шамильевич</t>
  </si>
  <si>
    <t>Гусь Тимофей Михаил Артемович</t>
  </si>
  <si>
    <t>Авдонин Иван Александрович</t>
  </si>
  <si>
    <t>Ембулаев Дмитрий Юрьевич</t>
  </si>
  <si>
    <t>Ефимов Матвей Дмитриевич</t>
  </si>
  <si>
    <t>Ищенко Андрей Львович</t>
  </si>
  <si>
    <t>Газинформсервис</t>
  </si>
  <si>
    <t>Милютин Павел Алексеевич</t>
  </si>
  <si>
    <t>Чередников Лев Викторович</t>
  </si>
  <si>
    <t>Блинов Матвей Сергеевич</t>
  </si>
  <si>
    <t>Беззатеев Сергей Валентинович</t>
  </si>
  <si>
    <t>Бунтов Станислав Андреевич</t>
  </si>
  <si>
    <t>Менщиков Александр Алексеевич</t>
  </si>
  <si>
    <t>Бычков Илья Алексеевич</t>
  </si>
  <si>
    <t>Попов Илья Юрьевич</t>
  </si>
  <si>
    <t>Верхозин Михаил Александрович</t>
  </si>
  <si>
    <t>Кадырова Тамилла Абдуллаевна</t>
  </si>
  <si>
    <t>Грозов Владимир Андреевич</t>
  </si>
  <si>
    <t>Мительштет Артем Игоревич</t>
  </si>
  <si>
    <t>Михайлик Антон Денисович</t>
  </si>
  <si>
    <t>Тихомиров Данил Романович</t>
  </si>
  <si>
    <t>Филоненко Екатерина Денисовна</t>
  </si>
  <si>
    <t>Михайличенко Ольга Викторовна</t>
  </si>
  <si>
    <t>Цырцанов Андрей Александрович</t>
  </si>
  <si>
    <t>Волхонский Владимир Владимирович</t>
  </si>
  <si>
    <t>СПб ГКУ «СПб ИАЦ»</t>
  </si>
  <si>
    <t>Киреев Ханиль Львович</t>
  </si>
  <si>
    <t>Перминова Елизавета Андреевна</t>
  </si>
  <si>
    <t>Беляев Сергей Степанович</t>
  </si>
  <si>
    <t>ООО "Ленспецпроизводство"</t>
  </si>
  <si>
    <t>Пищиков Степан Михайлович</t>
  </si>
  <si>
    <t>Рядовой Тимофей Сергеевич</t>
  </si>
  <si>
    <t>Бучаев Абдулхамид Яхьяевич</t>
  </si>
  <si>
    <t>Эльгандур Йахиа Ашраф Ахмед Ахмед</t>
  </si>
  <si>
    <t>Будько Михаил Юрьевич</t>
  </si>
  <si>
    <t>Юнусова Айсылу Азатовна</t>
  </si>
  <si>
    <t>АО "Альфа-банк"</t>
  </si>
  <si>
    <t>Здесь находятся образцы отчетных документов по ПТП:</t>
  </si>
  <si>
    <t>2026_ Образцы отчетных документов ПТП  – Google Диск</t>
  </si>
  <si>
    <t>https://drive.google.com/drive/folders/1FZet0yvM7lJGltmf8F8Iz6IkFcrNQzxo</t>
  </si>
  <si>
    <t>В Отчете руководителя  ПТП обязательно выставляется Итоговая оценка.</t>
  </si>
  <si>
    <t>ПТП_Практика   с  18.02.2026  по  29.04.2026 - всего 71 день</t>
  </si>
  <si>
    <t>Предзащиты ВКР</t>
  </si>
  <si>
    <t>Список группы N3445</t>
  </si>
  <si>
    <t>8 917 478 87 95</t>
  </si>
  <si>
    <t>doverevkin@itmo.ru</t>
  </si>
  <si>
    <t>ЦК Даниил Веревкин</t>
  </si>
  <si>
    <t xml:space="preserve">Место прохождения практики (юр.название ООО "Пример")   </t>
  </si>
  <si>
    <t xml:space="preserve">Профиль компании  </t>
  </si>
  <si>
    <t>Руководитель практики</t>
  </si>
  <si>
    <t>ИЗ ИСУ</t>
  </si>
  <si>
    <t>Отчет в ИСУ</t>
  </si>
  <si>
    <t>Примечание куратора</t>
  </si>
  <si>
    <t>Комментарий студентов</t>
  </si>
  <si>
    <t>232 02 95</t>
  </si>
  <si>
    <t>danktan7@itmo.ru</t>
  </si>
  <si>
    <t>ФИО</t>
  </si>
  <si>
    <t>e-mail</t>
  </si>
  <si>
    <t>Место работы</t>
  </si>
  <si>
    <t>Должность</t>
  </si>
  <si>
    <t>Беляков Никита Андреевич</t>
  </si>
  <si>
    <t>ООО "ВК"</t>
  </si>
  <si>
    <t>62.01 Разработка компьютерного программного обеспечения</t>
  </si>
  <si>
    <t>Зиновьев Артем Романович</t>
  </si>
  <si>
    <t>artem.zinovev@vk.team</t>
  </si>
  <si>
    <t>Руководитель команды</t>
  </si>
  <si>
    <t>Шерягин Максим Алексеевич</t>
  </si>
  <si>
    <t>Sheryagin-M@gaz-is.ru</t>
  </si>
  <si>
    <t xml:space="preserve">ООО "ГАЗИНФОРМСЕРВИС"
</t>
  </si>
  <si>
    <t>Инженер-аналитик</t>
  </si>
  <si>
    <t>19.04_Письмо студенту</t>
  </si>
  <si>
    <t>8 910 988 04 60</t>
  </si>
  <si>
    <t>daniil.boretskiy@yandex.ru</t>
  </si>
  <si>
    <t>Доан Тхи Хоай Тхыонг</t>
  </si>
  <si>
    <t>85.22 Образование высшее</t>
  </si>
  <si>
    <t>kanzhelev@gmail.com</t>
  </si>
  <si>
    <t>Доцент ФБИТ</t>
  </si>
  <si>
    <t>Дюднев Александр Владимирович</t>
  </si>
  <si>
    <t>Акционерное общество «Селектел»</t>
  </si>
  <si>
    <t>63.11 Деятельность по обработке данных, предоставление услуг по размещению информации и связанная с этим деятельность</t>
  </si>
  <si>
    <t>Коробов Иван</t>
  </si>
  <si>
    <t>korobov.i@selectel.ru</t>
  </si>
  <si>
    <t>Руководитель отдела сопровождения сервисов информационной безопасности</t>
  </si>
  <si>
    <t>25.04_ Отчет отправлен вн. руков. на утв.</t>
  </si>
  <si>
    <t>8 952 915 99 93</t>
  </si>
  <si>
    <t>dudnev890@gmail.com</t>
  </si>
  <si>
    <t>18.04_Введите ИЗ в ИСУ</t>
  </si>
  <si>
    <t>8 929 101 94 45</t>
  </si>
  <si>
    <t>zhuv03@mail.ru</t>
  </si>
  <si>
    <t>ПАО «Территориальная генерирующая компания №1»</t>
  </si>
  <si>
    <t>35.11 Производство электроэнергии</t>
  </si>
  <si>
    <t>Лавров Сергей Александрович</t>
  </si>
  <si>
    <t>Lavrov.SA@tgc1.ru</t>
  </si>
  <si>
    <t xml:space="preserve">Главный специалист отдела информационной безопасности </t>
  </si>
  <si>
    <t>8 931 988 15 50</t>
  </si>
  <si>
    <t>grisha1408396@yahoo.com</t>
  </si>
  <si>
    <t>ЗАО "РОССИ"</t>
  </si>
  <si>
    <t>69.09 Деятельность, связанная с использованием вычислительной техники и информационных технологий, прочая</t>
  </si>
  <si>
    <t>Суровцев Игорь</t>
  </si>
  <si>
    <t>si@rossi.ru</t>
  </si>
  <si>
    <t>Начальник отдела разработок</t>
  </si>
  <si>
    <t>8 992 645 00 93</t>
  </si>
  <si>
    <t>kirilinsemen1711@gmail.com</t>
  </si>
  <si>
    <t>ЗАО "Защита электронных технологий"</t>
  </si>
  <si>
    <t xml:space="preserve">62.09 Деятельность, связанная с использованием вычислительной техники и информационных технологий, прочая </t>
  </si>
  <si>
    <t>Кармазин Маркос Маркосович</t>
  </si>
  <si>
    <t>markos.k@zaozet.ru</t>
  </si>
  <si>
    <t>Начальник испытательной лаборатории</t>
  </si>
  <si>
    <t xml:space="preserve">25.04_ Отчет отправлен вн. руков. на утв. </t>
  </si>
  <si>
    <t>8 911 124 79 10</t>
  </si>
  <si>
    <t>maversit@gmail.com</t>
  </si>
  <si>
    <t>Логинов Константин Олегович</t>
  </si>
  <si>
    <t>ООО "ЦЗИ "Флагман"</t>
  </si>
  <si>
    <t>71.20.9 Деятельность по техническому контролю, испытаниям и анализу</t>
  </si>
  <si>
    <t>Логинов Максим</t>
  </si>
  <si>
    <t>Siistema@bk.ru</t>
  </si>
  <si>
    <t>Начальник группы СИ отдела СП и СИ</t>
  </si>
  <si>
    <t>8 924 272 77 88</t>
  </si>
  <si>
    <t>luxx2007k@gmail.com</t>
  </si>
  <si>
    <t>ООО "Озон Технологии"</t>
  </si>
  <si>
    <t xml:space="preserve">62.01 Разработка компьютерного программного обеспечения </t>
  </si>
  <si>
    <t xml:space="preserve">Пшеничнова Анастасия Ильинична </t>
  </si>
  <si>
    <t>anapshenichnova@ozon.ru</t>
  </si>
  <si>
    <t>Руководитель отдела образовательных проектов</t>
  </si>
  <si>
    <t>8 906 366 33 79</t>
  </si>
  <si>
    <t>amurchik2003@inbox.ru</t>
  </si>
  <si>
    <t>Молитвин Илья Алексеевич</t>
  </si>
  <si>
    <t>ООО "Сэтл Строй"</t>
  </si>
  <si>
    <t>71.12.2 Деятельность заказчичка-застройщика, генерального подрядчика</t>
  </si>
  <si>
    <t>Никулов Константин Вадимович</t>
  </si>
  <si>
    <t>knikulov@yandex.ru</t>
  </si>
  <si>
    <t>Руководитель отдела защиты информационных систем</t>
  </si>
  <si>
    <t>8 921 398 68 37</t>
  </si>
  <si>
    <t>lichkingregyl@gmail.com</t>
  </si>
  <si>
    <t>Панкова Анастасия Андреевна</t>
  </si>
  <si>
    <t>ООО "НАНО-ОЙЛ"</t>
  </si>
  <si>
    <t>49.41.1 Перевозка грузов специализированными автотранспортными средствами</t>
  </si>
  <si>
    <t>Таран Сергей Борисович</t>
  </si>
  <si>
    <t>theroach@yandex.ru</t>
  </si>
  <si>
    <t>Инженер-программист</t>
  </si>
  <si>
    <t>8 969 726 00 21</t>
  </si>
  <si>
    <t>anastasiapank070@yandex.ru</t>
  </si>
  <si>
    <t>Сивакова Анна Васильевна</t>
  </si>
  <si>
    <t>ООО "ТБанк"</t>
  </si>
  <si>
    <t xml:space="preserve">
64.19 — Денежное посредничество прочее</t>
  </si>
  <si>
    <t>Гелисханов Рустам</t>
  </si>
  <si>
    <t>r.a.geliskhanov@tbank.ru</t>
  </si>
  <si>
    <t>Руководитель группы ИБ</t>
  </si>
  <si>
    <t>8 993 347 94 08</t>
  </si>
  <si>
    <t>itsrealmess@mail.ru</t>
  </si>
  <si>
    <t>Фильченко Артём Павлович</t>
  </si>
  <si>
    <t>ООО "Технологии нового дня"</t>
  </si>
  <si>
    <t>Кузнецов Максим</t>
  </si>
  <si>
    <t>kma@tssolution.ru</t>
  </si>
  <si>
    <t>Руководитель технической поддержки</t>
  </si>
  <si>
    <t>АО "БИОКАД"</t>
  </si>
  <si>
    <t>21.20.1 Производство лекарственных препаратов для медицинского применения</t>
  </si>
  <si>
    <t>Ляхнов Макар Валерьевич</t>
  </si>
  <si>
    <t>mlyakhnov@ptsecurity.com</t>
  </si>
  <si>
    <t>АО «Позитив Текнолоджиз»</t>
  </si>
  <si>
    <t>Product Owner PT EdTechLab</t>
  </si>
  <si>
    <t>8 981 121 39 28</t>
  </si>
  <si>
    <t>soniccraft2004@gmail.com</t>
  </si>
  <si>
    <t>Шатровский Константин Максимович</t>
  </si>
  <si>
    <t>8 950 256 37 28</t>
  </si>
  <si>
    <t>kshatrovskii@yandex.ru</t>
  </si>
  <si>
    <t>Тимофеев Андрей</t>
  </si>
  <si>
    <t>an.a.timofeev@tbank.ru</t>
  </si>
  <si>
    <t>Ведущий разработчик</t>
  </si>
  <si>
    <t>8 919 353 11 84</t>
  </si>
  <si>
    <t>dan.shell@bk.ru</t>
  </si>
  <si>
    <t>ФГАОУВО "Национальный исследовательский университет ИТМО"</t>
  </si>
  <si>
    <t>ИЗ</t>
  </si>
  <si>
    <t>Отчет</t>
  </si>
  <si>
    <t>УП</t>
  </si>
  <si>
    <t>восстанов</t>
  </si>
  <si>
    <t>Нет</t>
  </si>
  <si>
    <t>Зворыгин Александр Сергеевич</t>
  </si>
  <si>
    <t xml:space="preserve"> </t>
  </si>
  <si>
    <t>Список группы N3446</t>
  </si>
  <si>
    <t>ООО "Яндекс.Технологии"</t>
  </si>
  <si>
    <t>06.04..2026</t>
  </si>
  <si>
    <t>ООО "Яндекс Технологии"</t>
  </si>
  <si>
    <t>18.04_Введите данные вн.  руководителя и ИЗ в ИСУ</t>
  </si>
  <si>
    <t>8 995 570 48 41</t>
  </si>
  <si>
    <t>berohomepc@gmail.com</t>
  </si>
  <si>
    <t>24.03.26  Письмо студенту  Восстан. 2024/25 гр. 34452  УП-4, Нет - ПТП, ДП</t>
  </si>
  <si>
    <t>Гридин Георгий Евгеньевич</t>
  </si>
  <si>
    <t>АО "ЭВРИКА"</t>
  </si>
  <si>
    <t>26.20 - Производство компьютеров и периферийного оборудования</t>
  </si>
  <si>
    <t>Веселова Дарья Юрьевна</t>
  </si>
  <si>
    <t>Dveselova@gmail.com</t>
  </si>
  <si>
    <t>Заместитель начальника отдела разработки специальных систем</t>
  </si>
  <si>
    <t>ООО «КНС ГРУПП»</t>
  </si>
  <si>
    <t>Федяева Алёна Алексеевна</t>
  </si>
  <si>
    <t>a.fedyaeva@yadro.com</t>
  </si>
  <si>
    <t xml:space="preserve">Старший инженер-программист </t>
  </si>
  <si>
    <t>гр.34461_2024/25</t>
  </si>
  <si>
    <r>
      <rPr>
        <rFont val="&quot;Times New Roman&quot;"/>
        <color theme="1"/>
        <sz val="11.0"/>
      </rPr>
      <t xml:space="preserve">УП - </t>
    </r>
    <r>
      <rPr>
        <rFont val="&quot;Times New Roman&quot;"/>
        <b/>
        <color theme="1"/>
        <sz val="12.0"/>
      </rPr>
      <t>н/я</t>
    </r>
  </si>
  <si>
    <r>
      <rPr>
        <rFont val="Times New Roman"/>
        <color theme="1"/>
        <sz val="11.0"/>
      </rPr>
      <t xml:space="preserve">ПТП - </t>
    </r>
    <r>
      <rPr>
        <rFont val="Times New Roman"/>
        <b/>
        <color theme="1"/>
        <sz val="12.0"/>
      </rPr>
      <t>5</t>
    </r>
  </si>
  <si>
    <r>
      <rPr>
        <rFont val="Times New Roman"/>
        <color theme="1"/>
        <sz val="11.0"/>
      </rPr>
      <t xml:space="preserve">ПД - </t>
    </r>
    <r>
      <rPr>
        <rFont val="Times New Roman"/>
        <b/>
        <color theme="1"/>
        <sz val="12.0"/>
      </rPr>
      <t>5</t>
    </r>
  </si>
  <si>
    <t>Восст</t>
  </si>
  <si>
    <t>24.03.26  Письмо студенту</t>
  </si>
  <si>
    <t>8 904 354 95 31</t>
  </si>
  <si>
    <t>shura02.03.15.a@gmail.com</t>
  </si>
  <si>
    <t>Измайлова Арина Артуровна</t>
  </si>
  <si>
    <t>ООО «Техцентр</t>
  </si>
  <si>
    <t>Старобинец Дмитрий Юрьевич</t>
  </si>
  <si>
    <t>Starobinets@tc-secur.ru</t>
  </si>
  <si>
    <t>ООО «Техцентр»</t>
  </si>
  <si>
    <t>Начальник отдела проектирования СЗИ</t>
  </si>
  <si>
    <t>Кузнецов Александр Геннадьевич</t>
  </si>
  <si>
    <t>Гирик Алексей Валерьевич</t>
  </si>
  <si>
    <t>ООО "Вистэк Рус"</t>
  </si>
  <si>
    <t>Разработка компьютерного программного обеспечения (62.01)</t>
  </si>
  <si>
    <t>Даутов Руслан Хурматович</t>
  </si>
  <si>
    <t>ruslan.dautov@vstack.com</t>
  </si>
  <si>
    <t>Руководитель разработки облачной панели vStack</t>
  </si>
  <si>
    <t>25.04_ Письмо студ</t>
  </si>
  <si>
    <t>7 965 784 61 82</t>
  </si>
  <si>
    <t>alekus2004@gmail.com</t>
  </si>
  <si>
    <t>Лопарева Милена Александровна</t>
  </si>
  <si>
    <t>ООО "ГАЗИНФОРМСЕРВИС"</t>
  </si>
  <si>
    <t>создание систем обеспечения информационной и инженерной безопасности</t>
  </si>
  <si>
    <t>Калинина Мария Валентиновна</t>
  </si>
  <si>
    <t>Kalinina-M@gaz-is.ru</t>
  </si>
  <si>
    <t xml:space="preserve">Руководитель группы испытаний значимых объектов критической информационной инфраструктуры </t>
  </si>
  <si>
    <t>7 963 843 29 65</t>
  </si>
  <si>
    <t>lopareva04@list.ru</t>
  </si>
  <si>
    <t>ООО "ТС Солюшен"</t>
  </si>
  <si>
    <t>62.03 Деятельность по управлению компьютерным оборудованием</t>
  </si>
  <si>
    <t>Кузнецов Максим Андреевич</t>
  </si>
  <si>
    <t xml:space="preserve">ООО "ТС Солюшен" </t>
  </si>
  <si>
    <t>7 995 654 67 58</t>
  </si>
  <si>
    <t>manick01@yandex.ru</t>
  </si>
  <si>
    <t>Милютин Семён Олегович</t>
  </si>
  <si>
    <t>ФГУП "НПП"Гамма"</t>
  </si>
  <si>
    <t>информационная безопасность</t>
  </si>
  <si>
    <t>Вавилов Александр Сергеевич</t>
  </si>
  <si>
    <t>vavilov@spb.nppgamma.ru</t>
  </si>
  <si>
    <t>ФГУП "НПП"Гамма""</t>
  </si>
  <si>
    <t>Начальник управления системных проектов</t>
  </si>
  <si>
    <t>Михайлов Тимофей Дмитриевич</t>
  </si>
  <si>
    <t>ФГАОУ ВО «НИУ ИТМО»</t>
  </si>
  <si>
    <t>vladimirgrozov@mail.ru</t>
  </si>
  <si>
    <t>Преподаватель практики, научный сотрудник ФБИТ</t>
  </si>
  <si>
    <t>8 931 280 30 35</t>
  </si>
  <si>
    <t>texxbeast@gmail.com</t>
  </si>
  <si>
    <t>Назаренко Данила Сергеевич</t>
  </si>
  <si>
    <t>ПАО «Совкомбанк»</t>
  </si>
  <si>
    <t>64.19 — Денежное посредничество прочее</t>
  </si>
  <si>
    <t>Леонов Семен Сергеевич</t>
  </si>
  <si>
    <t>leonovss@sovcombank.ru</t>
  </si>
  <si>
    <t>Начальник отдела защиты платежных сервисов</t>
  </si>
  <si>
    <t>ndanila472@gmail.com</t>
  </si>
  <si>
    <t xml:space="preserve">ИТМО </t>
  </si>
  <si>
    <t>Доцент практики, ФБИТ</t>
  </si>
  <si>
    <t>22.04_Письмо студенту</t>
  </si>
  <si>
    <t>7 921 335 74 40</t>
  </si>
  <si>
    <t>Hadyemran06@gmail.com</t>
  </si>
  <si>
    <t>Саранцев Владимир</t>
  </si>
  <si>
    <t>iakanzhelev@itmo.ru</t>
  </si>
  <si>
    <t>22.04_ на утв. Канжелева</t>
  </si>
  <si>
    <t>Сыралёв Иван Алексеевич</t>
  </si>
  <si>
    <t>Филаретов Юрий Александрович</t>
  </si>
  <si>
    <t>ООО "ДЕЙТЕРИЙ"</t>
  </si>
  <si>
    <t>Деятельность, связанная с использованием вычислительной техники и информационных технологий, прочая (62.09)</t>
  </si>
  <si>
    <t>Остоконский Антон Дмитриевич</t>
  </si>
  <si>
    <t>anton.ostrokonskiy@deiteriy.com</t>
  </si>
  <si>
    <t>Руководтель исследовательской лаборатории</t>
  </si>
  <si>
    <t>8 950 285 29 52</t>
  </si>
  <si>
    <t xml:space="preserve">filaretovur@mail.ru </t>
  </si>
  <si>
    <t>22.04_На утв. у Канжелева</t>
  </si>
  <si>
    <t>8 931 213 62 11</t>
  </si>
  <si>
    <t>jackgenius233@gmail.com</t>
  </si>
  <si>
    <t>Чан Бао Линь</t>
  </si>
  <si>
    <t>8 950 018 01 28</t>
  </si>
  <si>
    <t>linhbaotran2002@gmail.com</t>
  </si>
  <si>
    <t>Насонов Виталий Владимирович</t>
  </si>
  <si>
    <t>v.nasonov@sigma-it.ru</t>
  </si>
  <si>
    <t>ООО "СИГМА"</t>
  </si>
  <si>
    <t>Начальник отдела безопасной разработки</t>
  </si>
  <si>
    <t>доцент, ФБИТ</t>
  </si>
  <si>
    <t>15.04_На утв. у Канжелева</t>
  </si>
  <si>
    <t>Белоногова Людмила Сергеевна</t>
  </si>
  <si>
    <t>admin@pravdinka.com</t>
  </si>
  <si>
    <t>ООО "Правдинка Плюс"</t>
  </si>
  <si>
    <t>Генеральный директор</t>
  </si>
  <si>
    <t>8 982 517 88 70</t>
  </si>
  <si>
    <t>nik_yuti@mail.ru</t>
  </si>
  <si>
    <t>Список группы N3447</t>
  </si>
  <si>
    <t>ФГУП "ГосНИИПП"</t>
  </si>
  <si>
    <t>72.19 - Научные исследования и разработки в области естественных и технических наук прочие</t>
  </si>
  <si>
    <t xml:space="preserve">Мукало Юрий Иванович                  </t>
  </si>
  <si>
    <t>31@gosniipp.ru</t>
  </si>
  <si>
    <t>Начальник лаборатории</t>
  </si>
  <si>
    <t>19.04_Введите ИЗ в ИСУ</t>
  </si>
  <si>
    <t>8 911 742 73 01</t>
  </si>
  <si>
    <t>anastasia.aboimova78@gmail.com</t>
  </si>
  <si>
    <t>ООО "СЭМ"</t>
  </si>
  <si>
    <t>43.2 Производство электромонтажных, санитарно-технических и прочих строительно-монтажных работ</t>
  </si>
  <si>
    <t>Зеува Ирина Александровна</t>
  </si>
  <si>
    <t>zueva_irina77@mail.ru</t>
  </si>
  <si>
    <t>Заместитель директора</t>
  </si>
  <si>
    <t>8 921 975 68 00</t>
  </si>
  <si>
    <t>maxim.arendarenko@yandex.ru</t>
  </si>
  <si>
    <t>ООО «Тинькофф Центр Разработки» (ООО "ТЦР")</t>
  </si>
  <si>
    <t>62.01 — Разработка компьютерного программного обеспечения</t>
  </si>
  <si>
    <t>Рублев Александр Александрович</t>
  </si>
  <si>
    <t>a.a.rublev@tbank.ru</t>
  </si>
  <si>
    <t>ООО "ТЦР"</t>
  </si>
  <si>
    <t>Руководитель направления</t>
  </si>
  <si>
    <t>8 960 167 13 75</t>
  </si>
  <si>
    <t>nik-vik-barinov@yandex.ru</t>
  </si>
  <si>
    <t>ИП "Шевлякова Татьяна Андреевна"</t>
  </si>
  <si>
    <t>93.29  — Деятельность по организации отдыха и развлечений</t>
  </si>
  <si>
    <t>Бедарев Павел Сергеевич</t>
  </si>
  <si>
    <t>Cuvaki.gamer@mail.ru</t>
  </si>
  <si>
    <t>Руководитель отдела персонала</t>
  </si>
  <si>
    <t>8 999 166 15 19</t>
  </si>
  <si>
    <t>evgeniy.boldyrev.2015@mail.ru</t>
  </si>
  <si>
    <t>Георгиев Егор Сергеевич</t>
  </si>
  <si>
    <t>Костин Максим Владимирович</t>
  </si>
  <si>
    <t>maksimkostin@yandex-team.ru</t>
  </si>
  <si>
    <t>Руководитель управления</t>
  </si>
  <si>
    <t>25.04_письмо вн. руков</t>
  </si>
  <si>
    <t>8 921 372 70 98</t>
  </si>
  <si>
    <t>egor-georgiev@mail.ru</t>
  </si>
  <si>
    <t>Герасимов Никита Алексеевич</t>
  </si>
  <si>
    <t>НИУ ИТМО</t>
  </si>
  <si>
    <t>Гусев Даниил Игоревич</t>
  </si>
  <si>
    <t>Общество с Ограниченной Ответственностью "ТЦР"</t>
  </si>
  <si>
    <t>Александров Алексей Валерьевич</t>
  </si>
  <si>
    <t>a.v.aleksandrov@tbank.ru</t>
  </si>
  <si>
    <t>24.04_письмо студенту</t>
  </si>
  <si>
    <t>8 911 423 96 65</t>
  </si>
  <si>
    <t>leonid.2004eliseev@mail.ru</t>
  </si>
  <si>
    <t>Закурин Александр Николаевич</t>
  </si>
  <si>
    <t>ООО "Ти Хантер"</t>
  </si>
  <si>
    <t>74.90.9 - Деятельность в области защиты информации и обеспечения безопасности критической информационной инфраструктуры</t>
  </si>
  <si>
    <t>Художилов Александр Анатольевич</t>
  </si>
  <si>
    <t>alexander.h@tomhunter.ru</t>
  </si>
  <si>
    <t>Директор по информационной безопасности</t>
  </si>
  <si>
    <t>8 901 285 30 99</t>
  </si>
  <si>
    <t>zetzns@gmail.com</t>
  </si>
  <si>
    <t>Кабалык Андрей Федорович</t>
  </si>
  <si>
    <t>Каримов Николай Алексеевич</t>
  </si>
  <si>
    <t>Общество с ограниченной ответственностью «Специальный Технологический Центр» (ООО «СТЦ»)</t>
  </si>
  <si>
    <t>26.20.4 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</si>
  <si>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Короткая Елена Васильевна</t>
  </si>
  <si>
    <t>ekorotkaia@stc-spb.ru</t>
  </si>
  <si>
    <t>ООО "СТЦ"</t>
  </si>
  <si>
    <t>Координатор учебных проектов</t>
  </si>
  <si>
    <t>Климов Даниил Иванович</t>
  </si>
  <si>
    <t>Общество с ограниченной ответственностью «ИТ ИКС 5 Технологии»</t>
  </si>
  <si>
    <t>Зайцев Андрей Иванович</t>
  </si>
  <si>
    <t>a.zaytsev@x5.ru</t>
  </si>
  <si>
    <t>ООО «ИТ ИКС 5 Технологии»</t>
  </si>
  <si>
    <t>Начальник отдела разработки решений управления производством</t>
  </si>
  <si>
    <t>ООО "ПРОМТРЕЙД"</t>
  </si>
  <si>
    <t>Скорняков Кирилл Александрович</t>
  </si>
  <si>
    <t>skornyakovka@prmtrade.com</t>
  </si>
  <si>
    <t>23.04_Повторное письмо Письмо вн. руков.</t>
  </si>
  <si>
    <t>Нгуен Кхань Ли</t>
  </si>
  <si>
    <t>Нгуен Хоанг Ву</t>
  </si>
  <si>
    <t>Поляков Павел Романович</t>
  </si>
  <si>
    <t>Акционерное общество "Национальная Авиацонно-сервисная компания" (АО "НАСК")</t>
  </si>
  <si>
    <t>46.14 Деятельность агентов по оптовой торговле машинами, промышленным оборудованием, судами и летательными аппаратами</t>
  </si>
  <si>
    <t>Балашов Сергей Иванович</t>
  </si>
  <si>
    <t>s.balashov@nascompany.ru</t>
  </si>
  <si>
    <t>АО "НАСК"</t>
  </si>
  <si>
    <t>Ведущий специалист отдела информационных технологий</t>
  </si>
  <si>
    <t>8 993 998 57 49</t>
  </si>
  <si>
    <t>polyakov.pr01@gmail.com</t>
  </si>
  <si>
    <t>25.04_на утв. у Канжелева Ю.А.</t>
  </si>
  <si>
    <t>8 967 352 42 68</t>
  </si>
  <si>
    <t>vanrosstl@gmail.com</t>
  </si>
  <si>
    <t>Саранчук Екатерина Романовна</t>
  </si>
  <si>
    <t>ООО "ГК СофтБаланс"</t>
  </si>
  <si>
    <t>63.11 Деятельность по обработке данных, предоставление услуг по 
размещению информации и связанная с этим деятельность</t>
  </si>
  <si>
    <t>Юрьева Евгения Константиновна</t>
  </si>
  <si>
    <t>yureva@softbalance.ru</t>
  </si>
  <si>
    <t>Аналитик по информационной безопасности</t>
  </si>
  <si>
    <t>8 963 499 01 55</t>
  </si>
  <si>
    <t>katya500000000@mail.ru</t>
  </si>
  <si>
    <t xml:space="preserve">Общество с ограниченной ответственностью  «ЛАНИТ - Проекты»
</t>
  </si>
  <si>
    <t>Проектирование и внедрение ИТ‑инфраструктуры, облачных решений, информационных систем, кибербезопасности для крупных корпоративных и государственных клиентов</t>
  </si>
  <si>
    <t>Федорова Марина Игоревна</t>
  </si>
  <si>
    <t>mifedorova@lanit.ru</t>
  </si>
  <si>
    <t>Заместитель директора центра ИБ</t>
  </si>
  <si>
    <t>8 927 747 73 11</t>
  </si>
  <si>
    <t>ivan_167@bk.ru</t>
  </si>
  <si>
    <t>Уголев Матвей Александрович</t>
  </si>
  <si>
    <t>levko_iv@mail.ru</t>
  </si>
  <si>
    <t>Доцент, ФБИТ</t>
  </si>
  <si>
    <t>8 917 579 11 15</t>
  </si>
  <si>
    <t>ugolevmatvey@gmail.com</t>
  </si>
  <si>
    <t>Чу Ван Доан</t>
  </si>
  <si>
    <t>Список группы N3448</t>
  </si>
  <si>
    <t>19.04_Введите данные руковителя и ИЗ в ИСУ</t>
  </si>
  <si>
    <t>Балобин Василий Андреевич</t>
  </si>
  <si>
    <t xml:space="preserve">Левко Игорь Владимирович </t>
  </si>
  <si>
    <t>ООО «Конфидент»</t>
  </si>
  <si>
    <t>Анискин Леонид Михайлович</t>
  </si>
  <si>
    <t>alm@confident.ru</t>
  </si>
  <si>
    <t>Руководитель группы тестирования и внедрения</t>
  </si>
  <si>
    <t>alexey.nikolskiy.student@yandex.ru</t>
  </si>
  <si>
    <t>Научный сотрудник, преподаватель практики</t>
  </si>
  <si>
    <t>Гамидов Абдулгамид Абдулбасирович</t>
  </si>
  <si>
    <t>ООО "АТ Девелопмент"</t>
  </si>
  <si>
    <t>Трофимов Анатолий Александрович</t>
  </si>
  <si>
    <t>atdevelopment@yandex.ru</t>
  </si>
  <si>
    <t>8 963 321 49 66</t>
  </si>
  <si>
    <t>gamidov-24@list.ru</t>
  </si>
  <si>
    <t>Дмитриев Богдан</t>
  </si>
  <si>
    <t>Зинченко Владислав Александрович</t>
  </si>
  <si>
    <t>8 909 832 70 77</t>
  </si>
  <si>
    <t>anteuppv@gmail.com</t>
  </si>
  <si>
    <t>dmitriy.a.malakhov@gmail.com</t>
  </si>
  <si>
    <t>Миронова Мария Николаевна</t>
  </si>
  <si>
    <t>ООО «НТЦ «Нептунит»</t>
  </si>
  <si>
    <t>74.90.99 Деятельность в области защиты информации прочая</t>
  </si>
  <si>
    <t>Карлин Михаил Игоревич</t>
  </si>
  <si>
    <t>mk@ntcneptunit.ru</t>
  </si>
  <si>
    <t>Руководитель отдела по защите информации</t>
  </si>
  <si>
    <t>8 919 461 69 61</t>
  </si>
  <si>
    <t>mironova5176@gmail.com</t>
  </si>
  <si>
    <t>Новиков Никита Святославович</t>
  </si>
  <si>
    <t>Погорелый Альберт Константинович</t>
  </si>
  <si>
    <t>vmkorzhuk@itmo.ru</t>
  </si>
  <si>
    <t>8 988 487 57 37</t>
  </si>
  <si>
    <t>albertpogorely@hotmail.com</t>
  </si>
  <si>
    <t>Степанова Екатерина Андреевна</t>
  </si>
  <si>
    <t>ООО "АБИСофт"</t>
  </si>
  <si>
    <t>Башаков Андрей Александрович</t>
  </si>
  <si>
    <t>Andrey.Bashakov@abisoft.biz</t>
  </si>
  <si>
    <t>Начальник отдела прикладных разработок</t>
  </si>
  <si>
    <t>8 961 709 76 67</t>
  </si>
  <si>
    <t>suetin.stepan@gmail.com</t>
  </si>
  <si>
    <t>Суетин Степан Олегович</t>
  </si>
  <si>
    <t>ООО "СЦ ТЕЛРОС"</t>
  </si>
  <si>
    <t>62.0 Разработка компьютерного программного обеспечения, консультационные услуги в данной области и другие сопутствующие услуги</t>
  </si>
  <si>
    <t xml:space="preserve">Кольвах Андрей Олегович </t>
  </si>
  <si>
    <t>kolvah@telros.ru</t>
  </si>
  <si>
    <t>ООО"СЦ ТЕЛРОС"</t>
  </si>
  <si>
    <t>Инженер</t>
  </si>
  <si>
    <t>8 952 281 69 36</t>
  </si>
  <si>
    <t>surovalex477@gmail.com</t>
  </si>
  <si>
    <t>Сухарева Анастасия Сергеевна</t>
  </si>
  <si>
    <t>ООО "НОЙТЭК АйТи Солюшнс"</t>
  </si>
  <si>
    <t>Смольков Андрей Сергеевич</t>
  </si>
  <si>
    <t>andrey.smolkov@noytech.com</t>
  </si>
  <si>
    <t>Директор ИТ-инфраструктуры и поддержки</t>
  </si>
  <si>
    <t>ООО "ЛАНИТ Северо-Запад"</t>
  </si>
  <si>
    <t>62.09 «Деятельность, связанная с использованием вычислительной техники и информационных технологий, прочая»</t>
  </si>
  <si>
    <t>Сафоклов Дмитрий</t>
  </si>
  <si>
    <t>dmitriy.safoklov@spb.lanit.ru</t>
  </si>
  <si>
    <t>Руководитель отдела интеграции</t>
  </si>
  <si>
    <t>25.04_Письмо вн. руков.</t>
  </si>
  <si>
    <t xml:space="preserve">Трофименко Александр Анатольевич </t>
  </si>
  <si>
    <t>Trofimenko-A@gaz-is.ru</t>
  </si>
  <si>
    <t>Начальник отдела</t>
  </si>
  <si>
    <t>8 978 834 52 88</t>
  </si>
  <si>
    <t>nikita27.200434@gmail.com</t>
  </si>
  <si>
    <t>Список группы N3449</t>
  </si>
  <si>
    <t>Актамирова Елизавета Хусейновна</t>
  </si>
  <si>
    <t>АО «Селектел»</t>
  </si>
  <si>
    <t>Суханов Никита Сергеевич</t>
  </si>
  <si>
    <t>suhanov@selectel.ru</t>
  </si>
  <si>
    <t>АО "Селектел"</t>
  </si>
  <si>
    <t>Архитектор систем информационной безопасности</t>
  </si>
  <si>
    <t>Андреев Максим Константинович</t>
  </si>
  <si>
    <t>Лившиц Илья Иосифович</t>
  </si>
  <si>
    <t>ООО "Конфидент"</t>
  </si>
  <si>
    <t>Лебедев Сергей Алексеевич</t>
  </si>
  <si>
    <t>lebedev.sergey@confident.ru</t>
  </si>
  <si>
    <t>Руководитель группы бизнес-анализа</t>
  </si>
  <si>
    <t>Архипов Михаил Владимирович</t>
  </si>
  <si>
    <t>Арыстанбек Диас</t>
  </si>
  <si>
    <t>Бекина Светлана Сергеевна</t>
  </si>
  <si>
    <t>22.04_ Отчет на утв. у руков.</t>
  </si>
  <si>
    <t>Ганиев Александр Дамирович</t>
  </si>
  <si>
    <t>Демидов Владимир Александрович</t>
  </si>
  <si>
    <t>vovademidov@yandex-team.ru</t>
  </si>
  <si>
    <t>руководитель группы</t>
  </si>
  <si>
    <t>7 (904) 111-57 02</t>
  </si>
  <si>
    <t>shura.ganiev@list.ru</t>
  </si>
  <si>
    <t>7 (905) 631-75-81</t>
  </si>
  <si>
    <t>ivan02.12.03@gmail.com</t>
  </si>
  <si>
    <t>АО "СПВБ"</t>
  </si>
  <si>
    <t>Дуботолков Дмитрий Владиславович</t>
  </si>
  <si>
    <t>dubotolkovdvl@lccnco.ru</t>
  </si>
  <si>
    <t>Начальник отдела информационной безопасности</t>
  </si>
  <si>
    <t>23.04_Повторное письмо  вн. руковод.</t>
  </si>
  <si>
    <t>8 913 933 31 26</t>
  </si>
  <si>
    <t>vlad0202036@gmail.com</t>
  </si>
  <si>
    <t>Лим Алина Олеговна</t>
  </si>
  <si>
    <t>ООО "Газпром инвест"</t>
  </si>
  <si>
    <t>71.12.2 Деятельность заказчика-застройщика, генерального подрядчика</t>
  </si>
  <si>
    <t>Конопелько Сергей Евгеньевич</t>
  </si>
  <si>
    <t>skonopelko@invest.gazprom.ru</t>
  </si>
  <si>
    <t>ООО "Газпром Инвест"</t>
  </si>
  <si>
    <t>Начальник отдела информационной безопасности Управления корпоративной защиты</t>
  </si>
  <si>
    <t>8 911 236 78 28</t>
  </si>
  <si>
    <t>limaccoop@gmail.com</t>
  </si>
  <si>
    <t>Непеина Мария Владимировна</t>
  </si>
  <si>
    <t>АО «НТЦ ЕЭС»</t>
  </si>
  <si>
    <t>72.19 Научные исследования и разработки в области естественных и технических наук прочие</t>
  </si>
  <si>
    <t>Шулик Алексей Александрович</t>
  </si>
  <si>
    <t>shulik-aal@so-ups.ru</t>
  </si>
  <si>
    <t>amboiko@itmo.ru</t>
  </si>
  <si>
    <t>Лаборатория "Мастерская безопасности роевых технологий"</t>
  </si>
  <si>
    <t>Старший научный сотрудник факультета БИТ</t>
  </si>
  <si>
    <t>8 931 579 02 95</t>
  </si>
  <si>
    <t>ekstepanov@itmo.ru</t>
  </si>
  <si>
    <t>Фёдоров Вячеслав Алексеевич</t>
  </si>
  <si>
    <t>ООО "Север-метрополь"</t>
  </si>
  <si>
    <t>Титов Алексей Владимирович</t>
  </si>
  <si>
    <t>It@tort.spb.ru</t>
  </si>
  <si>
    <t>ООО  "Север-метрополь"</t>
  </si>
  <si>
    <t>Начальник отдела информационных технологий</t>
  </si>
  <si>
    <t>Фирсенков Леонид Андреевич</t>
  </si>
  <si>
    <t>8 921 899 69 29</t>
  </si>
  <si>
    <t>leonid0907@gmail.com</t>
  </si>
  <si>
    <t>Хачатрян Рубен Арташесович</t>
  </si>
  <si>
    <t>Югансон Андрей Николаевич</t>
  </si>
  <si>
    <t>a_yougunson@itmo.ru</t>
  </si>
  <si>
    <t>23.04_Письмо  студенту</t>
  </si>
  <si>
    <t xml:space="preserve">Заведующий лабораторией        
</t>
  </si>
  <si>
    <t>8 981 906 65 75</t>
  </si>
  <si>
    <t>ruben-khachatryan-03@mail.ru</t>
  </si>
  <si>
    <t>Хребтов Матвей Александрович</t>
  </si>
  <si>
    <t>ООО НПО «Компонент»</t>
  </si>
  <si>
    <t>46.52 Торговля оптовая электронным и телекоммуникационным оборудованием и его запасными частями</t>
  </si>
  <si>
    <t>Туртанов Алексей Сергеевич</t>
  </si>
  <si>
    <t>info@npocomponent.ru</t>
  </si>
  <si>
    <t>Генеральный директор ООО НПО «Компонент»</t>
  </si>
  <si>
    <t>Шабаев Алексей Геннадьевич</t>
  </si>
  <si>
    <t>ООО "Синтез-АТ"</t>
  </si>
  <si>
    <t xml:space="preserve">62.01 Разработка компьютерного программного обеспечения
</t>
  </si>
  <si>
    <t>Скороходов Александр Дмитриевич</t>
  </si>
  <si>
    <t>skara1232@gmail.com</t>
  </si>
  <si>
    <t>Ведущий инженер-разработчик</t>
  </si>
  <si>
    <t>8 981 918 54 51</t>
  </si>
  <si>
    <t>lakencrin@gmail.com</t>
  </si>
  <si>
    <t>Список группы N3450</t>
  </si>
  <si>
    <t>Адамов Михаил Ильич</t>
  </si>
  <si>
    <t>Ахраров Али Рустамович</t>
  </si>
  <si>
    <t>на утв. у Канжелева Ю.А.</t>
  </si>
  <si>
    <t>8 966 923 69 86</t>
  </si>
  <si>
    <t>aa972139@gmail.com</t>
  </si>
  <si>
    <t>ООО "Мобил-груп"</t>
  </si>
  <si>
    <t>Замковой Дмитрий Сергеевич</t>
  </si>
  <si>
    <t>ds.zamkovoy@yandex.ru</t>
  </si>
  <si>
    <t>Директор</t>
  </si>
  <si>
    <t>8 981 806 80 38</t>
  </si>
  <si>
    <t>tima-gus@mail.ru</t>
  </si>
  <si>
    <t>Диденко Дмитрий Эдуардович</t>
  </si>
  <si>
    <t>itsec@selectel.ru</t>
  </si>
  <si>
    <t>8 966 935 20 04</t>
  </si>
  <si>
    <t>dimon.did.2014@gmail.com</t>
  </si>
  <si>
    <t>ООО "МАС-Внештранс"</t>
  </si>
  <si>
    <t>Массальский Андрей Эдуардович</t>
  </si>
  <si>
    <t>mas@masvt.net</t>
  </si>
  <si>
    <t>СПб ГУП «АТС Смольного»</t>
  </si>
  <si>
    <t>61.10.9 Деятельность в области связи на базе проводных технологий</t>
  </si>
  <si>
    <t>Марыкин Евгений Игоревич</t>
  </si>
  <si>
    <t>E.marykin@sats.spb.ru</t>
  </si>
  <si>
    <t>Инженер по технической защите информации</t>
  </si>
  <si>
    <t>8 921 849 22 16</t>
  </si>
  <si>
    <t>mat.efimov@gmail.com</t>
  </si>
  <si>
    <t>Ефремов Далир Игоревич</t>
  </si>
  <si>
    <t>Восстан. 2024/25 гр. 34511 Нет - УП, ПТП, ДП</t>
  </si>
  <si>
    <t>Клеопатров Илья Дмитриевич</t>
  </si>
  <si>
    <t>ООО «Ангара Технолоджиз Груп»</t>
  </si>
  <si>
    <t>62.09 Деятельность, связанная с использованием вычислительной техники и информационных технологий, прочая</t>
  </si>
  <si>
    <t>Поляков Илья Георгиевич</t>
  </si>
  <si>
    <t>i.polyakov@angarasecurity.ru</t>
  </si>
  <si>
    <t>Руководитель отдела анализа кода</t>
  </si>
  <si>
    <t>8 921 888 33 88</t>
  </si>
  <si>
    <t>kleostudy@gmail.com</t>
  </si>
  <si>
    <t>Клочков Данила Александрович</t>
  </si>
  <si>
    <t>ПАО "Сбербанк"</t>
  </si>
  <si>
    <t>64.19 Денежное посредничество прочее</t>
  </si>
  <si>
    <t>Деранков Ярослав Игоревич</t>
  </si>
  <si>
    <t>derankov.y.i@sberbank.ru</t>
  </si>
  <si>
    <t>Начальник центра компетенций по защите периметра сети</t>
  </si>
  <si>
    <t>Коротыкина Анастасия Александровна</t>
  </si>
  <si>
    <t>ООО "Ядро Центр Программных Разработок"</t>
  </si>
  <si>
    <t>Назаров Руслан Сергеевич</t>
  </si>
  <si>
    <t>r.nazarov@yadro.com</t>
  </si>
  <si>
    <t>Директор по разработке</t>
  </si>
  <si>
    <t>Купцов Даниил Геннадьевич</t>
  </si>
  <si>
    <t>ООО "Бастион"</t>
  </si>
  <si>
    <t>74.90.9 Деятельность в области защиты информации и обеспечения безопасности критической информационной инфраструктуры</t>
  </si>
  <si>
    <t>Ксендзовская Яна Владимировна</t>
  </si>
  <si>
    <t>ya.ksendzovskaya@bastion-tech.ru</t>
  </si>
  <si>
    <t>Руководитель направления образовательных программ</t>
  </si>
  <si>
    <t>Лучинин Кирилл Андреевич</t>
  </si>
  <si>
    <t>АО "Инфосистемы Джет"</t>
  </si>
  <si>
    <t>62.02 Деятельность консультативная и работы в области компьютерных технологий</t>
  </si>
  <si>
    <t>Серов Андрей Иванович</t>
  </si>
  <si>
    <t>ai.serov@jet.su</t>
  </si>
  <si>
    <t>Руководитель группы защиты приложений</t>
  </si>
  <si>
    <t xml:space="preserve">arhanov@itmo.ru
</t>
  </si>
  <si>
    <t>преподаватель ФБИТ</t>
  </si>
  <si>
    <t>Новиков Владислав Дмитриевич</t>
  </si>
  <si>
    <t>ООО "Кибер Сервис"</t>
  </si>
  <si>
    <t>Чербов Глеб Сергеевич</t>
  </si>
  <si>
    <t>g.cherbov@dsec.ru</t>
  </si>
  <si>
    <t>Технический директор</t>
  </si>
  <si>
    <t>Салахова Ралина Жамиловна</t>
  </si>
  <si>
    <t>arhanov@itmo.ru</t>
  </si>
  <si>
    <t>19.04_Срочно сообщите данные руков. ПТП и введите ИЗ в ИСУ</t>
  </si>
  <si>
    <t>8 999 947 87 49</t>
  </si>
  <si>
    <r>
      <rPr>
        <rFont val="&quot;Times New Roman&quot;"/>
        <color theme="1"/>
        <sz val="10.0"/>
      </rPr>
      <t xml:space="preserve">cherednikov.lev@yandex.ru   </t>
    </r>
    <r>
      <rPr>
        <rFont val="&quot;Times New Roman&quot;"/>
        <color rgb="FF980000"/>
        <sz val="10.0"/>
      </rPr>
      <t>нет такой почты</t>
    </r>
  </si>
  <si>
    <t>Шушпанова Екатерина</t>
  </si>
  <si>
    <t>Щерба Анна Андреевна</t>
  </si>
  <si>
    <t>Роговой Виталий</t>
  </si>
  <si>
    <t>ООО "УК Благо"</t>
  </si>
  <si>
    <t>70.10 Деятельность головных офисов</t>
  </si>
  <si>
    <t>Волков Анатолий Михайлович</t>
  </si>
  <si>
    <t>volkov.a@gcblago.ru</t>
  </si>
  <si>
    <t>ООО "УК"Благо"</t>
  </si>
  <si>
    <t xml:space="preserve">Начальник отдела ИТ инфраструктуры </t>
  </si>
  <si>
    <t>Список группы N3451</t>
  </si>
  <si>
    <t>Мишкин Кирилл Васильевич</t>
  </si>
  <si>
    <t>info@migra.ru</t>
  </si>
  <si>
    <t>ООО "Мигра Софт"</t>
  </si>
  <si>
    <t>8 981 790 64 57</t>
  </si>
  <si>
    <t>matvey20031@gmail.com</t>
  </si>
  <si>
    <t>13.04_Введите данные о руков. практики  и ИЗ в ИСУ</t>
  </si>
  <si>
    <t>8 921 646 25 28</t>
  </si>
  <si>
    <t>buntovrip@gmail.com</t>
  </si>
  <si>
    <r>
      <rPr>
        <rFont val="Times New Roman"/>
        <b/>
        <color theme="1"/>
        <sz val="11.0"/>
      </rPr>
      <t>гр.34491_2024/25;</t>
    </r>
    <r>
      <rPr>
        <rFont val="Times New Roman"/>
        <color theme="1"/>
      </rPr>
      <t xml:space="preserve">       Нет УП, ПТП , ДП </t>
    </r>
  </si>
  <si>
    <t>ООО «ПСС»</t>
  </si>
  <si>
    <t>46.51.2 Торговля оптовая программным обеспечением</t>
  </si>
  <si>
    <t>Сергей Павлович Казанцев</t>
  </si>
  <si>
    <t>skazantsev@pssbim.ru</t>
  </si>
  <si>
    <t>ООО "ПСС"</t>
  </si>
  <si>
    <t>Добрецков Дмитрий Александрович</t>
  </si>
  <si>
    <t>ООО "Единое Видео"</t>
  </si>
  <si>
    <t>Муханов Павел Владимирович</t>
  </si>
  <si>
    <t>p.mukhanov@corp.mail.ru</t>
  </si>
  <si>
    <t>Руководитель лаборатории качества единой видеоплатформы VK</t>
  </si>
  <si>
    <t>Залесов Дмитрий</t>
  </si>
  <si>
    <t>Зыкин Кирилл Андреевич</t>
  </si>
  <si>
    <t>ООО "Т2 Мобайл"</t>
  </si>
  <si>
    <t>Деятельность в области связи на базе беспроводных технологий (61.20)</t>
  </si>
  <si>
    <t>Воробьева Валерия Викторовна</t>
  </si>
  <si>
    <t>vorval01@yandex.ru</t>
  </si>
  <si>
    <t>Старший специалист по обеспечению качества</t>
  </si>
  <si>
    <t>24.04_Отправлен Отчет вн. руков.</t>
  </si>
  <si>
    <t>Лемешев Ярослав Андреевич</t>
  </si>
  <si>
    <t xml:space="preserve">ООО "АйДи Инжиниринг" </t>
  </si>
  <si>
    <t>63.11.1 Деятельность по созданию и использованию баз данных и информационных ресурсов</t>
  </si>
  <si>
    <t>Новиков Александр Михайлович</t>
  </si>
  <si>
    <t>novikovam@areal.ru</t>
  </si>
  <si>
    <t>МКАО "Ареал", ООО "АйДи Инжиниринг" - дочерняя компания</t>
  </si>
  <si>
    <t>Заместитель руководителя ИБ</t>
  </si>
  <si>
    <t>Отравил повторно</t>
  </si>
  <si>
    <t>8 921 975 17 12</t>
  </si>
  <si>
    <t>yaroslem@yandex.ru</t>
  </si>
  <si>
    <t>АО Санкт-Петербургская Валютная Биржа</t>
  </si>
  <si>
    <t xml:space="preserve">66.11.1 Деятельность по организации торговли на финансовых рынках </t>
  </si>
  <si>
    <t>Березуцкий Алексей Леонидович</t>
  </si>
  <si>
    <t>berezutskiyal@spvb.ru</t>
  </si>
  <si>
    <t>АО Санкт -Петербургская Валютная Биржа</t>
  </si>
  <si>
    <t>Руководитель отдела ИБ</t>
  </si>
  <si>
    <t>ООО Платформа домиленд,  город Санкт-Петербург, Свердловская рабережная 44с1</t>
  </si>
  <si>
    <t>62.01 - Разработка компьютерного программного обеспечения</t>
  </si>
  <si>
    <t>Трухачёв Илья Дмитриевич</t>
  </si>
  <si>
    <t>0000@2853.org</t>
  </si>
  <si>
    <t>ООО Платформа домиленд</t>
  </si>
  <si>
    <t>Руководитель группы обеспечения технической надежности системы Проптеха</t>
  </si>
  <si>
    <t>8 931 000 51 59</t>
  </si>
  <si>
    <t>a.d.mihailik@yandex.ru</t>
  </si>
  <si>
    <t>Охунов Абдулатиф Мукимович</t>
  </si>
  <si>
    <t>Потылицына Кристина Алексеевна</t>
  </si>
  <si>
    <t>Саломатин Денис Николаевич</t>
  </si>
  <si>
    <t>ООО «МЕГАПОЛИС»</t>
  </si>
  <si>
    <t>46.62 Торговля оптовая 
станками</t>
  </si>
  <si>
    <t>Алюнин Павел Владимирович</t>
  </si>
  <si>
    <t>megapolis.nw@mail.ru</t>
  </si>
  <si>
    <t>Хоменко Андрей Владимирович</t>
  </si>
  <si>
    <t>25.04_ в архиве только Отчет. В Отчете нет Списка литературы. Исправьте и заново загрузите в архив</t>
  </si>
  <si>
    <t>trifonov@iac.spb.ru</t>
  </si>
  <si>
    <t>Начальник отдела обнаружения и регистрации компьютерных инцидентов</t>
  </si>
  <si>
    <t>Шарапов Алексей Викторович</t>
  </si>
  <si>
    <t>Ясаков Максим Андреевич</t>
  </si>
  <si>
    <t>гр.34511_2024/25</t>
  </si>
  <si>
    <r>
      <rPr>
        <rFont val="Times New Roman"/>
        <color rgb="FF000000"/>
        <sz val="10.0"/>
      </rPr>
      <t xml:space="preserve">УП - </t>
    </r>
    <r>
      <rPr>
        <rFont val="Times New Roman"/>
        <b/>
        <color rgb="FF000000"/>
        <sz val="12.0"/>
      </rPr>
      <t>5</t>
    </r>
  </si>
  <si>
    <r>
      <rPr>
        <rFont val="Times New Roman"/>
        <color theme="1"/>
        <sz val="11.0"/>
      </rPr>
      <t xml:space="preserve">ПТП - </t>
    </r>
    <r>
      <rPr>
        <rFont val="Times New Roman"/>
        <b/>
        <color theme="1"/>
        <sz val="12.0"/>
      </rPr>
      <t>5</t>
    </r>
  </si>
  <si>
    <r>
      <rPr>
        <rFont val="Times New Roman"/>
        <color theme="1"/>
        <sz val="11.0"/>
      </rPr>
      <t xml:space="preserve">ПД - </t>
    </r>
    <r>
      <rPr>
        <rFont val="Times New Roman"/>
        <b/>
        <color theme="1"/>
        <sz val="12.0"/>
      </rPr>
      <t>5</t>
    </r>
  </si>
  <si>
    <t xml:space="preserve">Восстановление </t>
  </si>
  <si>
    <t>Список группы N3452</t>
  </si>
  <si>
    <t>Гоголева Анастасия Алексеевна</t>
  </si>
  <si>
    <t>ООО "Тумларе"</t>
  </si>
  <si>
    <t>Энгель Камила</t>
  </si>
  <si>
    <t>kamila.engel@kuonitumlare.com</t>
  </si>
  <si>
    <t>Заместитель начальника отдела</t>
  </si>
  <si>
    <t>Доронин Алексей Анатольевич</t>
  </si>
  <si>
    <t>ООО "ПСК "Северо-Запад"</t>
  </si>
  <si>
    <t>41.20 Строительство жилых и нежилых зданий</t>
  </si>
  <si>
    <t>Куницына Екатерина Александровна</t>
  </si>
  <si>
    <t>hr@psksz.ru</t>
  </si>
  <si>
    <t>savkov@itmo.ru</t>
  </si>
  <si>
    <t>8 977 167 60 16</t>
  </si>
  <si>
    <t>kireev.khanil.bs@gmail.com</t>
  </si>
  <si>
    <t>26.51.6 Производство прочих приборов, датчиков, аппаратуры и инструментов для измерения, контроля и испытаний</t>
  </si>
  <si>
    <t>Антон Андреевич Волошин</t>
  </si>
  <si>
    <t>vaa@pps.ru</t>
  </si>
  <si>
    <t>Главный инженер</t>
  </si>
  <si>
    <t>8 952 359 80 20</t>
  </si>
  <si>
    <t>biom09@yandex.ru</t>
  </si>
  <si>
    <t>ООО "Гиар Геймз"</t>
  </si>
  <si>
    <t>62.0: Разработка компьютерного программного обеспечения, консультационные услуги в данной области и другие сопутствующие услуги</t>
  </si>
  <si>
    <t>Романюта Ксения Евгеньевна</t>
  </si>
  <si>
    <t>kromanyuta@gear-games.com</t>
  </si>
  <si>
    <t>Руководитель службы персонала</t>
  </si>
  <si>
    <t>ПАО "Совкомбанк"</t>
  </si>
  <si>
    <t>Кадников Александр Андреевич</t>
  </si>
  <si>
    <t>Начальник управления риск-моделирования и автоматизации</t>
  </si>
  <si>
    <t>18.04_Введите данные вн.  руковителя и ИЗ в ИСУ</t>
  </si>
  <si>
    <t>8 999 035 03 29</t>
  </si>
  <si>
    <t>timaryadovou@yandex.ru</t>
  </si>
  <si>
    <t>Сапрыга Пётр Андреевич</t>
  </si>
  <si>
    <t>Гришенцев Алексей Юрьевич</t>
  </si>
  <si>
    <t>Тушкевич Иван Вячеславович</t>
  </si>
  <si>
    <t>ООО «Доктор Веб»</t>
  </si>
  <si>
    <t>Здобнов Игорь Геннадьевич</t>
  </si>
  <si>
    <t>I.Zdobnov@drweb.com</t>
  </si>
  <si>
    <t>Руководитель отдела  антивирусных разработок и исследований</t>
  </si>
  <si>
    <t>62.09 Деятельность, связанная с
использованием вычислительной техники и
информационных технологий, прочая</t>
  </si>
  <si>
    <t>Белоус Полина Артуровна</t>
  </si>
  <si>
    <t>belous.p.a@gmail.com</t>
  </si>
  <si>
    <t>Начальник отдела развития аналитической отчетности</t>
  </si>
  <si>
    <t>Нкунку Битсинду Дьё Бени Пьер Круаянс</t>
  </si>
  <si>
    <t>гр.34531_2024/25</t>
  </si>
  <si>
    <r>
      <rPr>
        <rFont val="&quot;Times New Roman&quot;"/>
        <color theme="1"/>
        <sz val="11.0"/>
      </rPr>
      <t xml:space="preserve">УП - </t>
    </r>
    <r>
      <rPr>
        <rFont val="&quot;Times New Roman&quot;"/>
        <b/>
        <color theme="1"/>
        <sz val="12.0"/>
      </rPr>
      <t>5</t>
    </r>
  </si>
  <si>
    <r>
      <rPr>
        <rFont val="Times New Roman"/>
        <color theme="1"/>
        <sz val="11.0"/>
      </rPr>
      <t xml:space="preserve">ПТП - </t>
    </r>
    <r>
      <rPr>
        <rFont val="Times New Roman"/>
        <b/>
        <color theme="1"/>
        <sz val="12.0"/>
      </rPr>
      <t>5</t>
    </r>
  </si>
  <si>
    <r>
      <rPr>
        <rFont val="Times New Roman"/>
        <color theme="1"/>
        <sz val="11.0"/>
      </rPr>
      <t xml:space="preserve">ПД - </t>
    </r>
    <r>
      <rPr>
        <rFont val="Times New Roman"/>
        <b/>
        <color theme="1"/>
        <sz val="12.0"/>
      </rPr>
      <t>4с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</si>
</sst>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#,##0.0"/>
    <numFmt numFmtId="166" formatCode="d.m.yyyy"/>
    <numFmt numFmtId="167" formatCode="dd.mm"/>
    <numFmt numFmtId="168" formatCode="0.0%"/>
    <numFmt numFmtId="169" formatCode="dd.mm.yyyy"/>
  </numFmts>
  <fonts count="4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Times New Roman"/>
    </font>
    <font>
      <b/>
      <sz val="12.0"/>
      <color theme="1"/>
      <name val="Arial"/>
    </font>
    <font/>
    <font>
      <sz val="12.0"/>
      <color theme="1"/>
      <name val="Arial"/>
    </font>
    <font>
      <b/>
      <sz val="12.0"/>
      <color theme="1"/>
      <name val="Calibri"/>
    </font>
    <font>
      <b/>
      <sz val="12.0"/>
      <color theme="0"/>
      <name val="Arial"/>
    </font>
    <font>
      <b/>
      <sz val="9.0"/>
      <color theme="1"/>
      <name val="Calibri"/>
    </font>
    <font>
      <color theme="1"/>
      <name val="Arial"/>
      <scheme val="minor"/>
    </font>
    <font>
      <sz val="10.0"/>
      <color theme="1"/>
      <name val="Calibri"/>
    </font>
    <font>
      <b/>
      <sz val="10.0"/>
      <color theme="1"/>
      <name val="Arial"/>
    </font>
    <font>
      <sz val="9.0"/>
      <color theme="1"/>
      <name val="Calibri"/>
    </font>
    <font>
      <b/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theme="1"/>
      <name val="Calibri"/>
    </font>
    <font>
      <color theme="1"/>
      <name val="Times New Roman"/>
    </font>
    <font>
      <sz val="10.0"/>
      <color theme="1"/>
      <name val="Times New Roman"/>
    </font>
    <font>
      <sz val="10.0"/>
      <color theme="1"/>
      <name val="Arial"/>
      <scheme val="minor"/>
    </font>
    <font>
      <sz val="11.0"/>
      <color rgb="FF000000"/>
      <name val="&quot;Times New Roman&quot;"/>
    </font>
    <font>
      <b/>
      <sz val="11.0"/>
      <color theme="1"/>
      <name val="Arial"/>
      <scheme val="minor"/>
    </font>
    <font>
      <sz val="11.0"/>
      <color theme="1"/>
      <name val="Times New Roman"/>
    </font>
    <font>
      <sz val="10.0"/>
      <color theme="1"/>
      <name val="&quot;Times New Roman&quot;"/>
    </font>
    <font>
      <sz val="11.0"/>
      <color theme="1"/>
      <name val="Arial"/>
      <scheme val="minor"/>
    </font>
    <font>
      <sz val="11.0"/>
      <color theme="1"/>
      <name val="&quot;Times New Roman&quot;"/>
    </font>
    <font>
      <sz val="11.0"/>
      <color theme="1"/>
      <name val="Calibri"/>
    </font>
    <font>
      <b/>
      <sz val="15.0"/>
      <color theme="1"/>
      <name val="Arial"/>
      <scheme val="minor"/>
    </font>
    <font>
      <sz val="14.0"/>
      <color theme="1"/>
      <name val="Arial"/>
      <scheme val="minor"/>
    </font>
    <font>
      <u/>
      <sz val="14.0"/>
      <color rgb="FF0000FF"/>
    </font>
    <font>
      <color rgb="FF000000"/>
      <name val="&quot;Open Sans&quot;"/>
    </font>
    <font>
      <b/>
      <sz val="10.0"/>
      <color theme="1"/>
      <name val="Arial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b/>
      <sz val="10.0"/>
      <color theme="1"/>
      <name val="Calibri"/>
    </font>
    <font>
      <sz val="11.0"/>
      <color theme="0"/>
      <name val="Times New Roman"/>
    </font>
    <font>
      <sz val="9.0"/>
      <color theme="0"/>
      <name val="Calibri"/>
    </font>
    <font>
      <sz val="10.0"/>
      <color rgb="FF000000"/>
      <name val="Times New Roman"/>
    </font>
    <font>
      <sz val="10.0"/>
      <color rgb="FF1C1C1C"/>
      <name val="Times New Roman"/>
    </font>
    <font>
      <sz val="11.0"/>
      <color theme="1"/>
      <name val="Arial"/>
    </font>
    <font>
      <sz val="12.0"/>
      <color rgb="FF000000"/>
      <name val="&quot;Times New Roman&quot;"/>
    </font>
    <font>
      <sz val="11.0"/>
      <color rgb="FF000000"/>
      <name val="Times New Roman"/>
    </font>
    <font>
      <sz val="10.0"/>
      <color rgb="FF000000"/>
      <name val="Calibri"/>
    </font>
    <font>
      <sz val="12.0"/>
      <color theme="1"/>
      <name val="Times New Roman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FE93"/>
        <bgColor rgb="FF93FE93"/>
      </patternFill>
    </fill>
    <fill>
      <patternFill patternType="solid">
        <fgColor rgb="FFE8F9E9"/>
        <bgColor rgb="FFE8F9E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EEF8"/>
        <bgColor rgb="FFC9EEF8"/>
      </patternFill>
    </fill>
    <fill>
      <patternFill patternType="solid">
        <fgColor theme="0"/>
        <bgColor theme="0"/>
      </patternFill>
    </fill>
    <fill>
      <patternFill patternType="solid">
        <fgColor rgb="FFBEF7C9"/>
        <bgColor rgb="FFBEF7C9"/>
      </patternFill>
    </fill>
    <fill>
      <patternFill patternType="solid">
        <fgColor rgb="FF00FFFF"/>
        <bgColor rgb="FF00FFFF"/>
      </patternFill>
    </fill>
    <fill>
      <patternFill patternType="solid">
        <fgColor rgb="FFF1F78A"/>
        <bgColor rgb="FFF1F78A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95F7FE"/>
        <bgColor rgb="FF95F7FE"/>
      </patternFill>
    </fill>
    <fill>
      <patternFill patternType="solid">
        <fgColor rgb="FFFBFFBB"/>
        <bgColor rgb="FFFBFFBB"/>
      </patternFill>
    </fill>
    <fill>
      <patternFill patternType="solid">
        <fgColor rgb="FFB8FFB8"/>
        <bgColor rgb="FFB8FFB8"/>
      </patternFill>
    </fill>
    <fill>
      <patternFill patternType="solid">
        <fgColor rgb="FFFCE5EF"/>
        <bgColor rgb="FFFCE5EF"/>
      </patternFill>
    </fill>
    <fill>
      <patternFill patternType="solid">
        <fgColor rgb="FF85FED6"/>
        <bgColor rgb="FF85FED6"/>
      </patternFill>
    </fill>
    <fill>
      <patternFill patternType="solid">
        <fgColor rgb="FFCCFFFF"/>
        <bgColor rgb="FFCCFFFF"/>
      </patternFill>
    </fill>
    <fill>
      <patternFill patternType="solid">
        <fgColor rgb="FFEAD1DC"/>
        <bgColor rgb="FFEAD1DC"/>
      </patternFill>
    </fill>
    <fill>
      <patternFill patternType="solid">
        <fgColor rgb="FFFBD7E7"/>
        <bgColor rgb="FFFBD7E7"/>
      </patternFill>
    </fill>
    <fill>
      <patternFill patternType="solid">
        <fgColor rgb="FFCDB7FF"/>
        <bgColor rgb="FFCDB7FF"/>
      </patternFill>
    </fill>
    <fill>
      <patternFill patternType="solid">
        <fgColor rgb="FF93C47D"/>
        <bgColor rgb="FF93C47D"/>
      </patternFill>
    </fill>
    <fill>
      <patternFill patternType="solid">
        <fgColor rgb="FFFC6666"/>
        <bgColor rgb="FFFC6666"/>
      </patternFill>
    </fill>
    <fill>
      <patternFill patternType="solid">
        <fgColor theme="7"/>
        <bgColor theme="7"/>
      </patternFill>
    </fill>
    <fill>
      <patternFill patternType="solid">
        <fgColor rgb="FFFEEFF6"/>
        <bgColor rgb="FFFEEFF6"/>
      </patternFill>
    </fill>
    <fill>
      <patternFill patternType="solid">
        <fgColor rgb="FFF67A9B"/>
        <bgColor rgb="FFF67A9B"/>
      </patternFill>
    </fill>
    <fill>
      <patternFill patternType="solid">
        <fgColor rgb="FFFED1FE"/>
        <bgColor rgb="FFFED1FE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164" xfId="0" applyFill="1" applyFont="1" applyNumberFormat="1"/>
    <xf borderId="1" fillId="3" fontId="2" numFmtId="164" xfId="0" applyAlignment="1" applyBorder="1" applyFill="1" applyFont="1" applyNumberFormat="1">
      <alignment horizontal="center" shrinkToFit="0" vertical="center" wrapText="1"/>
    </xf>
    <xf borderId="1" fillId="4" fontId="2" numFmtId="164" xfId="0" applyAlignment="1" applyBorder="1" applyFill="1" applyFont="1" applyNumberFormat="1">
      <alignment horizontal="center" readingOrder="0" shrinkToFit="0" vertical="center" wrapText="1"/>
    </xf>
    <xf borderId="2" fillId="5" fontId="3" numFmtId="3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1" fillId="4" fontId="2" numFmtId="164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vertical="bottom"/>
    </xf>
    <xf borderId="1" fillId="6" fontId="3" numFmtId="3" xfId="0" applyAlignment="1" applyBorder="1" applyFill="1" applyFont="1" applyNumberFormat="1">
      <alignment horizontal="center"/>
    </xf>
    <xf borderId="1" fillId="6" fontId="4" numFmtId="3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/>
    </xf>
    <xf borderId="3" fillId="0" fontId="6" numFmtId="0" xfId="0" applyBorder="1" applyFont="1"/>
    <xf borderId="0" fillId="0" fontId="7" numFmtId="0" xfId="0" applyAlignment="1" applyFont="1">
      <alignment vertical="bottom"/>
    </xf>
    <xf borderId="1" fillId="0" fontId="5" numFmtId="3" xfId="0" applyAlignment="1" applyBorder="1" applyFont="1" applyNumberFormat="1">
      <alignment horizontal="center" readingOrder="0"/>
    </xf>
    <xf borderId="1" fillId="7" fontId="8" numFmtId="0" xfId="0" applyAlignment="1" applyBorder="1" applyFill="1" applyFont="1">
      <alignment horizontal="center" shrinkToFit="0" wrapText="1"/>
    </xf>
    <xf borderId="1" fillId="0" fontId="5" numFmtId="165" xfId="0" applyAlignment="1" applyBorder="1" applyFont="1" applyNumberFormat="1">
      <alignment horizontal="center"/>
    </xf>
    <xf borderId="1" fillId="0" fontId="9" numFmtId="3" xfId="0" applyAlignment="1" applyBorder="1" applyFont="1" applyNumberFormat="1">
      <alignment horizontal="center"/>
    </xf>
    <xf borderId="0" fillId="2" fontId="1" numFmtId="0" xfId="0" applyFont="1"/>
    <xf borderId="1" fillId="8" fontId="10" numFmtId="0" xfId="0" applyAlignment="1" applyBorder="1" applyFill="1" applyFont="1">
      <alignment horizontal="center" shrinkToFit="0" vertical="top" wrapText="1"/>
    </xf>
    <xf borderId="4" fillId="8" fontId="10" numFmtId="0" xfId="0" applyAlignment="1" applyBorder="1" applyFont="1">
      <alignment horizontal="center" shrinkToFit="0" vertical="top" wrapText="1"/>
    </xf>
    <xf borderId="4" fillId="8" fontId="10" numFmtId="0" xfId="0" applyAlignment="1" applyBorder="1" applyFont="1">
      <alignment horizontal="center" readingOrder="0" shrinkToFit="0" vertical="top" wrapText="1"/>
    </xf>
    <xf borderId="0" fillId="9" fontId="11" numFmtId="0" xfId="0" applyFill="1" applyFont="1"/>
    <xf borderId="1" fillId="9" fontId="10" numFmtId="0" xfId="0" applyAlignment="1" applyBorder="1" applyFont="1">
      <alignment horizontal="center" shrinkToFit="0" vertical="top" wrapText="1"/>
    </xf>
    <xf borderId="4" fillId="9" fontId="10" numFmtId="0" xfId="0" applyAlignment="1" applyBorder="1" applyFont="1">
      <alignment horizontal="center" shrinkToFit="0" vertical="top" wrapText="1"/>
    </xf>
    <xf borderId="4" fillId="9" fontId="10" numFmtId="0" xfId="0" applyAlignment="1" applyBorder="1" applyFont="1">
      <alignment horizontal="center" readingOrder="0" shrinkToFit="0" vertical="top" wrapText="1"/>
    </xf>
    <xf borderId="0" fillId="9" fontId="3" numFmtId="3" xfId="0" applyAlignment="1" applyFont="1" applyNumberFormat="1">
      <alignment horizontal="center" readingOrder="0"/>
    </xf>
    <xf borderId="0" fillId="9" fontId="12" numFmtId="0" xfId="0" applyAlignment="1" applyFont="1">
      <alignment shrinkToFit="0" vertical="top" wrapText="1"/>
    </xf>
    <xf borderId="0" fillId="9" fontId="13" numFmtId="3" xfId="0" applyAlignment="1" applyFont="1" applyNumberFormat="1">
      <alignment horizontal="center" readingOrder="0" vertical="center"/>
    </xf>
    <xf borderId="0" fillId="9" fontId="1" numFmtId="0" xfId="0" applyAlignment="1" applyFont="1">
      <alignment vertical="top"/>
    </xf>
    <xf borderId="0" fillId="9" fontId="1" numFmtId="0" xfId="0" applyAlignment="1" applyFont="1">
      <alignment horizontal="center" readingOrder="0" shrinkToFit="0" vertical="top" wrapText="1"/>
    </xf>
    <xf borderId="0" fillId="9" fontId="14" numFmtId="0" xfId="0" applyAlignment="1" applyFont="1">
      <alignment shrinkToFit="0" vertical="top" wrapText="1"/>
    </xf>
    <xf borderId="0" fillId="9" fontId="15" numFmtId="0" xfId="0" applyAlignment="1" applyFont="1">
      <alignment horizontal="center"/>
    </xf>
    <xf borderId="0" fillId="9" fontId="16" numFmtId="3" xfId="0" applyAlignment="1" applyFont="1" applyNumberFormat="1">
      <alignment horizontal="center" vertical="center"/>
    </xf>
    <xf borderId="1" fillId="3" fontId="17" numFmtId="0" xfId="0" applyAlignment="1" applyBorder="1" applyFont="1">
      <alignment horizontal="center" readingOrder="0" shrinkToFit="0" vertical="top" wrapText="1"/>
    </xf>
    <xf borderId="1" fillId="10" fontId="17" numFmtId="0" xfId="0" applyAlignment="1" applyBorder="1" applyFill="1" applyFont="1">
      <alignment horizontal="center" readingOrder="0" shrinkToFit="0" vertical="top" wrapText="1"/>
    </xf>
    <xf borderId="1" fillId="8" fontId="18" numFmtId="0" xfId="0" applyAlignment="1" applyBorder="1" applyFont="1">
      <alignment horizontal="center" readingOrder="0" shrinkToFit="0" vertical="top" wrapText="1"/>
    </xf>
    <xf borderId="1" fillId="9" fontId="18" numFmtId="0" xfId="0" applyAlignment="1" applyBorder="1" applyFont="1">
      <alignment shrinkToFit="0" wrapText="1"/>
    </xf>
    <xf borderId="0" fillId="11" fontId="11" numFmtId="0" xfId="0" applyFill="1" applyFont="1"/>
    <xf borderId="0" fillId="2" fontId="1" numFmtId="0" xfId="0" applyAlignment="1" applyFont="1">
      <alignment vertical="top"/>
    </xf>
    <xf borderId="1" fillId="3" fontId="2" numFmtId="164" xfId="0" applyAlignment="1" applyBorder="1" applyFont="1" applyNumberFormat="1">
      <alignment horizontal="center" shrinkToFit="0" vertical="bottom" wrapText="1"/>
    </xf>
    <xf borderId="0" fillId="2" fontId="1" numFmtId="3" xfId="0" applyFont="1" applyNumberFormat="1"/>
    <xf borderId="0" fillId="12" fontId="1" numFmtId="0" xfId="0" applyFill="1" applyFont="1"/>
    <xf borderId="5" fillId="13" fontId="3" numFmtId="0" xfId="0" applyAlignment="1" applyBorder="1" applyFill="1" applyFont="1">
      <alignment horizontal="center"/>
    </xf>
    <xf borderId="5" fillId="13" fontId="3" numFmtId="0" xfId="0" applyAlignment="1" applyBorder="1" applyFont="1">
      <alignment readingOrder="0" shrinkToFit="0" wrapText="0"/>
    </xf>
    <xf borderId="5" fillId="13" fontId="1" numFmtId="166" xfId="0" applyAlignment="1" applyBorder="1" applyFont="1" applyNumberFormat="1">
      <alignment vertical="bottom"/>
    </xf>
    <xf borderId="5" fillId="13" fontId="1" numFmtId="0" xfId="0" applyAlignment="1" applyBorder="1" applyFont="1">
      <alignment vertical="top"/>
    </xf>
    <xf borderId="5" fillId="13" fontId="19" numFmtId="0" xfId="0" applyAlignment="1" applyBorder="1" applyFont="1">
      <alignment horizontal="right" shrinkToFit="0" vertical="top" wrapText="1"/>
    </xf>
    <xf borderId="6" fillId="8" fontId="16" numFmtId="0" xfId="0" applyAlignment="1" applyBorder="1" applyFont="1">
      <alignment horizontal="center" shrinkToFit="0" wrapText="1"/>
    </xf>
    <xf borderId="6" fillId="8" fontId="1" numFmtId="0" xfId="0" applyBorder="1" applyFont="1"/>
    <xf borderId="7" fillId="0" fontId="6" numFmtId="0" xfId="0" applyBorder="1" applyFont="1"/>
    <xf borderId="1" fillId="0" fontId="19" numFmtId="3" xfId="0" applyAlignment="1" applyBorder="1" applyFont="1" applyNumberFormat="1">
      <alignment horizontal="center" readingOrder="0" shrinkToFit="0" vertical="top" wrapText="1"/>
    </xf>
    <xf borderId="1" fillId="2" fontId="20" numFmtId="0" xfId="0" applyAlignment="1" applyBorder="1" applyFont="1">
      <alignment shrinkToFit="0" vertical="top" wrapText="1"/>
    </xf>
    <xf borderId="1" fillId="14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vertical="top"/>
    </xf>
    <xf borderId="1" fillId="2" fontId="20" numFmtId="0" xfId="0" applyAlignment="1" applyBorder="1" applyFont="1">
      <alignment horizontal="right" shrinkToFit="0" vertical="top" wrapText="1"/>
    </xf>
    <xf borderId="1" fillId="0" fontId="19" numFmtId="3" xfId="0" applyAlignment="1" applyBorder="1" applyFont="1" applyNumberFormat="1">
      <alignment horizontal="center" shrinkToFit="0" vertical="top" wrapText="1"/>
    </xf>
    <xf borderId="1" fillId="2" fontId="21" numFmtId="0" xfId="0" applyAlignment="1" applyBorder="1" applyFont="1">
      <alignment shrinkToFit="0" vertical="top" wrapText="1"/>
    </xf>
    <xf borderId="1" fillId="9" fontId="22" numFmtId="0" xfId="0" applyAlignment="1" applyBorder="1" applyFont="1">
      <alignment horizontal="center" readingOrder="0" shrinkToFit="0" vertical="top" wrapText="1"/>
    </xf>
    <xf borderId="1" fillId="9" fontId="12" numFmtId="0" xfId="0" applyAlignment="1" applyBorder="1" applyFont="1">
      <alignment readingOrder="0" shrinkToFit="0" vertical="top" wrapText="1"/>
    </xf>
    <xf borderId="1" fillId="2" fontId="23" numFmtId="0" xfId="0" applyAlignment="1" applyBorder="1" applyFont="1">
      <alignment readingOrder="0" shrinkToFit="0" vertical="top" wrapText="1"/>
    </xf>
    <xf borderId="1" fillId="15" fontId="1" numFmtId="0" xfId="0" applyAlignment="1" applyBorder="1" applyFill="1" applyFont="1">
      <alignment readingOrder="0" vertical="top"/>
    </xf>
    <xf borderId="1" fillId="9" fontId="20" numFmtId="0" xfId="0" applyAlignment="1" applyBorder="1" applyFont="1">
      <alignment shrinkToFit="0" vertical="top" wrapText="1"/>
    </xf>
    <xf borderId="1" fillId="9" fontId="19" numFmtId="0" xfId="0" applyAlignment="1" applyBorder="1" applyFont="1">
      <alignment readingOrder="0" shrinkToFit="0" vertical="top" wrapText="1"/>
    </xf>
    <xf borderId="1" fillId="9" fontId="12" numFmtId="0" xfId="0" applyAlignment="1" applyBorder="1" applyFont="1">
      <alignment shrinkToFit="0" vertical="top" wrapText="1"/>
    </xf>
    <xf borderId="1" fillId="6" fontId="1" numFmtId="0" xfId="0" applyAlignment="1" applyBorder="1" applyFont="1">
      <alignment readingOrder="0" vertical="top"/>
    </xf>
    <xf borderId="1" fillId="9" fontId="24" numFmtId="0" xfId="0" applyAlignment="1" applyBorder="1" applyFont="1">
      <alignment horizontal="center" readingOrder="0" shrinkToFit="0" vertical="center" wrapText="1"/>
    </xf>
    <xf borderId="1" fillId="9" fontId="25" numFmtId="0" xfId="0" applyAlignment="1" applyBorder="1" applyFont="1">
      <alignment readingOrder="0" shrinkToFit="0" vertical="top" wrapText="1"/>
    </xf>
    <xf borderId="1" fillId="9" fontId="26" numFmtId="0" xfId="0" applyAlignment="1" applyBorder="1" applyFont="1">
      <alignment readingOrder="0" shrinkToFit="0" vertical="top" wrapText="1"/>
    </xf>
    <xf borderId="1" fillId="9" fontId="27" numFmtId="0" xfId="0" applyAlignment="1" applyBorder="1" applyFont="1">
      <alignment horizontal="center" readingOrder="0" shrinkToFit="0" vertical="center" wrapText="1"/>
    </xf>
    <xf borderId="1" fillId="2" fontId="28" numFmtId="0" xfId="0" applyAlignment="1" applyBorder="1" applyFont="1">
      <alignment shrinkToFit="0" vertical="top" wrapText="1"/>
    </xf>
    <xf borderId="1" fillId="2" fontId="28" numFmtId="0" xfId="0" applyAlignment="1" applyBorder="1" applyFont="1">
      <alignment readingOrder="0" shrinkToFit="0" vertical="top" wrapText="1"/>
    </xf>
    <xf borderId="1" fillId="9" fontId="21" numFmtId="0" xfId="0" applyAlignment="1" applyBorder="1" applyFont="1">
      <alignment readingOrder="0" shrinkToFit="0" vertical="top" wrapText="1"/>
    </xf>
    <xf borderId="1" fillId="9" fontId="29" numFmtId="0" xfId="0" applyAlignment="1" applyBorder="1" applyFont="1">
      <alignment readingOrder="0" shrinkToFit="0" vertical="top" wrapText="1"/>
    </xf>
    <xf borderId="1" fillId="8" fontId="1" numFmtId="0" xfId="0" applyAlignment="1" applyBorder="1" applyFont="1">
      <alignment readingOrder="0" vertical="top"/>
    </xf>
    <xf borderId="1" fillId="0" fontId="29" numFmtId="0" xfId="0" applyAlignment="1" applyBorder="1" applyFont="1">
      <alignment horizontal="center" readingOrder="0" shrinkToFit="0" vertical="top" wrapText="1"/>
    </xf>
    <xf borderId="1" fillId="2" fontId="25" numFmtId="0" xfId="0" applyAlignment="1" applyBorder="1" applyFont="1">
      <alignment shrinkToFit="0" vertical="top" wrapText="1"/>
    </xf>
    <xf borderId="1" fillId="0" fontId="27" numFmtId="0" xfId="0" applyAlignment="1" applyBorder="1" applyFont="1">
      <alignment horizontal="center" readingOrder="0" shrinkToFit="0" vertical="top" wrapText="1"/>
    </xf>
    <xf borderId="1" fillId="16" fontId="1" numFmtId="0" xfId="0" applyAlignment="1" applyBorder="1" applyFill="1" applyFont="1">
      <alignment readingOrder="0" vertical="top"/>
    </xf>
    <xf borderId="1" fillId="0" fontId="27" numFmtId="0" xfId="0" applyAlignment="1" applyBorder="1" applyFont="1">
      <alignment horizontal="center" readingOrder="0" shrinkToFit="0" vertical="center" wrapText="1"/>
    </xf>
    <xf borderId="1" fillId="2" fontId="29" numFmtId="0" xfId="0" applyAlignment="1" applyBorder="1" applyFont="1">
      <alignment shrinkToFit="0" vertical="top" wrapText="1"/>
    </xf>
    <xf borderId="1" fillId="2" fontId="29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shrinkToFit="0" vertical="center" wrapText="1"/>
    </xf>
    <xf borderId="8" fillId="9" fontId="25" numFmtId="0" xfId="0" applyAlignment="1" applyBorder="1" applyFont="1">
      <alignment readingOrder="0" shrinkToFit="0" vertical="top" wrapText="1"/>
    </xf>
    <xf borderId="1" fillId="17" fontId="1" numFmtId="0" xfId="0" applyAlignment="1" applyBorder="1" applyFill="1" applyFont="1">
      <alignment readingOrder="0" vertical="top"/>
    </xf>
    <xf borderId="7" fillId="9" fontId="12" numFmtId="0" xfId="0" applyAlignment="1" applyBorder="1" applyFont="1">
      <alignment readingOrder="0" shrinkToFit="0" vertical="top" wrapText="1"/>
    </xf>
    <xf borderId="1" fillId="13" fontId="1" numFmtId="0" xfId="0" applyAlignment="1" applyBorder="1" applyFont="1">
      <alignment readingOrder="0" vertical="top"/>
    </xf>
    <xf borderId="4" fillId="2" fontId="29" numFmtId="0" xfId="0" applyAlignment="1" applyBorder="1" applyFont="1">
      <alignment readingOrder="0" shrinkToFit="0" vertical="top" wrapText="1"/>
    </xf>
    <xf borderId="7" fillId="9" fontId="19" numFmtId="0" xfId="0" applyAlignment="1" applyBorder="1" applyFont="1">
      <alignment shrinkToFit="0" vertical="top" wrapText="1"/>
    </xf>
    <xf borderId="4" fillId="9" fontId="29" numFmtId="0" xfId="0" applyAlignment="1" applyBorder="1" applyFont="1">
      <alignment readingOrder="0" shrinkToFit="0" vertical="top" wrapText="1"/>
    </xf>
    <xf borderId="4" fillId="9" fontId="19" numFmtId="0" xfId="0" applyAlignment="1" applyBorder="1" applyFont="1">
      <alignment shrinkToFit="0" vertical="top" wrapText="1"/>
    </xf>
    <xf borderId="1" fillId="18" fontId="1" numFmtId="0" xfId="0" applyAlignment="1" applyBorder="1" applyFill="1" applyFont="1">
      <alignment readingOrder="0" vertical="top"/>
    </xf>
    <xf borderId="1" fillId="9" fontId="22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readingOrder="0" shrinkToFit="0" vertical="top" wrapText="1"/>
    </xf>
    <xf borderId="1" fillId="9" fontId="20" numFmtId="0" xfId="0" applyAlignment="1" applyBorder="1" applyFont="1">
      <alignment horizontal="right" readingOrder="0" shrinkToFit="0" vertical="top" wrapText="1"/>
    </xf>
    <xf borderId="1" fillId="2" fontId="21" numFmtId="0" xfId="0" applyAlignment="1" applyBorder="1" applyFont="1">
      <alignment readingOrder="0" shrinkToFit="0" vertical="top" wrapText="1"/>
    </xf>
    <xf borderId="1" fillId="9" fontId="1" numFmtId="0" xfId="0" applyAlignment="1" applyBorder="1" applyFont="1">
      <alignment readingOrder="0" vertical="top"/>
    </xf>
    <xf borderId="1" fillId="2" fontId="19" numFmtId="0" xfId="0" applyAlignment="1" applyBorder="1" applyFont="1">
      <alignment shrinkToFit="0" vertical="top" wrapText="1"/>
    </xf>
    <xf borderId="1" fillId="9" fontId="30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0" fillId="0" fontId="31" numFmtId="0" xfId="0" applyAlignment="1" applyFont="1">
      <alignment readingOrder="0"/>
    </xf>
    <xf borderId="0" fillId="0" fontId="31" numFmtId="0" xfId="0" applyFont="1"/>
    <xf borderId="0" fillId="0" fontId="32" numFmtId="0" xfId="0" applyAlignment="1" applyFont="1">
      <alignment readingOrder="0"/>
    </xf>
    <xf borderId="0" fillId="2" fontId="33" numFmtId="0" xfId="0" applyAlignment="1" applyFont="1">
      <alignment readingOrder="0"/>
    </xf>
    <xf borderId="0" fillId="2" fontId="33" numFmtId="0" xfId="0" applyFont="1"/>
    <xf borderId="0" fillId="9" fontId="12" numFmtId="0" xfId="0" applyAlignment="1" applyFont="1">
      <alignment readingOrder="0" shrinkToFit="0" vertical="top" wrapText="1"/>
    </xf>
    <xf borderId="1" fillId="3" fontId="2" numFmtId="164" xfId="0" applyAlignment="1" applyBorder="1" applyFont="1" applyNumberFormat="1">
      <alignment horizontal="center" shrinkToFit="0" wrapText="1"/>
    </xf>
    <xf borderId="0" fillId="19" fontId="15" numFmtId="0" xfId="0" applyAlignment="1" applyFill="1" applyFont="1">
      <alignment horizontal="center" readingOrder="0" shrinkToFit="0" vertical="center" wrapText="1"/>
    </xf>
    <xf borderId="0" fillId="9" fontId="34" numFmtId="0" xfId="0" applyAlignment="1" applyFont="1">
      <alignment horizontal="center" readingOrder="0" shrinkToFit="0" vertical="center" wrapText="1"/>
    </xf>
    <xf borderId="0" fillId="9" fontId="35" numFmtId="0" xfId="0" applyAlignment="1" applyFont="1">
      <alignment readingOrder="0" vertical="center"/>
    </xf>
    <xf borderId="0" fillId="9" fontId="36" numFmtId="0" xfId="0" applyAlignment="1" applyFont="1">
      <alignment horizontal="center" readingOrder="0" shrinkToFit="0" vertical="center" wrapText="1"/>
    </xf>
    <xf borderId="0" fillId="12" fontId="36" numFmtId="0" xfId="0" applyAlignment="1" applyFont="1">
      <alignment horizontal="center" readingOrder="0" shrinkToFit="0" vertical="center" wrapText="1"/>
    </xf>
    <xf borderId="0" fillId="9" fontId="22" numFmtId="0" xfId="0" applyAlignment="1" applyFont="1">
      <alignment shrinkToFit="0" wrapText="1"/>
    </xf>
    <xf borderId="0" fillId="19" fontId="15" numFmtId="167" xfId="0" applyAlignment="1" applyFont="1" applyNumberFormat="1">
      <alignment horizontal="center" readingOrder="0" shrinkToFit="0" vertical="center" wrapText="1"/>
    </xf>
    <xf borderId="0" fillId="9" fontId="37" numFmtId="3" xfId="0" applyAlignment="1" applyFont="1" applyNumberFormat="1">
      <alignment horizontal="center" shrinkToFit="0" vertical="center" wrapText="1"/>
    </xf>
    <xf borderId="0" fillId="9" fontId="3" numFmtId="168" xfId="0" applyAlignment="1" applyFont="1" applyNumberFormat="1">
      <alignment horizontal="center" shrinkToFit="0" vertical="center" wrapText="1"/>
    </xf>
    <xf borderId="0" fillId="0" fontId="29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5" fillId="13" fontId="3" numFmtId="0" xfId="0" applyAlignment="1" applyBorder="1" applyFont="1">
      <alignment horizontal="center" readingOrder="0" vertical="center"/>
    </xf>
    <xf borderId="5" fillId="13" fontId="3" numFmtId="0" xfId="0" applyAlignment="1" applyBorder="1" applyFont="1">
      <alignment readingOrder="0" vertical="center"/>
    </xf>
    <xf borderId="5" fillId="13" fontId="1" numFmtId="166" xfId="0" applyBorder="1" applyFont="1" applyNumberFormat="1"/>
    <xf borderId="5" fillId="13" fontId="12" numFmtId="0" xfId="0" applyAlignment="1" applyBorder="1" applyFont="1">
      <alignment shrinkToFit="0" vertical="top" wrapText="1"/>
    </xf>
    <xf borderId="5" fillId="13" fontId="1" numFmtId="0" xfId="0" applyAlignment="1" applyBorder="1" applyFont="1">
      <alignment readingOrder="0" vertical="top"/>
    </xf>
    <xf borderId="5" fillId="13" fontId="12" numFmtId="0" xfId="0" applyAlignment="1" applyBorder="1" applyFont="1">
      <alignment horizontal="center" shrinkToFit="0" vertical="top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top" wrapText="1"/>
    </xf>
    <xf borderId="0" fillId="0" fontId="38" numFmtId="0" xfId="0" applyAlignment="1" applyFont="1">
      <alignment readingOrder="0" shrinkToFit="0" vertical="top" wrapText="1"/>
    </xf>
    <xf borderId="0" fillId="0" fontId="38" numFmtId="0" xfId="0" applyAlignment="1" applyFont="1">
      <alignment shrinkToFit="0" vertical="top" wrapText="1"/>
    </xf>
    <xf borderId="6" fillId="8" fontId="16" numFmtId="0" xfId="0" applyAlignment="1" applyBorder="1" applyFont="1">
      <alignment horizontal="center" shrinkToFit="0" vertical="center" wrapText="1"/>
    </xf>
    <xf borderId="6" fillId="8" fontId="16" numFmtId="0" xfId="0" applyAlignment="1" applyBorder="1" applyFont="1">
      <alignment horizontal="center" readingOrder="0" shrinkToFit="0" vertical="center" wrapText="1"/>
    </xf>
    <xf borderId="9" fillId="8" fontId="16" numFmtId="0" xfId="0" applyAlignment="1" applyBorder="1" applyFont="1">
      <alignment horizontal="center" readingOrder="0" shrinkToFit="0" vertical="center" wrapText="1"/>
    </xf>
    <xf borderId="9" fillId="0" fontId="6" numFmtId="0" xfId="0" applyBorder="1" applyFont="1"/>
    <xf borderId="4" fillId="0" fontId="6" numFmtId="0" xfId="0" applyBorder="1" applyFont="1"/>
    <xf borderId="2" fillId="8" fontId="16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7" fillId="8" fontId="16" numFmtId="0" xfId="0" applyAlignment="1" applyBorder="1" applyFont="1">
      <alignment horizontal="center" shrinkToFit="0" vertical="center" wrapText="1"/>
    </xf>
    <xf borderId="1" fillId="0" fontId="12" numFmtId="3" xfId="0" applyAlignment="1" applyBorder="1" applyFont="1" applyNumberFormat="1">
      <alignment horizontal="center" readingOrder="0" shrinkToFit="0" vertical="top" wrapText="1"/>
    </xf>
    <xf borderId="1" fillId="20" fontId="21" numFmtId="0" xfId="0" applyAlignment="1" applyBorder="1" applyFill="1" applyFont="1">
      <alignment readingOrder="0" shrinkToFit="0" vertical="top" wrapText="1"/>
    </xf>
    <xf borderId="1" fillId="20" fontId="3" numFmtId="0" xfId="0" applyAlignment="1" applyBorder="1" applyFont="1">
      <alignment horizontal="center" readingOrder="0" shrinkToFit="0" vertical="center" wrapText="1"/>
    </xf>
    <xf borderId="1" fillId="20" fontId="12" numFmtId="0" xfId="0" applyAlignment="1" applyBorder="1" applyFont="1">
      <alignment readingOrder="0" shrinkToFit="0" vertical="top" wrapText="1"/>
    </xf>
    <xf borderId="1" fillId="20" fontId="1" numFmtId="0" xfId="0" applyAlignment="1" applyBorder="1" applyFont="1">
      <alignment horizontal="center" readingOrder="0" shrinkToFit="0" vertical="top" wrapText="1"/>
    </xf>
    <xf borderId="1" fillId="9" fontId="34" numFmtId="0" xfId="0" applyAlignment="1" applyBorder="1" applyFont="1">
      <alignment horizontal="center" readingOrder="0" shrinkToFit="0" vertical="top" wrapText="1"/>
    </xf>
    <xf borderId="1" fillId="21" fontId="26" numFmtId="169" xfId="0" applyAlignment="1" applyBorder="1" applyFill="1" applyFont="1" applyNumberFormat="1">
      <alignment horizontal="center" readingOrder="0" shrinkToFit="0" vertical="top" wrapText="1"/>
    </xf>
    <xf borderId="1" fillId="0" fontId="25" numFmtId="0" xfId="0" applyAlignment="1" applyBorder="1" applyFont="1">
      <alignment readingOrder="0" shrinkToFit="0" vertical="top" wrapText="1"/>
    </xf>
    <xf borderId="1" fillId="0" fontId="25" numFmtId="0" xfId="0" applyAlignment="1" applyBorder="1" applyFont="1">
      <alignment shrinkToFit="0" vertical="top" wrapText="1"/>
    </xf>
    <xf borderId="1" fillId="20" fontId="40" numFmtId="0" xfId="0" applyAlignment="1" applyBorder="1" applyFont="1">
      <alignment readingOrder="0" shrinkToFit="0" vertical="top" wrapText="1"/>
    </xf>
    <xf borderId="7" fillId="22" fontId="21" numFmtId="0" xfId="0" applyAlignment="1" applyBorder="1" applyFill="1" applyFont="1">
      <alignment readingOrder="0" shrinkToFit="0" vertical="top" wrapText="1"/>
    </xf>
    <xf borderId="0" fillId="0" fontId="37" numFmtId="0" xfId="0" applyAlignment="1" applyFont="1">
      <alignment shrinkToFit="0" vertical="top" wrapText="1"/>
    </xf>
    <xf borderId="1" fillId="2" fontId="21" numFmtId="3" xfId="0" applyAlignment="1" applyBorder="1" applyFont="1" applyNumberFormat="1">
      <alignment shrinkToFit="0" vertical="top" wrapText="1"/>
    </xf>
    <xf borderId="1" fillId="8" fontId="26" numFmtId="169" xfId="0" applyAlignment="1" applyBorder="1" applyFont="1" applyNumberFormat="1">
      <alignment horizontal="center" readingOrder="0" shrinkToFit="0" vertical="top" wrapText="1"/>
    </xf>
    <xf borderId="0" fillId="2" fontId="12" numFmtId="0" xfId="0" applyAlignment="1" applyFont="1">
      <alignment shrinkToFit="0" vertical="top" wrapText="1"/>
    </xf>
    <xf borderId="1" fillId="20" fontId="26" numFmtId="0" xfId="0" applyAlignment="1" applyBorder="1" applyFont="1">
      <alignment horizontal="center" readingOrder="0" shrinkToFit="0" vertical="top" wrapText="1"/>
    </xf>
    <xf borderId="1" fillId="23" fontId="3" numFmtId="0" xfId="0" applyAlignment="1" applyBorder="1" applyFill="1" applyFont="1">
      <alignment horizontal="center" readingOrder="0" shrinkToFit="0" vertical="center" wrapText="1"/>
    </xf>
    <xf borderId="1" fillId="2" fontId="21" numFmtId="0" xfId="0" applyAlignment="1" applyBorder="1" applyFont="1">
      <alignment shrinkToFit="0" vertical="top" wrapText="1"/>
    </xf>
    <xf borderId="0" fillId="0" fontId="41" numFmtId="0" xfId="0" applyAlignment="1" applyFont="1">
      <alignment horizontal="left" readingOrder="0" shrinkToFit="0" vertical="top" wrapText="1"/>
    </xf>
    <xf borderId="1" fillId="20" fontId="25" numFmtId="0" xfId="0" applyAlignment="1" applyBorder="1" applyFont="1">
      <alignment shrinkToFit="0" vertical="top" wrapText="1"/>
    </xf>
    <xf borderId="1" fillId="20" fontId="40" numFmtId="0" xfId="0" applyAlignment="1" applyBorder="1" applyFont="1">
      <alignment horizontal="left" readingOrder="0" vertical="top"/>
    </xf>
    <xf borderId="1" fillId="20" fontId="19" numFmtId="0" xfId="0" applyAlignment="1" applyBorder="1" applyFont="1">
      <alignment readingOrder="0" shrinkToFit="0" vertical="top" wrapText="1"/>
    </xf>
    <xf borderId="0" fillId="0" fontId="41" numFmtId="0" xfId="0" applyAlignment="1" applyFont="1">
      <alignment readingOrder="0" shrinkToFit="0" vertical="top" wrapText="1"/>
    </xf>
    <xf borderId="0" fillId="0" fontId="22" numFmtId="0" xfId="0" applyAlignment="1" applyFont="1">
      <alignment shrinkToFit="0" wrapText="1"/>
    </xf>
    <xf borderId="1" fillId="19" fontId="15" numFmtId="167" xfId="0" applyAlignment="1" applyBorder="1" applyFont="1" applyNumberFormat="1">
      <alignment horizontal="center" readingOrder="0" shrinkToFit="0" vertical="center" wrapText="1"/>
    </xf>
    <xf borderId="1" fillId="19" fontId="37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shrinkToFit="0" vertical="top" wrapText="1"/>
    </xf>
    <xf borderId="1" fillId="12" fontId="8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24" fontId="15" numFmtId="0" xfId="0" applyAlignment="1" applyBorder="1" applyFill="1" applyFont="1">
      <alignment shrinkToFit="0" vertical="top" wrapText="1"/>
    </xf>
    <xf borderId="1" fillId="0" fontId="15" numFmtId="0" xfId="0" applyAlignment="1" applyBorder="1" applyFont="1">
      <alignment shrinkToFit="0" vertical="top" wrapText="1"/>
    </xf>
    <xf borderId="1" fillId="20" fontId="15" numFmtId="0" xfId="0" applyAlignment="1" applyBorder="1" applyFont="1">
      <alignment shrinkToFit="0" vertical="top" wrapText="1"/>
    </xf>
    <xf borderId="1" fillId="8" fontId="15" numFmtId="0" xfId="0" applyAlignment="1" applyBorder="1" applyFont="1">
      <alignment shrinkToFit="0" vertical="top" wrapText="1"/>
    </xf>
    <xf borderId="1" fillId="22" fontId="21" numFmtId="0" xfId="0" applyAlignment="1" applyBorder="1" applyFont="1">
      <alignment horizontal="center" readingOrder="0" shrinkToFit="0" vertical="top" wrapText="1"/>
    </xf>
    <xf borderId="1" fillId="8" fontId="16" numFmtId="0" xfId="0" applyAlignment="1" applyBorder="1" applyFont="1">
      <alignment horizontal="center" shrinkToFit="0" wrapText="1"/>
    </xf>
    <xf borderId="4" fillId="8" fontId="16" numFmtId="0" xfId="0" applyAlignment="1" applyBorder="1" applyFont="1">
      <alignment horizontal="center" shrinkToFit="0" wrapText="1"/>
    </xf>
    <xf borderId="1" fillId="23" fontId="20" numFmtId="0" xfId="0" applyAlignment="1" applyBorder="1" applyFont="1">
      <alignment horizontal="center" shrinkToFit="0" vertical="top" wrapText="1"/>
    </xf>
    <xf borderId="1" fillId="2" fontId="25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vertical="top"/>
    </xf>
    <xf borderId="1" fillId="23" fontId="25" numFmtId="0" xfId="0" applyAlignment="1" applyBorder="1" applyFont="1">
      <alignment shrinkToFit="0" vertical="top" wrapText="1"/>
    </xf>
    <xf borderId="1" fillId="23" fontId="1" numFmtId="0" xfId="0" applyAlignment="1" applyBorder="1" applyFont="1">
      <alignment horizontal="center" vertical="top"/>
    </xf>
    <xf borderId="0" fillId="0" fontId="12" numFmtId="0" xfId="0" applyAlignment="1" applyFont="1">
      <alignment readingOrder="0" shrinkToFit="0" vertical="top" wrapText="1"/>
    </xf>
    <xf borderId="0" fillId="19" fontId="37" numFmtId="0" xfId="0" applyAlignment="1" applyFont="1">
      <alignment horizontal="center" readingOrder="0" shrinkToFit="0" vertical="center" wrapText="1"/>
    </xf>
    <xf borderId="0" fillId="13" fontId="2" numFmtId="3" xfId="0" applyAlignment="1" applyFont="1" applyNumberFormat="1">
      <alignment horizontal="center" shrinkToFit="0" wrapText="1"/>
    </xf>
    <xf borderId="0" fillId="0" fontId="42" numFmtId="0" xfId="0" applyAlignment="1" applyFont="1">
      <alignment vertical="top"/>
    </xf>
    <xf borderId="1" fillId="25" fontId="26" numFmtId="169" xfId="0" applyAlignment="1" applyBorder="1" applyFill="1" applyFont="1" applyNumberFormat="1">
      <alignment horizontal="center" readingOrder="0" shrinkToFit="0" vertical="top" wrapText="1"/>
    </xf>
    <xf borderId="1" fillId="21" fontId="26" numFmtId="0" xfId="0" applyAlignment="1" applyBorder="1" applyFont="1">
      <alignment horizontal="center" readingOrder="0" shrinkToFit="0" vertical="top" wrapText="1"/>
    </xf>
    <xf borderId="1" fillId="20" fontId="29" numFmtId="0" xfId="0" applyAlignment="1" applyBorder="1" applyFont="1">
      <alignment readingOrder="0" shrinkToFit="0" vertical="top" wrapText="1"/>
    </xf>
    <xf borderId="1" fillId="26" fontId="26" numFmtId="169" xfId="0" applyAlignment="1" applyBorder="1" applyFill="1" applyFont="1" applyNumberFormat="1">
      <alignment horizontal="center" readingOrder="0" shrinkToFit="0" vertical="top" wrapText="1"/>
    </xf>
    <xf borderId="1" fillId="2" fontId="29" numFmtId="0" xfId="0" applyAlignment="1" applyBorder="1" applyFont="1">
      <alignment shrinkToFit="0" vertical="top" wrapText="1"/>
    </xf>
    <xf borderId="1" fillId="20" fontId="12" numFmtId="3" xfId="0" applyAlignment="1" applyBorder="1" applyFont="1" applyNumberFormat="1">
      <alignment horizontal="center" readingOrder="0" shrinkToFit="0" vertical="top" wrapText="1"/>
    </xf>
    <xf borderId="1" fillId="20" fontId="20" numFmtId="0" xfId="0" applyAlignment="1" applyBorder="1" applyFont="1">
      <alignment readingOrder="0" vertical="top"/>
    </xf>
    <xf borderId="1" fillId="20" fontId="29" numFmtId="0" xfId="0" applyAlignment="1" applyBorder="1" applyFont="1">
      <alignment shrinkToFit="0" vertical="top" wrapText="1"/>
    </xf>
    <xf borderId="0" fillId="9" fontId="29" numFmtId="0" xfId="0" applyAlignment="1" applyFont="1">
      <alignment shrinkToFit="0" vertical="top" wrapText="1"/>
    </xf>
    <xf borderId="1" fillId="19" fontId="12" numFmtId="3" xfId="0" applyAlignment="1" applyBorder="1" applyFont="1" applyNumberFormat="1">
      <alignment horizontal="center" readingOrder="0" shrinkToFit="0" vertical="top" wrapText="1"/>
    </xf>
    <xf borderId="1" fillId="20" fontId="26" numFmtId="0" xfId="0" applyAlignment="1" applyBorder="1" applyFont="1">
      <alignment readingOrder="0" shrinkToFit="0" vertical="top" wrapText="1"/>
    </xf>
    <xf borderId="1" fillId="20" fontId="43" numFmtId="0" xfId="0" applyAlignment="1" applyBorder="1" applyFont="1">
      <alignment horizontal="center" readingOrder="0" shrinkToFit="0" vertical="center" wrapText="1"/>
    </xf>
    <xf borderId="1" fillId="21" fontId="28" numFmtId="0" xfId="0" applyAlignment="1" applyBorder="1" applyFont="1">
      <alignment horizontal="center" readingOrder="0" shrinkToFit="0" vertical="top" wrapText="1"/>
    </xf>
    <xf borderId="1" fillId="20" fontId="25" numFmtId="0" xfId="0" applyAlignment="1" applyBorder="1" applyFont="1">
      <alignment horizontal="center" readingOrder="0" shrinkToFit="0" vertical="top" wrapText="1"/>
    </xf>
    <xf borderId="1" fillId="11" fontId="1" numFmtId="0" xfId="0" applyAlignment="1" applyBorder="1" applyFont="1">
      <alignment horizontal="center" readingOrder="0" shrinkToFit="0" vertical="top" wrapText="1"/>
    </xf>
    <xf borderId="1" fillId="20" fontId="22" numFmtId="0" xfId="0" applyAlignment="1" applyBorder="1" applyFont="1">
      <alignment horizontal="center" readingOrder="0" shrinkToFit="0" vertical="top" wrapText="1"/>
    </xf>
    <xf borderId="1" fillId="20" fontId="20" numFmtId="0" xfId="0" applyAlignment="1" applyBorder="1" applyFont="1">
      <alignment readingOrder="0" shrinkToFit="0" vertical="top" wrapText="1"/>
    </xf>
    <xf borderId="4" fillId="9" fontId="12" numFmtId="0" xfId="0" applyAlignment="1" applyBorder="1" applyFont="1">
      <alignment readingOrder="0" shrinkToFit="0" vertical="top" wrapText="1"/>
    </xf>
    <xf borderId="1" fillId="20" fontId="12" numFmtId="0" xfId="0" applyAlignment="1" applyBorder="1" applyFont="1">
      <alignment shrinkToFit="0" vertical="top" wrapText="1"/>
    </xf>
    <xf borderId="4" fillId="20" fontId="19" numFmtId="0" xfId="0" applyAlignment="1" applyBorder="1" applyFont="1">
      <alignment readingOrder="0" shrinkToFit="0" vertical="top" wrapText="1"/>
    </xf>
    <xf borderId="1" fillId="20" fontId="25" numFmtId="0" xfId="0" applyAlignment="1" applyBorder="1" applyFont="1">
      <alignment readingOrder="0" shrinkToFit="0" vertical="top" wrapText="1"/>
    </xf>
    <xf borderId="0" fillId="0" fontId="12" numFmtId="167" xfId="0" applyAlignment="1" applyFont="1" applyNumberFormat="1">
      <alignment readingOrder="0" shrinkToFit="0" vertical="top" wrapText="1"/>
    </xf>
    <xf borderId="1" fillId="9" fontId="22" numFmtId="0" xfId="0" applyAlignment="1" applyBorder="1" applyFont="1">
      <alignment readingOrder="0" shrinkToFit="0" vertical="top" wrapText="1"/>
    </xf>
    <xf borderId="1" fillId="20" fontId="40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readingOrder="0" shrinkToFit="0" vertical="top" wrapText="1"/>
    </xf>
    <xf borderId="1" fillId="20" fontId="44" numFmtId="0" xfId="0" applyAlignment="1" applyBorder="1" applyFont="1">
      <alignment readingOrder="0" shrinkToFit="0" vertical="top" wrapText="1"/>
    </xf>
    <xf borderId="7" fillId="20" fontId="25" numFmtId="0" xfId="0" applyAlignment="1" applyBorder="1" applyFont="1">
      <alignment readingOrder="0" shrinkToFit="0" vertical="top" wrapText="1"/>
    </xf>
    <xf borderId="1" fillId="21" fontId="22" numFmtId="0" xfId="0" applyAlignment="1" applyBorder="1" applyFont="1">
      <alignment horizontal="center" readingOrder="0" shrinkToFit="0" vertical="top" wrapText="1"/>
    </xf>
    <xf borderId="5" fillId="13" fontId="12" numFmtId="166" xfId="0" applyAlignment="1" applyBorder="1" applyFont="1" applyNumberFormat="1">
      <alignment shrinkToFit="0" vertical="center" wrapText="1"/>
    </xf>
    <xf borderId="5" fillId="13" fontId="12" numFmtId="0" xfId="0" applyAlignment="1" applyBorder="1" applyFont="1">
      <alignment readingOrder="0" shrinkToFit="0" vertical="top" wrapText="1"/>
    </xf>
    <xf borderId="5" fillId="13" fontId="12" numFmtId="10" xfId="0" applyAlignment="1" applyBorder="1" applyFont="1" applyNumberFormat="1">
      <alignment shrinkToFit="0" vertical="top" wrapText="1"/>
    </xf>
    <xf borderId="1" fillId="8" fontId="1" numFmtId="0" xfId="0" applyAlignment="1" applyBorder="1" applyFont="1">
      <alignment horizontal="center" readingOrder="0" shrinkToFit="0" vertical="top" wrapText="1"/>
    </xf>
    <xf borderId="1" fillId="0" fontId="25" numFmtId="0" xfId="0" applyAlignment="1" applyBorder="1" applyFont="1">
      <alignment horizontal="right" readingOrder="0" vertical="top"/>
    </xf>
    <xf borderId="1" fillId="0" fontId="25" numFmtId="0" xfId="0" applyAlignment="1" applyBorder="1" applyFont="1">
      <alignment vertical="top"/>
    </xf>
    <xf borderId="0" fillId="0" fontId="11" numFmtId="0" xfId="0" applyAlignment="1" applyFont="1">
      <alignment readingOrder="0" shrinkToFit="0" wrapText="1"/>
    </xf>
    <xf borderId="1" fillId="9" fontId="45" numFmtId="0" xfId="0" applyAlignment="1" applyBorder="1" applyFont="1">
      <alignment horizontal="left" readingOrder="0" shrinkToFit="0" vertical="top" wrapText="1"/>
    </xf>
    <xf borderId="1" fillId="20" fontId="19" numFmtId="0" xfId="0" applyAlignment="1" applyBorder="1" applyFont="1">
      <alignment shrinkToFit="0" vertical="top" wrapText="1"/>
    </xf>
    <xf borderId="4" fillId="20" fontId="19" numFmtId="0" xfId="0" applyAlignment="1" applyBorder="1" applyFont="1">
      <alignment shrinkToFit="0" vertical="top" wrapText="1"/>
    </xf>
    <xf borderId="1" fillId="21" fontId="1" numFmtId="0" xfId="0" applyAlignment="1" applyBorder="1" applyFont="1">
      <alignment horizontal="center" readingOrder="0" shrinkToFit="0" vertical="top" wrapText="1"/>
    </xf>
    <xf borderId="4" fillId="20" fontId="21" numFmtId="0" xfId="0" applyAlignment="1" applyBorder="1" applyFont="1">
      <alignment readingOrder="0" shrinkToFit="0" vertical="top" wrapText="1"/>
    </xf>
    <xf borderId="0" fillId="20" fontId="21" numFmtId="0" xfId="0" applyAlignment="1" applyFont="1">
      <alignment readingOrder="0" shrinkToFit="0" vertical="top" wrapText="1"/>
    </xf>
    <xf borderId="1" fillId="9" fontId="46" numFmtId="0" xfId="0" applyAlignment="1" applyBorder="1" applyFont="1">
      <alignment readingOrder="0" shrinkToFit="0" vertical="center" wrapText="1"/>
    </xf>
    <xf borderId="0" fillId="0" fontId="46" numFmtId="0" xfId="0" applyAlignment="1" applyFont="1">
      <alignment readingOrder="0" shrinkToFit="0" vertical="center" wrapText="1"/>
    </xf>
    <xf borderId="1" fillId="27" fontId="1" numFmtId="0" xfId="0" applyAlignment="1" applyBorder="1" applyFill="1" applyFont="1">
      <alignment horizontal="center" readingOrder="0" shrinkToFit="0" vertical="top" wrapText="1"/>
    </xf>
    <xf borderId="7" fillId="9" fontId="25" numFmtId="0" xfId="0" applyAlignment="1" applyBorder="1" applyFont="1">
      <alignment readingOrder="0" shrinkToFit="0" vertical="top" wrapText="1"/>
    </xf>
    <xf borderId="1" fillId="0" fontId="25" numFmtId="0" xfId="0" applyAlignment="1" applyBorder="1" applyFont="1">
      <alignment readingOrder="0" vertical="top"/>
    </xf>
    <xf borderId="1" fillId="19" fontId="12" numFmtId="0" xfId="0" applyAlignment="1" applyBorder="1" applyFont="1">
      <alignment readingOrder="0" shrinkToFit="0" vertical="top" wrapText="1"/>
    </xf>
    <xf borderId="1" fillId="9" fontId="24" numFmtId="0" xfId="0" applyAlignment="1" applyBorder="1" applyFont="1">
      <alignment horizontal="center" readingOrder="0" shrinkToFit="0" vertical="top" wrapText="1"/>
    </xf>
    <xf borderId="1" fillId="21" fontId="26" numFmtId="0" xfId="0" applyAlignment="1" applyBorder="1" applyFont="1">
      <alignment readingOrder="0" shrinkToFit="0" vertical="top" wrapText="1"/>
    </xf>
    <xf borderId="1" fillId="28" fontId="26" numFmtId="169" xfId="0" applyAlignment="1" applyBorder="1" applyFill="1" applyFont="1" applyNumberFormat="1">
      <alignment horizontal="center" readingOrder="0" shrinkToFit="0" vertical="top" wrapText="1"/>
    </xf>
    <xf borderId="1" fillId="9" fontId="25" numFmtId="0" xfId="0" applyAlignment="1" applyBorder="1" applyFont="1">
      <alignment shrinkToFit="0" vertical="top" wrapText="1"/>
    </xf>
    <xf borderId="4" fillId="20" fontId="12" numFmtId="0" xfId="0" applyAlignment="1" applyBorder="1" applyFont="1">
      <alignment readingOrder="0" shrinkToFit="0" vertical="top" wrapText="1"/>
    </xf>
    <xf borderId="0" fillId="20" fontId="12" numFmtId="0" xfId="0" applyAlignment="1" applyFont="1">
      <alignment readingOrder="0" shrinkToFit="0" vertical="top" wrapText="1"/>
    </xf>
    <xf borderId="1" fillId="0" fontId="12" numFmtId="0" xfId="0" applyAlignment="1" applyBorder="1" applyFont="1">
      <alignment shrinkToFit="0" vertical="top" wrapText="1"/>
    </xf>
    <xf borderId="1" fillId="2" fontId="19" numFmtId="0" xfId="0" applyAlignment="1" applyBorder="1" applyFont="1">
      <alignment readingOrder="0" shrinkToFit="0" vertical="top" wrapText="1"/>
    </xf>
    <xf borderId="1" fillId="20" fontId="21" numFmtId="0" xfId="0" applyAlignment="1" applyBorder="1" applyFont="1">
      <alignment shrinkToFit="0" vertical="top" wrapText="1"/>
    </xf>
    <xf borderId="1" fillId="0" fontId="25" numFmtId="0" xfId="0" applyAlignment="1" applyBorder="1" applyFont="1">
      <alignment horizontal="right" vertical="bottom"/>
    </xf>
    <xf borderId="1" fillId="0" fontId="25" numFmtId="0" xfId="0" applyAlignment="1" applyBorder="1" applyFont="1">
      <alignment vertical="bottom"/>
    </xf>
    <xf borderId="7" fillId="20" fontId="12" numFmtId="0" xfId="0" applyAlignment="1" applyBorder="1" applyFont="1">
      <alignment readingOrder="0" shrinkToFit="0" vertical="top" wrapText="1"/>
    </xf>
    <xf borderId="4" fillId="20" fontId="20" numFmtId="0" xfId="0" applyAlignment="1" applyBorder="1" applyFont="1">
      <alignment shrinkToFit="0" vertical="top" wrapText="1"/>
    </xf>
    <xf borderId="7" fillId="20" fontId="19" numFmtId="0" xfId="0" applyAlignment="1" applyBorder="1" applyFont="1">
      <alignment readingOrder="0" shrinkToFit="0" vertical="top" wrapText="1"/>
    </xf>
    <xf borderId="1" fillId="9" fontId="12" numFmtId="3" xfId="0" applyAlignment="1" applyBorder="1" applyFont="1" applyNumberFormat="1">
      <alignment horizontal="center" readingOrder="0" shrinkToFit="0" vertical="top" wrapText="1"/>
    </xf>
    <xf borderId="4" fillId="20" fontId="21" numFmtId="0" xfId="0" applyAlignment="1" applyBorder="1" applyFont="1">
      <alignment readingOrder="0" shrinkToFit="0" vertical="top" wrapText="1"/>
    </xf>
    <xf borderId="0" fillId="0" fontId="19" numFmtId="0" xfId="0" applyAlignment="1" applyFont="1">
      <alignment readingOrder="0" shrinkToFit="0" vertical="top" wrapText="1"/>
    </xf>
    <xf borderId="1" fillId="2" fontId="26" numFmtId="0" xfId="0" applyAlignment="1" applyBorder="1" applyFont="1">
      <alignment horizontal="center" readingOrder="0" shrinkToFit="0" vertical="top" wrapText="1"/>
    </xf>
    <xf borderId="4" fillId="2" fontId="29" numFmtId="0" xfId="0" applyAlignment="1" applyBorder="1" applyFont="1">
      <alignment shrinkToFit="0" vertical="top" wrapText="1"/>
    </xf>
    <xf borderId="7" fillId="20" fontId="20" numFmtId="0" xfId="0" applyAlignment="1" applyBorder="1" applyFont="1">
      <alignment readingOrder="0" shrinkToFit="0" vertical="top" wrapText="1"/>
    </xf>
    <xf borderId="1" fillId="29" fontId="22" numFmtId="0" xfId="0" applyAlignment="1" applyBorder="1" applyFill="1" applyFont="1">
      <alignment horizontal="center" readingOrder="0" shrinkToFit="0" vertical="top" wrapText="1"/>
    </xf>
    <xf borderId="1" fillId="25" fontId="12" numFmtId="0" xfId="0" applyAlignment="1" applyBorder="1" applyFont="1">
      <alignment readingOrder="0" shrinkToFit="0" vertical="top" wrapText="1"/>
    </xf>
    <xf borderId="1" fillId="20" fontId="20" numFmtId="0" xfId="0" applyAlignment="1" applyBorder="1" applyFont="1">
      <alignment horizontal="left" readingOrder="0" shrinkToFit="0" vertical="top" wrapText="1"/>
    </xf>
    <xf borderId="1" fillId="9" fontId="26" numFmtId="0" xfId="0" applyAlignment="1" applyBorder="1" applyFont="1">
      <alignment shrinkToFit="0" vertical="top" wrapText="1"/>
    </xf>
    <xf borderId="1" fillId="9" fontId="26" numFmtId="0" xfId="0" applyAlignment="1" applyBorder="1" applyFont="1">
      <alignment readingOrder="0" shrinkToFit="0" vertical="bottom" wrapText="1"/>
    </xf>
    <xf borderId="4" fillId="22" fontId="12" numFmtId="0" xfId="0" applyAlignment="1" applyBorder="1" applyFont="1">
      <alignment readingOrder="0" shrinkToFit="0" vertical="top" wrapText="1"/>
    </xf>
    <xf borderId="5" fillId="25" fontId="3" numFmtId="0" xfId="0" applyAlignment="1" applyBorder="1" applyFont="1">
      <alignment horizontal="center" readingOrder="0" vertical="center"/>
    </xf>
    <xf borderId="4" fillId="20" fontId="20" numFmtId="0" xfId="0" applyAlignment="1" applyBorder="1" applyFont="1">
      <alignment readingOrder="0" shrinkToFit="0" vertical="top" wrapText="1"/>
    </xf>
    <xf borderId="1" fillId="30" fontId="26" numFmtId="169" xfId="0" applyAlignment="1" applyBorder="1" applyFill="1" applyFont="1" applyNumberFormat="1">
      <alignment horizontal="center" readingOrder="0" shrinkToFit="0" vertical="top" wrapText="1"/>
    </xf>
    <xf borderId="1" fillId="22" fontId="27" numFmtId="0" xfId="0" applyAlignment="1" applyBorder="1" applyFont="1">
      <alignment horizontal="center" readingOrder="0" shrinkToFit="0" vertical="center" wrapText="1"/>
    </xf>
    <xf borderId="7" fillId="20" fontId="21" numFmtId="0" xfId="0" applyAlignment="1" applyBorder="1" applyFont="1">
      <alignment readingOrder="0" shrinkToFit="0" vertical="top" wrapText="1"/>
    </xf>
    <xf borderId="7" fillId="30" fontId="21" numFmtId="0" xfId="0" applyAlignment="1" applyBorder="1" applyFont="1">
      <alignment readingOrder="0" shrinkToFit="0" vertical="top" wrapText="1"/>
    </xf>
    <xf borderId="1" fillId="30" fontId="26" numFmtId="0" xfId="0" applyAlignment="1" applyBorder="1" applyFont="1">
      <alignment readingOrder="0" shrinkToFit="0" vertical="top" wrapText="1"/>
    </xf>
    <xf borderId="1" fillId="30" fontId="12" numFmtId="0" xfId="0" applyAlignment="1" applyBorder="1" applyFont="1">
      <alignment readingOrder="0" shrinkToFit="0" vertical="top" wrapText="1"/>
    </xf>
    <xf borderId="7" fillId="30" fontId="12" numFmtId="0" xfId="0" applyAlignment="1" applyBorder="1" applyFont="1">
      <alignment readingOrder="0" shrinkToFit="0" vertical="top" wrapText="1"/>
    </xf>
    <xf borderId="1" fillId="21" fontId="26" numFmtId="169" xfId="0" applyAlignment="1" applyBorder="1" applyFont="1" applyNumberFormat="1">
      <alignment horizontal="left" readingOrder="0" shrinkToFit="0" vertical="top" wrapText="1"/>
    </xf>
    <xf borderId="1" fillId="21" fontId="21" numFmtId="0" xfId="0" applyAlignment="1" applyBorder="1" applyFont="1">
      <alignment readingOrder="0" shrinkToFit="0" vertical="top" wrapText="1"/>
    </xf>
    <xf borderId="1" fillId="28" fontId="26" numFmtId="0" xfId="0" applyAlignment="1" applyBorder="1" applyFont="1">
      <alignment horizontal="center" readingOrder="0" shrinkToFit="0" vertical="top" wrapText="1"/>
    </xf>
    <xf borderId="1" fillId="9" fontId="26" numFmtId="0" xfId="0" applyAlignment="1" applyBorder="1" applyFont="1">
      <alignment horizontal="center" readingOrder="0" shrinkToFit="0" vertical="top" wrapText="1"/>
    </xf>
    <xf borderId="1" fillId="31" fontId="26" numFmtId="0" xfId="0" applyAlignment="1" applyBorder="1" applyFill="1" applyFont="1">
      <alignment horizontal="center" readingOrder="0" shrinkToFit="0" vertical="top" wrapText="1"/>
    </xf>
    <xf borderId="0" fillId="9" fontId="21" numFmtId="0" xfId="0" applyAlignment="1" applyFont="1">
      <alignment readingOrder="0" shrinkToFit="0" vertical="top" wrapText="1"/>
    </xf>
    <xf borderId="1" fillId="9" fontId="23" numFmtId="0" xfId="0" applyAlignment="1" applyBorder="1" applyFont="1">
      <alignment readingOrder="0" shrinkToFit="0" vertical="top" wrapText="1"/>
    </xf>
    <xf borderId="1" fillId="0" fontId="25" numFmtId="0" xfId="0" applyAlignment="1" applyBorder="1" applyFont="1">
      <alignment horizontal="right" readingOrder="0" shrinkToFit="0" vertical="top" wrapText="1"/>
    </xf>
    <xf borderId="1" fillId="21" fontId="24" numFmtId="0" xfId="0" applyAlignment="1" applyBorder="1" applyFont="1">
      <alignment horizontal="left" readingOrder="0" shrinkToFit="0" vertical="center" wrapText="1"/>
    </xf>
    <xf borderId="1" fillId="21" fontId="27" numFmtId="0" xfId="0" applyAlignment="1" applyBorder="1" applyFont="1">
      <alignment horizontal="left" readingOrder="0" shrinkToFit="0" vertical="center" wrapText="1"/>
    </xf>
    <xf borderId="1" fillId="21" fontId="26" numFmtId="0" xfId="0" applyAlignment="1" applyBorder="1" applyFont="1">
      <alignment horizontal="left" readingOrder="0" shrinkToFit="0" vertical="top" wrapText="1"/>
    </xf>
    <xf borderId="7" fillId="21" fontId="25" numFmtId="0" xfId="0" applyAlignment="1" applyBorder="1" applyFont="1">
      <alignment readingOrder="0" shrinkToFit="0" vertical="top" wrapText="1"/>
    </xf>
    <xf borderId="1" fillId="21" fontId="17" numFmtId="0" xfId="0" applyAlignment="1" applyBorder="1" applyFont="1">
      <alignment readingOrder="0" shrinkToFit="0" vertical="top" wrapText="1"/>
    </xf>
    <xf borderId="1" fillId="32" fontId="20" numFmtId="0" xfId="0" applyAlignment="1" applyBorder="1" applyFill="1" applyFont="1">
      <alignment horizontal="center" readingOrder="0" shrinkToFit="0" vertical="top" wrapText="1"/>
    </xf>
    <xf borderId="4" fillId="20" fontId="1" numFmtId="0" xfId="0" applyAlignment="1" applyBorder="1" applyFont="1">
      <alignment vertical="top"/>
    </xf>
    <xf borderId="4" fillId="20" fontId="20" numFmtId="169" xfId="0" applyAlignment="1" applyBorder="1" applyFont="1" applyNumberFormat="1">
      <alignment shrinkToFit="0" vertical="top" wrapText="1"/>
    </xf>
    <xf borderId="4" fillId="9" fontId="1" numFmtId="0" xfId="0" applyAlignment="1" applyBorder="1" applyFont="1">
      <alignment vertical="top"/>
    </xf>
    <xf borderId="1" fillId="2" fontId="20" numFmtId="0" xfId="0" applyAlignment="1" applyBorder="1" applyFont="1">
      <alignment shrinkToFit="0" vertical="top" wrapText="1"/>
    </xf>
    <xf borderId="4" fillId="2" fontId="20" numFmtId="0" xfId="0" applyAlignment="1" applyBorder="1" applyFont="1">
      <alignment shrinkToFit="0" vertical="top" wrapText="1"/>
    </xf>
    <xf borderId="1" fillId="9" fontId="45" numFmtId="0" xfId="0" applyAlignment="1" applyBorder="1" applyFont="1">
      <alignment readingOrder="0" shrinkToFit="0" wrapText="1"/>
    </xf>
    <xf borderId="7" fillId="9" fontId="21" numFmtId="0" xfId="0" applyAlignment="1" applyBorder="1" applyFont="1">
      <alignment readingOrder="0" shrinkToFit="0" vertical="top" wrapText="1"/>
    </xf>
    <xf borderId="7" fillId="19" fontId="12" numFmtId="0" xfId="0" applyAlignment="1" applyBorder="1" applyFont="1">
      <alignment readingOrder="0" shrinkToFit="0" vertical="top" wrapText="1"/>
    </xf>
    <xf borderId="4" fillId="9" fontId="19" numFmtId="0" xfId="0" applyAlignment="1" applyBorder="1" applyFont="1">
      <alignment readingOrder="0" shrinkToFit="0" vertical="top" wrapText="1"/>
    </xf>
    <xf borderId="4" fillId="9" fontId="21" numFmtId="0" xfId="0" applyAlignment="1" applyBorder="1" applyFont="1">
      <alignment readingOrder="0" shrinkToFit="0" vertical="top" wrapText="1"/>
    </xf>
    <xf borderId="1" fillId="9" fontId="20" numFmtId="0" xfId="0" applyAlignment="1" applyBorder="1" applyFont="1">
      <alignment readingOrder="0" shrinkToFit="0" vertical="top" wrapText="1"/>
    </xf>
    <xf borderId="1" fillId="2" fontId="12" numFmtId="0" xfId="0" applyAlignment="1" applyBorder="1" applyFont="1">
      <alignment horizontal="left" readingOrder="0" shrinkToFit="0" vertical="top" wrapText="1"/>
    </xf>
    <xf borderId="1" fillId="20" fontId="23" numFmtId="0" xfId="0" applyAlignment="1" applyBorder="1" applyFont="1">
      <alignment readingOrder="0" shrinkToFit="0" vertical="top" wrapText="1"/>
    </xf>
    <xf borderId="1" fillId="23" fontId="1" numFmtId="0" xfId="0" applyAlignment="1" applyBorder="1" applyFont="1">
      <alignment horizontal="center" readingOrder="0" shrinkToFit="0" vertical="top" wrapText="1"/>
    </xf>
    <xf borderId="1" fillId="3" fontId="23" numFmtId="0" xfId="0" applyAlignment="1" applyBorder="1" applyFont="1">
      <alignment readingOrder="0" shrinkToFit="0" vertical="top" wrapText="1"/>
    </xf>
    <xf borderId="1" fillId="2" fontId="42" numFmtId="0" xfId="0" applyBorder="1" applyFont="1"/>
    <xf borderId="1" fillId="0" fontId="42" numFmtId="0" xfId="0" applyBorder="1" applyFont="1"/>
    <xf borderId="1" fillId="20" fontId="40" numFmtId="0" xfId="0" applyAlignment="1" applyBorder="1" applyFont="1">
      <alignment horizontal="center" readingOrder="0" shrinkToFit="0" vertical="top" wrapText="1"/>
    </xf>
    <xf borderId="1" fillId="3" fontId="1" numFmtId="0" xfId="0" applyAlignment="1" applyBorder="1" applyFont="1">
      <alignment horizontal="center" readingOrder="0" shrinkToFit="0" vertical="top" wrapText="1"/>
    </xf>
    <xf borderId="1" fillId="3" fontId="12" numFmtId="0" xfId="0" applyAlignment="1" applyBorder="1" applyFont="1">
      <alignment readingOrder="0" shrinkToFit="0" vertical="top" wrapText="1"/>
    </xf>
    <xf borderId="6" fillId="8" fontId="1" numFmtId="0" xfId="0" applyBorder="1" applyFont="1"/>
    <xf borderId="7" fillId="8" fontId="16" numFmtId="0" xfId="0" applyAlignment="1" applyBorder="1" applyFont="1">
      <alignment horizontal="center" readingOrder="0" shrinkToFit="0" vertical="center" wrapText="1"/>
    </xf>
    <xf borderId="1" fillId="9" fontId="20" numFmtId="0" xfId="0" applyAlignment="1" applyBorder="1" applyFont="1">
      <alignment horizontal="right" shrinkToFit="0" vertical="top" wrapText="1"/>
    </xf>
    <xf borderId="1" fillId="20" fontId="20" numFmtId="0" xfId="0" applyAlignment="1" applyBorder="1" applyFont="1">
      <alignment horizontal="right" shrinkToFit="0" vertical="top" wrapText="1"/>
    </xf>
    <xf borderId="1" fillId="21" fontId="1" numFmtId="0" xfId="0" applyAlignment="1" applyBorder="1" applyFont="1">
      <alignment readingOrder="0" vertical="top"/>
    </xf>
    <xf borderId="1" fillId="20" fontId="1" numFmtId="0" xfId="0" applyAlignment="1" applyBorder="1" applyFont="1">
      <alignment horizontal="center" readingOrder="0" vertical="center"/>
    </xf>
    <xf borderId="4" fillId="9" fontId="12" numFmtId="0" xfId="0" applyAlignment="1" applyBorder="1" applyFont="1">
      <alignment shrinkToFit="0" vertical="top" wrapText="1"/>
    </xf>
    <xf borderId="1" fillId="0" fontId="25" numFmtId="0" xfId="0" applyAlignment="1" applyBorder="1" applyFont="1">
      <alignment readingOrder="0" vertical="top"/>
    </xf>
    <xf borderId="1" fillId="20" fontId="1" numFmtId="0" xfId="0" applyAlignment="1" applyBorder="1" applyFont="1">
      <alignment readingOrder="0" vertical="top"/>
    </xf>
    <xf borderId="1" fillId="0" fontId="26" numFmtId="0" xfId="0" applyAlignment="1" applyBorder="1" applyFont="1">
      <alignment horizontal="center" readingOrder="0" shrinkToFit="0" vertical="top" wrapText="1"/>
    </xf>
    <xf borderId="4" fillId="9" fontId="12" numFmtId="0" xfId="0" applyAlignment="1" applyBorder="1" applyFont="1">
      <alignment shrinkToFit="0" vertical="top" wrapText="1"/>
    </xf>
    <xf borderId="1" fillId="20" fontId="20" numFmtId="0" xfId="0" applyAlignment="1" applyBorder="1" applyFon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Пётр Сапрыга" id="{4faf8313-fca4-4e09-9346-92037160dcdb}" providerId="google-sheets"/>
  <x18tc:person displayName="Vlad Kravchuck" id="{a01d1813-fb38-4604-a26e-c687691293d5}" providerId="google-sheets"/>
  <x18tc:person displayName="Ilya Kleopatrov" id="{97dc703f-7e1a-430c-a59c-82a1187554b4}" providerId="google-sheets"/>
  <x18tc:person displayName="Наталия Иванова" id="{894716b9-11a9-42fe-bd58-b45cd6d69781}" providerId="google-sheets"/>
  <x18tc:person displayName="Анонимный пользователь" id="{91b3f080-1420-4c1c-9531-a07cfe082316}" providerId="google-sheets"/>
  <x18tc:person displayName="Денис Саломатин" id="{e5ba0c7c-2521-4ffa-ac86-8058a74da22a}" providerId="google-sheets"/>
  <x18tc:person displayName="Алексей" id="{6ef9c731-f368-4f78-be61-1bc221062d5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4" dT="2026-04-19T09:32:31.00" personId="{894716b9-11a9-42fe-bd58-b45cd6d69781}" id="{0496b6d8-6a17-41e5-823e-c8f966ce3f0e}" done="0">
    <x18tc:text xml:space="preserve">Срочно введите ИЗ в ИСУ</x18tc:text>
  </x18tc:threadedComment>
  <x18tc:threadedComment ref="P16" dT="2026-04-21T09:13:32.00" personId="{894716b9-11a9-42fe-bd58-b45cd6d69781}" id="{a1c98786-db2d-4ec3-b3e6-646ef5ff7b90}" done="0">
    <x18tc:text xml:space="preserve">Исправьте и заново загрузите документы в архив ИСУ.</x18tc:text>
  </x18tc:threadedComment>
  <x18tc:threadedComment ref="P16" dT="2026-04-23T11:00:11.00" personId="{894716b9-11a9-42fe-bd58-b45cd6d69781}" id="{839e2815-89ec-42a3-b3ea-a0917cf0fd20}" parentId="{a1c98786-db2d-4ec3-b3e6-646ef5ff7b90}">
    <x18tc:text xml:space="preserve">Исправьте и заново загрузите документы в архив ИСУ.
1. В ИЗ не правильно указаны даты окончания этапов , они должны соответствовать датам в ИЗ ИСУ. 
2.Отзыв руков. не соответствует Образцу и не выставлена Итоговая оценка.
3.В Отчете Список литературы составлен не по ГОСТу.</x18tc:text>
  </x18tc:threadedComment>
  <x18tc:threadedComment ref="P5" dT="2026-04-19T09:34:54.00" personId="{894716b9-11a9-42fe-bd58-b45cd6d69781}" id="{4d0d6cb3-b038-4399-a4cd-63a306a9b51b}" done="0">
    <x18tc:text xml:space="preserve">Введите данные вн. руководителя и ИЗ в ИСУ</x18tc:text>
  </x18tc:threadedComment>
  <x18tc:threadedComment ref="P10" dT="2026-04-25T10:20:28.00" personId="{894716b9-11a9-42fe-bd58-b45cd6d69781}" id="{5eb8117d-31f7-4330-a23b-5ef75d1e9bae}" done="0">
    <x18tc:text xml:space="preserve">Карточку откатили! загружайте исправленные докум. в архив.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7" dT="2026-02-28T14:34:35.00" personId="{a01d1813-fb38-4604-a26e-c687691293d5}" id="{9dfd8c1d-10fe-4cc6-bac8-b4c405f54626}" done="1">
    <x18tc:text xml:space="preserve">28.02.2026, почту внрука добавил</x18tc:text>
  </x18tc:threadedComment>
  <x18tc:threadedComment ref="P22" dT="2026-04-15T07:44:49.00" personId="{894716b9-11a9-42fe-bd58-b45cd6d69781}" id="{44c8e085-049c-47c1-a7d2-c4a689831e26}" done="1">
    <x18tc:text xml:space="preserve">Здравствуйте! 
В Отзыве вн.руковод. проставьте оценку Отлично, и заново загрузите в архив ИСУ. Остальное всё правильно.</x18tc:text>
  </x18tc:threadedComment>
  <x18tc:threadedComment ref="P22" dT="2026-04-15T07:47:12.00" personId="{894716b9-11a9-42fe-bd58-b45cd6d69781}" id="{4b9f61c2-f081-4cc7-9e44-093045c99226}" parentId="{44c8e085-049c-47c1-a7d2-c4a689831e26}">
    <x18tc:text xml:space="preserve">В графе Итоговая оценка</x18tc:text>
  </x18tc:threadedComment>
  <x18tc:threadedComment ref="P24" dT="2026-04-12T09:21:30.00" personId="{91b3f080-1420-4c1c-9531-a07cfe082316}" id="{6d7048f5-f7c0-4061-83ea-2bed5c0cf84b}" done="1">
    <x18tc:text xml:space="preserve">Отправил</x18tc:text>
  </x18tc:threadedComment>
  <x18tc:threadedComment ref="P12" dT="2026-04-19T12:44:33.00" personId="{894716b9-11a9-42fe-bd58-b45cd6d69781}" id="{05c50346-ce21-483c-a4e5-0a8683696b94}" done="0">
    <x18tc:text xml:space="preserve">19.04_Срочно введите ИЗ в ИСУ</x18tc:text>
  </x18tc:threadedComment>
  <x18tc:threadedComment ref="P12" dT="2026-04-24T11:03:24.00" personId="{894716b9-11a9-42fe-bd58-b45cd6d69781}" id="{dc72ebd4-3520-4b49-8e22-27c24837b9f1}" parentId="{05c50346-ce21-483c-a4e5-0a8683696b94}">
    <x18tc:text xml:space="preserve">Срочно введите ИЗ в ИСУ, окончание ПТП 29.04.26!</x18tc:text>
  </x18tc:threadedComment>
  <x18tc:threadedComment ref="P5" dT="2026-04-19T12:52:20.00" personId="{894716b9-11a9-42fe-bd58-b45cd6d69781}" id="{20bce268-cc3b-4bb5-b66e-33cdedcd1df0}" done="0">
    <x18tc:text xml:space="preserve">19.04_Срочно введите ИЗ в ИСУ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8" dT="2026-04-16T07:15:58.00" personId="{894716b9-11a9-42fe-bd58-b45cd6d69781}" id="{70f731b3-371f-4d2e-ac37-a2eedd20ddcf}" done="1">
    <x18tc:text xml:space="preserve">Исправьте подпись вн. руков.</x18tc:text>
  </x18tc:threadedComment>
  <x18tc:threadedComment ref="P19" dT="2026-04-25T09:26:45.00" personId="{894716b9-11a9-42fe-bd58-b45cd6d69781}" id="{56d5f87d-13ae-4c18-8693-7dae28dc4d2b}" done="0">
    <x18tc:text xml:space="preserve">Нет подписей Канжелева Ю.А.</x18tc:text>
  </x18tc:threadedComment>
  <x18tc:threadedComment ref="P5" dT="2026-04-19T12:43:09.00" personId="{894716b9-11a9-42fe-bd58-b45cd6d69781}" id="{a4ba3d25-cadb-49a3-a3e6-8e3258e347c9}" done="0">
    <x18tc:text xml:space="preserve">19.04_Введите данные руковод. и ИЗ в ИСУ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3" dT="2026-03-09T16:37:27.00" personId="{6ef9c731-f368-4f78-be61-1bc221062d56}" id="{a1725662-c18c-446b-9363-339da7622566}" done="0">
    <x18tc:text xml:space="preserve">9.03 - исправил</x18tc:text>
  </x18tc:threadedComment>
  <x18tc:threadedComment ref="P23" dT="2026-03-09T16:57:02.00" personId="{6ef9c731-f368-4f78-be61-1bc221062d56}" id="{20e82c06-335b-49e2-a69c-e47fb55351ae}" parentId="{a1725662-c18c-446b-9363-339da7622566}">
    <x18tc:text xml:space="preserve">Отправил ИЗ на согласование</x18tc:text>
  </x18tc:threadedComment>
  <x18tc:threadedComment ref="P15" dT="2026-04-16T06:58:07.00" personId="{894716b9-11a9-42fe-bd58-b45cd6d69781}" id="{74dd49f0-0b49-45b2-93fd-ffcd25db10c8}" done="0">
    <x18tc:text xml:space="preserve">Уточните у вн. руков.  - почему он не утверждает ваше ИЗ?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13" dT="2026-02-24T14:24:50.00" personId="{97dc703f-7e1a-430c-a59c-82a1187554b4}" id="{123f25dd-ca0c-4d65-b0ad-36ad6b671a1c}" done="1">
    <x18tc:text xml:space="preserve">Заполнил</x18tc:text>
  </x18tc:threadedComment>
  <x18tc:threadedComment ref="Q13" dT="2026-02-24T16:32:30.00" personId="{894716b9-11a9-42fe-bd58-b45cd6d69781}" id="{8a628502-d092-4330-b7cd-23b55c3358b4}" parentId="{123f25dd-ca0c-4d65-b0ad-36ad6b671a1c}">
    <x18tc:text xml:space="preserve">Ввела в ИСУ</x18tc:text>
  </x18tc:threadedComment>
  <x18tc:threadedComment ref="P21" dT="2026-04-19T12:39:22.00" personId="{894716b9-11a9-42fe-bd58-b45cd6d69781}" id="{8491d9a6-e9a2-439d-a9f0-b8fb3ae4074c}" done="0">
    <x18tc:text xml:space="preserve">19.04_Срочно сообщите данные руков. ПТП и введите ИЗ в ИСУ</x18tc:text>
  </x18tc:threadedComment>
  <x18tc:threadedComment ref="Q6" dT="2026-04-16T06:25:17.00" personId="{894716b9-11a9-42fe-bd58-b45cd6d69781}" id="{c2cbdc4f-2d56-4624-aff8-b3b23cfd3d7b}" done="0">
    <x18tc:text xml:space="preserve">Когда замените ИЗ сообщите</x18tc:text>
  </x18tc:threadedComment>
  <x18tc:threadedComment ref="Q6" dT="2026-04-20T11:27:34.00" personId="{91b3f080-1420-4c1c-9531-a07cfe082316}" id="{eb8686c8-2922-45ef-a504-21cd8b2feb92}" parentId="{c2cbdc4f-2d56-4624-aff8-b3b23cfd3d7b}">
    <x18tc:text xml:space="preserve">Исправил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0" dT="2026-04-25T15:32:44.00" personId="{894716b9-11a9-42fe-bd58-b45cd6d69781}" id="{9ffdc713-a661-4b73-b993-71eb09ca49d7}" done="0">
    <x18tc:text xml:space="preserve">В архиве д.б. 3 pdf-файла:
ИЗ,Отзыв, Отчет. Исправьте и заново загрузите архив.</x18tc:text>
  </x18tc:threadedComment>
  <x18tc:threadedComment ref="P20" dT="2026-04-25T15:35:21.00" personId="{894716b9-11a9-42fe-bd58-b45cd6d69781}" id="{5d72ef04-b7f8-47e6-a509-e5c51685b99c}" parentId="{9ffdc713-a661-4b73-b993-71eb09ca49d7}">
    <x18tc:text xml:space="preserve">В Отчете нет Списка литературы. Исправьте и заново загрузите в архив</x18tc:text>
  </x18tc:threadedComment>
  <x18tc:threadedComment ref="Q18" dT="2026-04-16T06:09:17.00" personId="{894716b9-11a9-42fe-bd58-b45cd6d69781}" id="{547cbbf6-d576-42b0-809d-e7838202eb23}" done="0">
    <x18tc:text xml:space="preserve">Когда замените ИЗ сообщите</x18tc:text>
  </x18tc:threadedComment>
  <x18tc:threadedComment ref="Q18" dT="2026-04-16T07:32:41.00" personId="{e5ba0c7c-2521-4ffa-ac86-8058a74da22a}" id="{bce3b09c-a04b-4e0e-bd7e-7ded716310bb}" parentId="{547cbbf6-d576-42b0-809d-e7838202eb23}">
    <x18tc:text xml:space="preserve">Исправил ИЗ</x18tc:text>
  </x18tc:threadedComment>
  <x18tc:threadedComment ref="Q18" dT="2026-04-18T15:06:11.00" personId="{894716b9-11a9-42fe-bd58-b45cd6d69781}" id="{08ea97f0-7f0e-4eee-8d9b-3fa785e5364d}" parentId="{547cbbf6-d576-42b0-809d-e7838202eb23}">
    <x18tc:text xml:space="preserve">В Оглавление Отчета нет Списка Литературы. Исправьте и загрузите заново.</x18tc:text>
  </x18tc:threadedComment>
  <x18tc:threadedComment ref="Q18" dT="2026-04-18T15:27:27.00" personId="{e5ba0c7c-2521-4ffa-ac86-8058a74da22a}" id="{a03a9101-46c4-4623-a943-35cb0180c043}" parentId="{547cbbf6-d576-42b0-809d-e7838202eb23}">
    <x18tc:text xml:space="preserve">Всё исправил</x18tc:text>
  </x18tc:threadedComment>
  <x18tc:threadedComment ref="Q18" dT="2026-04-19T10:17:25.00" personId="{894716b9-11a9-42fe-bd58-b45cd6d69781}" id="{6f5049c9-633e-490d-8d40-03156d539ddd}" parentId="{547cbbf6-d576-42b0-809d-e7838202eb23}">
    <x18tc:text xml:space="preserve">Теперь должен утв. Канжелев Ю.А.</x18tc:text>
  </x18tc:threadedComment>
  <x18tc:threadedComment ref="Q18" dT="2026-04-20T10:56:25.00" personId="{e5ba0c7c-2521-4ffa-ac86-8058a74da22a}" id="{1122fb95-23a4-4ae1-a66c-d62532f81f8b}" parentId="{547cbbf6-d576-42b0-809d-e7838202eb23}">
    <x18tc:text xml:space="preserve">Утвердил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8" dT="2026-04-18T14:51:22.00" personId="{894716b9-11a9-42fe-bd58-b45cd6d69781}" id="{2945ed0d-0f97-4852-8a08-4cc3a1dea3d5}" done="0">
    <x18tc:text xml:space="preserve">18.04_Почему вн. руков. до сих пор не утвердил ИЗ?</x18tc:text>
  </x18tc:threadedComment>
  <x18tc:threadedComment ref="P9" dT="2026-04-19T12:35:55.00" personId="{894716b9-11a9-42fe-bd58-b45cd6d69781}" id="{c59e2331-6b87-4d76-990e-7f0294517704}" done="0">
    <x18tc:text xml:space="preserve">19.04_Срочно введите ИЗ в ИСУ</x18tc:text>
  </x18tc:threadedComment>
  <x18tc:threadedComment ref="P5" dT="2026-04-19T12:36:16.00" personId="{894716b9-11a9-42fe-bd58-b45cd6d69781}" id="{775869e0-dd43-48d9-b885-6439fefd005f}" done="0">
    <x18tc:text xml:space="preserve">19.04_Срочно введите ИЗ в ИСУ</x18tc:text>
  </x18tc:threadedComment>
  <x18tc:threadedComment ref="E11" dT="2026-02-16T10:56:59.00" personId="{4faf8313-fca4-4e09-9346-92037160dcdb}" id="{f81e1dc9-775d-4860-aea1-c52f90f2a6ea}" done="1">
    <x18tc:text xml:space="preserve">Неверно указан руководитель
Гришенцев А. Ю.</x18tc:text>
  </x18tc:threadedComment>
  <x18tc:threadedComment ref="P10" dT="2026-04-19T12:37:32.00" personId="{894716b9-11a9-42fe-bd58-b45cd6d69781}" id="{04188738-a305-4858-bd90-4724f49c4de3}" done="0">
    <x18tc:text xml:space="preserve">19.04_Срочно введите почту вн. руков.  и ИЗ в ИСУ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Zet0yvM7lJGltmf8F8Iz6IkFcrNQzx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7.75"/>
    <col customWidth="1" min="3" max="3" width="17.63"/>
    <col customWidth="1" min="5" max="5" width="18.63"/>
    <col customWidth="1" min="6" max="6" width="13.88"/>
    <col customWidth="1" min="7" max="7" width="6.13"/>
  </cols>
  <sheetData>
    <row r="2">
      <c r="A2" s="1"/>
      <c r="B2" s="2"/>
      <c r="C2" s="3">
        <f>NOW()</f>
        <v>46137.95904</v>
      </c>
      <c r="D2" s="4">
        <v>46142.0</v>
      </c>
      <c r="E2" s="5" t="s">
        <v>0</v>
      </c>
      <c r="F2" s="4">
        <v>46171.0</v>
      </c>
      <c r="G2" s="6"/>
      <c r="H2" s="7" t="s">
        <v>1</v>
      </c>
      <c r="I2" s="1"/>
      <c r="J2" s="1"/>
      <c r="K2" s="1"/>
      <c r="L2" s="1"/>
      <c r="M2" s="1"/>
      <c r="N2" s="1"/>
      <c r="O2" s="8"/>
      <c r="P2" s="8"/>
      <c r="Q2" s="8"/>
      <c r="R2" s="8"/>
    </row>
    <row r="3" ht="24.0" customHeight="1">
      <c r="A3" s="1"/>
      <c r="B3" s="9" t="s">
        <v>2</v>
      </c>
      <c r="C3" s="10" t="s">
        <v>3</v>
      </c>
      <c r="D3" s="11"/>
      <c r="E3" s="12"/>
      <c r="F3" s="11"/>
      <c r="G3" s="13"/>
      <c r="H3" s="14"/>
      <c r="I3" s="1"/>
      <c r="J3" s="1"/>
      <c r="K3" s="1"/>
      <c r="L3" s="1"/>
      <c r="M3" s="1"/>
      <c r="N3" s="1"/>
      <c r="O3" s="8"/>
      <c r="P3" s="8"/>
      <c r="Q3" s="8"/>
      <c r="R3" s="8"/>
    </row>
    <row r="4">
      <c r="A4" s="1"/>
      <c r="B4" s="1"/>
      <c r="C4" s="15" t="s">
        <v>4</v>
      </c>
      <c r="D4" s="11"/>
      <c r="E4" s="1"/>
      <c r="F4" s="16"/>
      <c r="G4" s="16"/>
      <c r="H4" s="17"/>
      <c r="I4" s="1"/>
      <c r="J4" s="1"/>
      <c r="K4" s="1"/>
      <c r="L4" s="1"/>
      <c r="M4" s="1"/>
      <c r="N4" s="1"/>
      <c r="O4" s="8"/>
      <c r="P4" s="8"/>
      <c r="Q4" s="8"/>
      <c r="R4" s="8"/>
    </row>
    <row r="5">
      <c r="A5" s="8"/>
      <c r="B5" s="18"/>
      <c r="C5" s="18"/>
      <c r="D5" s="18"/>
      <c r="E5" s="18"/>
      <c r="F5" s="18"/>
      <c r="G5" s="1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8">
      <c r="B8" s="19" t="s">
        <v>5</v>
      </c>
      <c r="C8" s="20" t="s">
        <v>6</v>
      </c>
      <c r="D8" s="21" t="s">
        <v>7</v>
      </c>
      <c r="E8" s="20" t="s">
        <v>8</v>
      </c>
      <c r="F8" s="21" t="s">
        <v>9</v>
      </c>
      <c r="G8" s="20" t="s">
        <v>10</v>
      </c>
      <c r="H8" s="20" t="s">
        <v>11</v>
      </c>
    </row>
    <row r="9">
      <c r="A9" s="22"/>
      <c r="B9" s="23"/>
      <c r="C9" s="24"/>
      <c r="D9" s="25"/>
      <c r="E9" s="24"/>
      <c r="F9" s="25"/>
      <c r="G9" s="24"/>
      <c r="H9" s="2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6"/>
      <c r="C10" s="27"/>
      <c r="D10" s="28"/>
      <c r="E10" s="27"/>
      <c r="F10" s="27"/>
      <c r="G10" s="29"/>
      <c r="H10" s="30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6"/>
      <c r="C11" s="31"/>
      <c r="D11" s="32"/>
      <c r="E11" s="27"/>
      <c r="F11" s="33"/>
      <c r="G11" s="29"/>
      <c r="H11" s="29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5">
      <c r="C15" s="34" t="s">
        <v>12</v>
      </c>
      <c r="D15" s="35" t="s">
        <v>13</v>
      </c>
    </row>
    <row r="16">
      <c r="C16" s="36" t="s">
        <v>14</v>
      </c>
      <c r="D16" s="37"/>
    </row>
    <row r="17">
      <c r="C17" s="35" t="s">
        <v>15</v>
      </c>
      <c r="D17" s="34" t="s">
        <v>16</v>
      </c>
    </row>
    <row r="23">
      <c r="C23" s="38">
        <f>10+17+18+19+19+21</f>
        <v>104</v>
      </c>
    </row>
  </sheetData>
  <mergeCells count="1">
    <mergeCell ref="E2:E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6.88"/>
    <col customWidth="1" min="3" max="3" width="7.88"/>
    <col hidden="1" min="4" max="4" width="12.63"/>
    <col customWidth="1" min="5" max="5" width="15.38"/>
    <col hidden="1" min="6" max="6" width="12.63"/>
    <col customWidth="1" min="7" max="7" width="4.75"/>
  </cols>
  <sheetData>
    <row r="1">
      <c r="A1" s="39"/>
      <c r="B1" s="40">
        <f>NOW()</f>
        <v>46137.95904</v>
      </c>
      <c r="C1" s="41"/>
      <c r="D1" s="18"/>
      <c r="E1" s="1"/>
      <c r="F1" s="18"/>
      <c r="G1" s="42"/>
    </row>
    <row r="2">
      <c r="A2" s="43"/>
      <c r="B2" s="44"/>
      <c r="C2" s="44" t="s">
        <v>17</v>
      </c>
      <c r="D2" s="45"/>
      <c r="E2" s="46"/>
      <c r="F2" s="46"/>
      <c r="G2" s="47">
        <f>COUNTIF(G4:G116, "&gt;0")</f>
        <v>62</v>
      </c>
    </row>
    <row r="3">
      <c r="A3" s="48" t="s">
        <v>5</v>
      </c>
      <c r="B3" s="48" t="s">
        <v>6</v>
      </c>
      <c r="C3" s="48" t="s">
        <v>9</v>
      </c>
      <c r="D3" s="48" t="s">
        <v>8</v>
      </c>
      <c r="E3" s="48" t="s">
        <v>18</v>
      </c>
      <c r="F3" s="48"/>
      <c r="G3" s="49"/>
    </row>
    <row r="4">
      <c r="A4" s="50"/>
      <c r="B4" s="50"/>
      <c r="C4" s="50"/>
      <c r="D4" s="50"/>
      <c r="E4" s="50"/>
      <c r="F4" s="50"/>
      <c r="G4" s="50"/>
    </row>
    <row r="5">
      <c r="A5" s="51">
        <v>1.0</v>
      </c>
      <c r="B5" s="52" t="s">
        <v>19</v>
      </c>
      <c r="C5" s="53">
        <v>3445.0</v>
      </c>
      <c r="D5" s="54"/>
      <c r="E5" s="52" t="s">
        <v>20</v>
      </c>
      <c r="F5" s="54"/>
      <c r="G5" s="55">
        <v>1.0</v>
      </c>
    </row>
    <row r="6">
      <c r="A6" s="56">
        <f t="shared" ref="A6:A66" si="1">A5+1</f>
        <v>2</v>
      </c>
      <c r="B6" s="52" t="s">
        <v>21</v>
      </c>
      <c r="C6" s="53">
        <v>3445.0</v>
      </c>
      <c r="D6" s="54"/>
      <c r="E6" s="52" t="s">
        <v>22</v>
      </c>
      <c r="F6" s="54"/>
      <c r="G6" s="55">
        <v>1.0</v>
      </c>
    </row>
    <row r="7">
      <c r="A7" s="56">
        <f t="shared" si="1"/>
        <v>3</v>
      </c>
      <c r="B7" s="52" t="s">
        <v>23</v>
      </c>
      <c r="C7" s="53">
        <v>3445.0</v>
      </c>
      <c r="D7" s="54"/>
      <c r="E7" s="52" t="s">
        <v>24</v>
      </c>
      <c r="F7" s="54"/>
      <c r="G7" s="55">
        <v>1.0</v>
      </c>
    </row>
    <row r="8">
      <c r="A8" s="56">
        <f t="shared" si="1"/>
        <v>4</v>
      </c>
      <c r="B8" s="52" t="s">
        <v>25</v>
      </c>
      <c r="C8" s="53">
        <v>3445.0</v>
      </c>
      <c r="D8" s="54"/>
      <c r="E8" s="52" t="s">
        <v>26</v>
      </c>
      <c r="F8" s="54"/>
      <c r="G8" s="55">
        <v>1.0</v>
      </c>
    </row>
    <row r="9">
      <c r="A9" s="56">
        <f t="shared" si="1"/>
        <v>5</v>
      </c>
      <c r="B9" s="52" t="s">
        <v>27</v>
      </c>
      <c r="C9" s="53">
        <v>3445.0</v>
      </c>
      <c r="D9" s="54"/>
      <c r="E9" s="52" t="s">
        <v>28</v>
      </c>
      <c r="F9" s="54"/>
      <c r="G9" s="55">
        <v>1.0</v>
      </c>
    </row>
    <row r="10">
      <c r="A10" s="56">
        <f t="shared" si="1"/>
        <v>6</v>
      </c>
      <c r="B10" s="52" t="s">
        <v>29</v>
      </c>
      <c r="C10" s="53">
        <v>3445.0</v>
      </c>
      <c r="D10" s="54"/>
      <c r="E10" s="52" t="s">
        <v>30</v>
      </c>
      <c r="F10" s="54"/>
      <c r="G10" s="55">
        <v>1.0</v>
      </c>
    </row>
    <row r="11">
      <c r="A11" s="56">
        <f t="shared" si="1"/>
        <v>7</v>
      </c>
      <c r="B11" s="52" t="s">
        <v>31</v>
      </c>
      <c r="C11" s="53">
        <v>3445.0</v>
      </c>
      <c r="D11" s="54"/>
      <c r="E11" s="52" t="s">
        <v>26</v>
      </c>
      <c r="F11" s="54"/>
      <c r="G11" s="55">
        <v>1.0</v>
      </c>
    </row>
    <row r="12">
      <c r="A12" s="56">
        <f t="shared" si="1"/>
        <v>8</v>
      </c>
      <c r="B12" s="57" t="s">
        <v>32</v>
      </c>
      <c r="C12" s="53">
        <v>3445.0</v>
      </c>
      <c r="D12" s="58"/>
      <c r="E12" s="57" t="s">
        <v>33</v>
      </c>
      <c r="F12" s="59"/>
      <c r="G12" s="55">
        <v>1.0</v>
      </c>
    </row>
    <row r="13">
      <c r="A13" s="56">
        <f t="shared" si="1"/>
        <v>9</v>
      </c>
      <c r="B13" s="57" t="s">
        <v>34</v>
      </c>
      <c r="C13" s="53">
        <v>3445.0</v>
      </c>
      <c r="D13" s="58"/>
      <c r="E13" s="57" t="s">
        <v>35</v>
      </c>
      <c r="F13" s="59"/>
      <c r="G13" s="55">
        <v>1.0</v>
      </c>
    </row>
    <row r="14">
      <c r="A14" s="56">
        <f t="shared" si="1"/>
        <v>10</v>
      </c>
      <c r="B14" s="52" t="s">
        <v>36</v>
      </c>
      <c r="C14" s="53">
        <v>3445.0</v>
      </c>
      <c r="D14" s="54"/>
      <c r="E14" s="52" t="s">
        <v>37</v>
      </c>
      <c r="F14" s="54"/>
      <c r="G14" s="55">
        <v>1.0</v>
      </c>
    </row>
    <row r="15">
      <c r="A15" s="56">
        <f t="shared" si="1"/>
        <v>11</v>
      </c>
      <c r="B15" s="52" t="s">
        <v>38</v>
      </c>
      <c r="C15" s="53">
        <v>3445.0</v>
      </c>
      <c r="D15" s="54"/>
      <c r="E15" s="52" t="s">
        <v>26</v>
      </c>
      <c r="F15" s="54"/>
      <c r="G15" s="55">
        <v>1.0</v>
      </c>
    </row>
    <row r="16">
      <c r="A16" s="56">
        <f t="shared" si="1"/>
        <v>12</v>
      </c>
      <c r="B16" s="60" t="s">
        <v>39</v>
      </c>
      <c r="C16" s="61">
        <v>3446.0</v>
      </c>
      <c r="D16" s="60"/>
      <c r="E16" s="60" t="s">
        <v>40</v>
      </c>
      <c r="F16" s="62"/>
      <c r="G16" s="55">
        <v>1.0</v>
      </c>
    </row>
    <row r="17">
      <c r="A17" s="56">
        <f t="shared" si="1"/>
        <v>13</v>
      </c>
      <c r="B17" s="60" t="s">
        <v>41</v>
      </c>
      <c r="C17" s="61">
        <v>3446.0</v>
      </c>
      <c r="D17" s="60"/>
      <c r="E17" s="60" t="s">
        <v>24</v>
      </c>
      <c r="F17" s="63"/>
      <c r="G17" s="55">
        <v>1.0</v>
      </c>
    </row>
    <row r="18">
      <c r="A18" s="56">
        <f t="shared" si="1"/>
        <v>14</v>
      </c>
      <c r="B18" s="60" t="s">
        <v>42</v>
      </c>
      <c r="C18" s="61">
        <v>3446.0</v>
      </c>
      <c r="D18" s="60"/>
      <c r="E18" s="60" t="s">
        <v>43</v>
      </c>
      <c r="F18" s="64"/>
      <c r="G18" s="55">
        <v>1.0</v>
      </c>
    </row>
    <row r="19">
      <c r="A19" s="56">
        <f t="shared" si="1"/>
        <v>15</v>
      </c>
      <c r="B19" s="60" t="s">
        <v>44</v>
      </c>
      <c r="C19" s="61">
        <v>3446.0</v>
      </c>
      <c r="D19" s="60"/>
      <c r="E19" s="60" t="s">
        <v>24</v>
      </c>
      <c r="F19" s="63"/>
      <c r="G19" s="55">
        <v>1.0</v>
      </c>
    </row>
    <row r="20">
      <c r="A20" s="56">
        <f t="shared" si="1"/>
        <v>16</v>
      </c>
      <c r="B20" s="60" t="s">
        <v>45</v>
      </c>
      <c r="C20" s="61">
        <v>3446.0</v>
      </c>
      <c r="D20" s="60"/>
      <c r="E20" s="60" t="s">
        <v>46</v>
      </c>
      <c r="F20" s="64"/>
      <c r="G20" s="55">
        <v>1.0</v>
      </c>
    </row>
    <row r="21">
      <c r="A21" s="56">
        <f t="shared" si="1"/>
        <v>17</v>
      </c>
      <c r="B21" s="60" t="s">
        <v>47</v>
      </c>
      <c r="C21" s="61">
        <v>3446.0</v>
      </c>
      <c r="D21" s="60"/>
      <c r="E21" s="60" t="s">
        <v>48</v>
      </c>
      <c r="F21" s="64"/>
      <c r="G21" s="55">
        <v>1.0</v>
      </c>
    </row>
    <row r="22">
      <c r="A22" s="56">
        <f t="shared" si="1"/>
        <v>18</v>
      </c>
      <c r="B22" s="60" t="s">
        <v>49</v>
      </c>
      <c r="C22" s="61">
        <v>3446.0</v>
      </c>
      <c r="D22" s="60"/>
      <c r="E22" s="60" t="s">
        <v>50</v>
      </c>
      <c r="F22" s="64"/>
      <c r="G22" s="55">
        <v>1.0</v>
      </c>
    </row>
    <row r="23">
      <c r="A23" s="56">
        <f t="shared" si="1"/>
        <v>19</v>
      </c>
      <c r="B23" s="60" t="s">
        <v>51</v>
      </c>
      <c r="C23" s="61">
        <v>3446.0</v>
      </c>
      <c r="D23" s="60"/>
      <c r="E23" s="60" t="s">
        <v>50</v>
      </c>
      <c r="F23" s="64"/>
      <c r="G23" s="55">
        <v>1.0</v>
      </c>
    </row>
    <row r="24">
      <c r="A24" s="56">
        <f t="shared" si="1"/>
        <v>20</v>
      </c>
      <c r="B24" s="60" t="s">
        <v>52</v>
      </c>
      <c r="C24" s="65">
        <v>3447.0</v>
      </c>
      <c r="D24" s="66"/>
      <c r="E24" s="67" t="s">
        <v>30</v>
      </c>
      <c r="F24" s="63"/>
      <c r="G24" s="68">
        <v>1.0</v>
      </c>
    </row>
    <row r="25">
      <c r="A25" s="56">
        <f t="shared" si="1"/>
        <v>21</v>
      </c>
      <c r="B25" s="60" t="s">
        <v>53</v>
      </c>
      <c r="C25" s="65">
        <v>3447.0</v>
      </c>
      <c r="D25" s="69"/>
      <c r="E25" s="70" t="s">
        <v>50</v>
      </c>
      <c r="F25" s="63"/>
      <c r="G25" s="67">
        <v>1.0</v>
      </c>
    </row>
    <row r="26">
      <c r="A26" s="56">
        <f t="shared" si="1"/>
        <v>22</v>
      </c>
      <c r="B26" s="60" t="s">
        <v>54</v>
      </c>
      <c r="C26" s="65">
        <v>3447.0</v>
      </c>
      <c r="D26" s="69"/>
      <c r="E26" s="71" t="s">
        <v>55</v>
      </c>
      <c r="F26" s="59"/>
      <c r="G26" s="72">
        <v>1.0</v>
      </c>
    </row>
    <row r="27">
      <c r="A27" s="56">
        <f t="shared" si="1"/>
        <v>23</v>
      </c>
      <c r="B27" s="60" t="s">
        <v>56</v>
      </c>
      <c r="C27" s="65">
        <v>3447.0</v>
      </c>
      <c r="D27" s="69"/>
      <c r="E27" s="71" t="s">
        <v>57</v>
      </c>
      <c r="F27" s="64"/>
      <c r="G27" s="67">
        <v>1.0</v>
      </c>
    </row>
    <row r="28">
      <c r="A28" s="56">
        <f t="shared" si="1"/>
        <v>24</v>
      </c>
      <c r="B28" s="60" t="s">
        <v>58</v>
      </c>
      <c r="C28" s="65">
        <v>3447.0</v>
      </c>
      <c r="D28" s="69"/>
      <c r="E28" s="73" t="s">
        <v>59</v>
      </c>
      <c r="F28" s="59"/>
      <c r="G28" s="63">
        <v>1.0</v>
      </c>
    </row>
    <row r="29">
      <c r="A29" s="56">
        <f t="shared" si="1"/>
        <v>25</v>
      </c>
      <c r="B29" s="60" t="s">
        <v>60</v>
      </c>
      <c r="C29" s="65">
        <v>3447.0</v>
      </c>
      <c r="D29" s="69"/>
      <c r="E29" s="71" t="s">
        <v>61</v>
      </c>
      <c r="F29" s="59"/>
      <c r="G29" s="72">
        <v>1.0</v>
      </c>
    </row>
    <row r="30">
      <c r="A30" s="56">
        <f t="shared" si="1"/>
        <v>26</v>
      </c>
      <c r="B30" s="60" t="s">
        <v>62</v>
      </c>
      <c r="C30" s="65">
        <v>3447.0</v>
      </c>
      <c r="D30" s="69"/>
      <c r="E30" s="71" t="s">
        <v>63</v>
      </c>
      <c r="F30" s="59"/>
      <c r="G30" s="72">
        <v>1.0</v>
      </c>
    </row>
    <row r="31">
      <c r="A31" s="56">
        <f t="shared" si="1"/>
        <v>27</v>
      </c>
      <c r="B31" s="60" t="s">
        <v>64</v>
      </c>
      <c r="C31" s="65">
        <v>3447.0</v>
      </c>
      <c r="D31" s="69"/>
      <c r="E31" s="71" t="s">
        <v>65</v>
      </c>
      <c r="F31" s="59"/>
      <c r="G31" s="72">
        <v>1.0</v>
      </c>
    </row>
    <row r="32">
      <c r="A32" s="56">
        <f t="shared" si="1"/>
        <v>28</v>
      </c>
      <c r="B32" s="60" t="s">
        <v>66</v>
      </c>
      <c r="C32" s="74">
        <v>3448.0</v>
      </c>
      <c r="D32" s="75"/>
      <c r="E32" s="76" t="s">
        <v>48</v>
      </c>
      <c r="F32" s="64"/>
      <c r="G32" s="68">
        <v>1.0</v>
      </c>
    </row>
    <row r="33">
      <c r="A33" s="56">
        <f t="shared" si="1"/>
        <v>29</v>
      </c>
      <c r="B33" s="60" t="s">
        <v>67</v>
      </c>
      <c r="C33" s="74">
        <v>3448.0</v>
      </c>
      <c r="D33" s="77"/>
      <c r="E33" s="60" t="s">
        <v>68</v>
      </c>
      <c r="F33" s="63"/>
      <c r="G33" s="72">
        <v>1.0</v>
      </c>
    </row>
    <row r="34">
      <c r="A34" s="56">
        <f t="shared" si="1"/>
        <v>30</v>
      </c>
      <c r="B34" s="60" t="s">
        <v>69</v>
      </c>
      <c r="C34" s="74">
        <v>3448.0</v>
      </c>
      <c r="D34" s="77"/>
      <c r="E34" s="60" t="s">
        <v>37</v>
      </c>
      <c r="F34" s="59"/>
      <c r="G34" s="63">
        <v>1.0</v>
      </c>
    </row>
    <row r="35">
      <c r="A35" s="56">
        <f t="shared" si="1"/>
        <v>31</v>
      </c>
      <c r="B35" s="60" t="s">
        <v>70</v>
      </c>
      <c r="C35" s="74">
        <v>3448.0</v>
      </c>
      <c r="D35" s="77"/>
      <c r="E35" s="76" t="s">
        <v>48</v>
      </c>
      <c r="F35" s="59"/>
      <c r="G35" s="68">
        <v>1.0</v>
      </c>
    </row>
    <row r="36">
      <c r="A36" s="56">
        <f t="shared" si="1"/>
        <v>32</v>
      </c>
      <c r="B36" s="60" t="s">
        <v>71</v>
      </c>
      <c r="C36" s="74">
        <v>3448.0</v>
      </c>
      <c r="D36" s="77"/>
      <c r="E36" s="60" t="s">
        <v>68</v>
      </c>
      <c r="F36" s="63"/>
      <c r="G36" s="72">
        <v>1.0</v>
      </c>
    </row>
    <row r="37">
      <c r="A37" s="56">
        <f t="shared" si="1"/>
        <v>33</v>
      </c>
      <c r="B37" s="60" t="s">
        <v>72</v>
      </c>
      <c r="C37" s="74">
        <v>3448.0</v>
      </c>
      <c r="D37" s="77"/>
      <c r="E37" s="76" t="s">
        <v>30</v>
      </c>
      <c r="F37" s="63"/>
      <c r="G37" s="72">
        <v>1.0</v>
      </c>
    </row>
    <row r="38">
      <c r="A38" s="56">
        <f t="shared" si="1"/>
        <v>34</v>
      </c>
      <c r="B38" s="60" t="s">
        <v>73</v>
      </c>
      <c r="C38" s="74">
        <v>3448.0</v>
      </c>
      <c r="D38" s="77"/>
      <c r="E38" s="60" t="s">
        <v>22</v>
      </c>
      <c r="F38" s="63"/>
      <c r="G38" s="72">
        <v>1.0</v>
      </c>
    </row>
    <row r="39">
      <c r="A39" s="56">
        <f t="shared" si="1"/>
        <v>35</v>
      </c>
      <c r="B39" s="60" t="s">
        <v>74</v>
      </c>
      <c r="C39" s="78">
        <v>3449.0</v>
      </c>
      <c r="D39" s="79"/>
      <c r="E39" s="80" t="s">
        <v>48</v>
      </c>
      <c r="F39" s="63"/>
      <c r="G39" s="59">
        <v>1.0</v>
      </c>
    </row>
    <row r="40">
      <c r="A40" s="56">
        <f t="shared" si="1"/>
        <v>36</v>
      </c>
      <c r="B40" s="60" t="s">
        <v>75</v>
      </c>
      <c r="C40" s="78">
        <v>3449.0</v>
      </c>
      <c r="D40" s="79"/>
      <c r="E40" s="81" t="s">
        <v>76</v>
      </c>
      <c r="F40" s="63"/>
      <c r="G40" s="63">
        <v>1.0</v>
      </c>
    </row>
    <row r="41">
      <c r="A41" s="56">
        <f t="shared" si="1"/>
        <v>37</v>
      </c>
      <c r="B41" s="60" t="s">
        <v>77</v>
      </c>
      <c r="C41" s="78">
        <v>3449.0</v>
      </c>
      <c r="D41" s="79"/>
      <c r="E41" s="81" t="s">
        <v>22</v>
      </c>
      <c r="F41" s="82" t="s">
        <v>78</v>
      </c>
      <c r="G41" s="72">
        <v>1.0</v>
      </c>
    </row>
    <row r="42">
      <c r="A42" s="56">
        <f t="shared" si="1"/>
        <v>38</v>
      </c>
      <c r="B42" s="60" t="s">
        <v>79</v>
      </c>
      <c r="C42" s="78">
        <v>3449.0</v>
      </c>
      <c r="D42" s="79"/>
      <c r="E42" s="83" t="s">
        <v>80</v>
      </c>
      <c r="F42" s="63"/>
      <c r="G42" s="68">
        <v>1.0</v>
      </c>
    </row>
    <row r="43">
      <c r="A43" s="56">
        <f t="shared" si="1"/>
        <v>39</v>
      </c>
      <c r="B43" s="60" t="s">
        <v>81</v>
      </c>
      <c r="C43" s="78">
        <v>3449.0</v>
      </c>
      <c r="D43" s="79"/>
      <c r="E43" s="81" t="s">
        <v>82</v>
      </c>
      <c r="F43" s="59" t="s">
        <v>83</v>
      </c>
      <c r="G43" s="72">
        <v>1.0</v>
      </c>
    </row>
    <row r="44">
      <c r="A44" s="56">
        <f t="shared" si="1"/>
        <v>40</v>
      </c>
      <c r="B44" s="60" t="s">
        <v>84</v>
      </c>
      <c r="C44" s="78">
        <v>3449.0</v>
      </c>
      <c r="D44" s="79"/>
      <c r="E44" s="81" t="s">
        <v>26</v>
      </c>
      <c r="F44" s="59"/>
      <c r="G44" s="72">
        <v>1.0</v>
      </c>
    </row>
    <row r="45">
      <c r="A45" s="56">
        <f t="shared" si="1"/>
        <v>41</v>
      </c>
      <c r="B45" s="60" t="s">
        <v>85</v>
      </c>
      <c r="C45" s="84">
        <v>3450.0</v>
      </c>
      <c r="D45" s="69"/>
      <c r="E45" s="81" t="s">
        <v>86</v>
      </c>
      <c r="F45" s="85"/>
      <c r="G45" s="59">
        <v>1.0</v>
      </c>
    </row>
    <row r="46">
      <c r="A46" s="56">
        <f t="shared" si="1"/>
        <v>42</v>
      </c>
      <c r="B46" s="60" t="s">
        <v>87</v>
      </c>
      <c r="C46" s="84">
        <v>3450.0</v>
      </c>
      <c r="D46" s="69"/>
      <c r="E46" s="81" t="s">
        <v>24</v>
      </c>
      <c r="F46" s="59"/>
      <c r="G46" s="63">
        <v>1.0</v>
      </c>
    </row>
    <row r="47">
      <c r="A47" s="56">
        <f t="shared" si="1"/>
        <v>43</v>
      </c>
      <c r="B47" s="60" t="s">
        <v>88</v>
      </c>
      <c r="C47" s="84">
        <v>3450.0</v>
      </c>
      <c r="D47" s="69"/>
      <c r="E47" s="81" t="s">
        <v>20</v>
      </c>
      <c r="F47" s="59"/>
      <c r="G47" s="72">
        <v>1.0</v>
      </c>
    </row>
    <row r="48">
      <c r="A48" s="56">
        <f t="shared" si="1"/>
        <v>44</v>
      </c>
      <c r="B48" s="60" t="s">
        <v>89</v>
      </c>
      <c r="C48" s="84">
        <v>3450.0</v>
      </c>
      <c r="D48" s="69"/>
      <c r="E48" s="81" t="s">
        <v>57</v>
      </c>
      <c r="F48" s="63" t="s">
        <v>90</v>
      </c>
      <c r="G48" s="68">
        <v>1.0</v>
      </c>
    </row>
    <row r="49">
      <c r="A49" s="56">
        <f t="shared" si="1"/>
        <v>45</v>
      </c>
      <c r="B49" s="60" t="s">
        <v>91</v>
      </c>
      <c r="C49" s="84">
        <v>3450.0</v>
      </c>
      <c r="D49" s="69"/>
      <c r="E49" s="81" t="s">
        <v>22</v>
      </c>
      <c r="F49" s="59"/>
      <c r="G49" s="72">
        <v>1.0</v>
      </c>
    </row>
    <row r="50">
      <c r="A50" s="56">
        <f t="shared" si="1"/>
        <v>46</v>
      </c>
      <c r="B50" s="60" t="s">
        <v>92</v>
      </c>
      <c r="C50" s="84">
        <v>3450.0</v>
      </c>
      <c r="D50" s="69"/>
      <c r="E50" s="81" t="s">
        <v>80</v>
      </c>
      <c r="F50" s="59"/>
      <c r="G50" s="72">
        <v>1.0</v>
      </c>
    </row>
    <row r="51">
      <c r="A51" s="56">
        <f t="shared" si="1"/>
        <v>47</v>
      </c>
      <c r="B51" s="60" t="s">
        <v>93</v>
      </c>
      <c r="C51" s="86">
        <v>3451.0</v>
      </c>
      <c r="D51" s="69"/>
      <c r="E51" s="87" t="s">
        <v>94</v>
      </c>
      <c r="F51" s="88"/>
      <c r="G51" s="68">
        <v>1.0</v>
      </c>
    </row>
    <row r="52">
      <c r="A52" s="56">
        <f t="shared" si="1"/>
        <v>48</v>
      </c>
      <c r="B52" s="60" t="s">
        <v>95</v>
      </c>
      <c r="C52" s="86">
        <v>3451.0</v>
      </c>
      <c r="D52" s="69"/>
      <c r="E52" s="87" t="s">
        <v>96</v>
      </c>
      <c r="F52" s="88"/>
      <c r="G52" s="67">
        <v>1.0</v>
      </c>
    </row>
    <row r="53">
      <c r="A53" s="56">
        <f t="shared" si="1"/>
        <v>49</v>
      </c>
      <c r="B53" s="60" t="s">
        <v>97</v>
      </c>
      <c r="C53" s="86">
        <v>3451.0</v>
      </c>
      <c r="D53" s="69"/>
      <c r="E53" s="89" t="s">
        <v>98</v>
      </c>
      <c r="F53" s="63"/>
      <c r="G53" s="72">
        <v>1.0</v>
      </c>
    </row>
    <row r="54">
      <c r="A54" s="56">
        <f t="shared" si="1"/>
        <v>50</v>
      </c>
      <c r="B54" s="60" t="s">
        <v>99</v>
      </c>
      <c r="C54" s="86">
        <v>3451.0</v>
      </c>
      <c r="D54" s="69"/>
      <c r="E54" s="89" t="s">
        <v>80</v>
      </c>
      <c r="F54" s="63"/>
      <c r="G54" s="67">
        <v>1.0</v>
      </c>
    </row>
    <row r="55">
      <c r="A55" s="56">
        <f t="shared" si="1"/>
        <v>51</v>
      </c>
      <c r="B55" s="60" t="s">
        <v>100</v>
      </c>
      <c r="C55" s="86">
        <v>3451.0</v>
      </c>
      <c r="D55" s="69"/>
      <c r="E55" s="89" t="s">
        <v>101</v>
      </c>
      <c r="F55" s="85"/>
      <c r="G55" s="63">
        <v>1.0</v>
      </c>
    </row>
    <row r="56">
      <c r="A56" s="56">
        <f t="shared" si="1"/>
        <v>52</v>
      </c>
      <c r="B56" s="60" t="s">
        <v>102</v>
      </c>
      <c r="C56" s="86">
        <v>3451.0</v>
      </c>
      <c r="D56" s="69"/>
      <c r="E56" s="89" t="s">
        <v>33</v>
      </c>
      <c r="F56" s="63"/>
      <c r="G56" s="68">
        <v>1.0</v>
      </c>
    </row>
    <row r="57">
      <c r="A57" s="56">
        <f t="shared" si="1"/>
        <v>53</v>
      </c>
      <c r="B57" s="60" t="s">
        <v>103</v>
      </c>
      <c r="C57" s="86">
        <v>3451.0</v>
      </c>
      <c r="D57" s="69"/>
      <c r="E57" s="73" t="s">
        <v>96</v>
      </c>
      <c r="F57" s="90"/>
      <c r="G57" s="72">
        <v>1.0</v>
      </c>
    </row>
    <row r="58">
      <c r="A58" s="56">
        <f t="shared" si="1"/>
        <v>54</v>
      </c>
      <c r="B58" s="60" t="s">
        <v>104</v>
      </c>
      <c r="C58" s="86">
        <v>3451.0</v>
      </c>
      <c r="D58" s="69"/>
      <c r="E58" s="73" t="s">
        <v>96</v>
      </c>
      <c r="F58" s="85"/>
      <c r="G58" s="72">
        <v>1.0</v>
      </c>
    </row>
    <row r="59">
      <c r="A59" s="56">
        <f t="shared" si="1"/>
        <v>55</v>
      </c>
      <c r="B59" s="60" t="s">
        <v>105</v>
      </c>
      <c r="C59" s="86">
        <v>3451.0</v>
      </c>
      <c r="D59" s="69"/>
      <c r="E59" s="73" t="s">
        <v>106</v>
      </c>
      <c r="F59" s="85"/>
      <c r="G59" s="72">
        <v>1.0</v>
      </c>
    </row>
    <row r="60">
      <c r="A60" s="56">
        <f t="shared" si="1"/>
        <v>56</v>
      </c>
      <c r="B60" s="60" t="s">
        <v>107</v>
      </c>
      <c r="C60" s="86">
        <v>3451.0</v>
      </c>
      <c r="D60" s="69"/>
      <c r="E60" s="73" t="s">
        <v>108</v>
      </c>
      <c r="F60" s="85" t="s">
        <v>109</v>
      </c>
      <c r="G60" s="72">
        <v>1.0</v>
      </c>
    </row>
    <row r="61">
      <c r="A61" s="56">
        <f t="shared" si="1"/>
        <v>57</v>
      </c>
      <c r="B61" s="60" t="s">
        <v>110</v>
      </c>
      <c r="C61" s="91">
        <v>3452.0</v>
      </c>
      <c r="D61" s="92"/>
      <c r="E61" s="93" t="s">
        <v>33</v>
      </c>
      <c r="F61" s="59"/>
      <c r="G61" s="94">
        <v>1.0</v>
      </c>
    </row>
    <row r="62">
      <c r="A62" s="56">
        <f t="shared" si="1"/>
        <v>58</v>
      </c>
      <c r="B62" s="60" t="s">
        <v>111</v>
      </c>
      <c r="C62" s="91">
        <v>3452.0</v>
      </c>
      <c r="D62" s="92"/>
      <c r="E62" s="93" t="s">
        <v>112</v>
      </c>
      <c r="F62" s="95" t="s">
        <v>113</v>
      </c>
      <c r="G62" s="96">
        <v>1.0</v>
      </c>
    </row>
    <row r="63">
      <c r="A63" s="56">
        <f t="shared" si="1"/>
        <v>59</v>
      </c>
      <c r="B63" s="60" t="s">
        <v>114</v>
      </c>
      <c r="C63" s="91">
        <v>3452.0</v>
      </c>
      <c r="D63" s="92"/>
      <c r="E63" s="93" t="s">
        <v>98</v>
      </c>
      <c r="F63" s="97"/>
      <c r="G63" s="96">
        <v>1.0</v>
      </c>
    </row>
    <row r="64">
      <c r="A64" s="56">
        <f t="shared" si="1"/>
        <v>60</v>
      </c>
      <c r="B64" s="60" t="s">
        <v>115</v>
      </c>
      <c r="C64" s="91">
        <v>3452.0</v>
      </c>
      <c r="D64" s="98"/>
      <c r="E64" s="93" t="s">
        <v>116</v>
      </c>
      <c r="F64" s="64"/>
      <c r="G64" s="96">
        <v>1.0</v>
      </c>
    </row>
    <row r="65">
      <c r="A65" s="56">
        <f t="shared" si="1"/>
        <v>61</v>
      </c>
      <c r="B65" s="60" t="s">
        <v>117</v>
      </c>
      <c r="C65" s="91">
        <v>3452.0</v>
      </c>
      <c r="D65" s="98"/>
      <c r="E65" s="99" t="s">
        <v>118</v>
      </c>
      <c r="F65" s="64"/>
      <c r="G65" s="94">
        <v>1.0</v>
      </c>
    </row>
    <row r="66">
      <c r="A66" s="56">
        <f t="shared" si="1"/>
        <v>62</v>
      </c>
      <c r="B66" s="60" t="s">
        <v>119</v>
      </c>
      <c r="C66" s="91">
        <v>3452.0</v>
      </c>
      <c r="D66" s="98"/>
      <c r="E66" s="93" t="s">
        <v>55</v>
      </c>
      <c r="F66" s="59" t="s">
        <v>120</v>
      </c>
      <c r="G66" s="96">
        <v>1.0</v>
      </c>
    </row>
    <row r="67">
      <c r="A67" s="100"/>
      <c r="B67" s="100"/>
      <c r="C67" s="100"/>
      <c r="D67" s="100"/>
      <c r="E67" s="100"/>
      <c r="F67" s="100"/>
      <c r="G67" s="100"/>
    </row>
    <row r="68">
      <c r="A68" s="100"/>
      <c r="B68" s="100"/>
      <c r="C68" s="100"/>
      <c r="D68" s="100"/>
      <c r="E68" s="100"/>
      <c r="F68" s="100"/>
      <c r="G68" s="100"/>
    </row>
    <row r="69">
      <c r="A69" s="100"/>
      <c r="B69" s="100"/>
      <c r="C69" s="100"/>
      <c r="D69" s="100"/>
      <c r="E69" s="100"/>
      <c r="F69" s="100"/>
      <c r="G69" s="100"/>
    </row>
    <row r="70">
      <c r="A70" s="100"/>
      <c r="B70" s="100"/>
      <c r="C70" s="100"/>
      <c r="D70" s="100"/>
      <c r="E70" s="100"/>
      <c r="F70" s="100"/>
      <c r="G70" s="100"/>
    </row>
    <row r="71">
      <c r="A71" s="100"/>
      <c r="B71" s="100"/>
      <c r="C71" s="100"/>
      <c r="D71" s="100"/>
      <c r="E71" s="100"/>
      <c r="F71" s="100"/>
      <c r="G71" s="100"/>
    </row>
    <row r="72">
      <c r="A72" s="100"/>
      <c r="B72" s="100"/>
      <c r="C72" s="100"/>
      <c r="D72" s="100"/>
      <c r="E72" s="100"/>
      <c r="F72" s="100"/>
      <c r="G72" s="100"/>
    </row>
    <row r="73">
      <c r="A73" s="100"/>
      <c r="B73" s="100"/>
      <c r="C73" s="100"/>
      <c r="D73" s="100"/>
      <c r="E73" s="100"/>
      <c r="F73" s="100"/>
      <c r="G73" s="100"/>
    </row>
    <row r="74">
      <c r="A74" s="100"/>
      <c r="B74" s="100"/>
      <c r="C74" s="100"/>
      <c r="D74" s="100"/>
      <c r="E74" s="100"/>
      <c r="F74" s="100"/>
      <c r="G74" s="100"/>
    </row>
    <row r="75">
      <c r="A75" s="100"/>
      <c r="B75" s="100"/>
      <c r="C75" s="100"/>
      <c r="D75" s="100"/>
      <c r="E75" s="100"/>
      <c r="F75" s="100"/>
      <c r="G75" s="100"/>
    </row>
    <row r="76">
      <c r="A76" s="100"/>
      <c r="B76" s="100"/>
      <c r="C76" s="100"/>
      <c r="D76" s="100"/>
      <c r="E76" s="100"/>
      <c r="F76" s="100"/>
      <c r="G76" s="100"/>
    </row>
    <row r="77">
      <c r="A77" s="100"/>
      <c r="B77" s="100"/>
      <c r="C77" s="100"/>
      <c r="D77" s="100"/>
      <c r="E77" s="100"/>
      <c r="F77" s="100"/>
      <c r="G77" s="100"/>
    </row>
    <row r="78">
      <c r="A78" s="100"/>
      <c r="B78" s="100"/>
      <c r="C78" s="100"/>
      <c r="D78" s="100"/>
      <c r="E78" s="100"/>
      <c r="F78" s="100"/>
      <c r="G78" s="100"/>
    </row>
    <row r="79">
      <c r="A79" s="100"/>
      <c r="B79" s="100"/>
      <c r="C79" s="100"/>
      <c r="D79" s="100"/>
      <c r="E79" s="100"/>
      <c r="F79" s="100"/>
      <c r="G79" s="100"/>
    </row>
    <row r="80">
      <c r="A80" s="100"/>
      <c r="B80" s="100"/>
      <c r="C80" s="100"/>
      <c r="D80" s="100"/>
      <c r="E80" s="100"/>
      <c r="F80" s="100"/>
      <c r="G80" s="100"/>
    </row>
    <row r="81">
      <c r="A81" s="100"/>
      <c r="B81" s="100"/>
      <c r="C81" s="100"/>
      <c r="D81" s="100"/>
      <c r="E81" s="100"/>
      <c r="F81" s="100"/>
      <c r="G81" s="100"/>
    </row>
    <row r="82">
      <c r="A82" s="100"/>
      <c r="B82" s="100"/>
      <c r="C82" s="100"/>
      <c r="D82" s="100"/>
      <c r="E82" s="100"/>
      <c r="F82" s="100"/>
      <c r="G82" s="100"/>
    </row>
    <row r="83">
      <c r="A83" s="100"/>
      <c r="B83" s="100"/>
      <c r="C83" s="100"/>
      <c r="D83" s="100"/>
      <c r="E83" s="100"/>
      <c r="F83" s="100"/>
      <c r="G83" s="100"/>
    </row>
    <row r="84">
      <c r="A84" s="100"/>
      <c r="B84" s="100"/>
      <c r="C84" s="100"/>
      <c r="D84" s="100"/>
      <c r="E84" s="100"/>
      <c r="F84" s="100"/>
      <c r="G84" s="100"/>
    </row>
    <row r="85">
      <c r="A85" s="100"/>
      <c r="B85" s="100"/>
      <c r="C85" s="100"/>
      <c r="D85" s="100"/>
      <c r="E85" s="100"/>
      <c r="F85" s="100"/>
      <c r="G85" s="100"/>
    </row>
    <row r="86">
      <c r="A86" s="100"/>
      <c r="B86" s="100"/>
      <c r="C86" s="100"/>
      <c r="D86" s="100"/>
      <c r="E86" s="100"/>
      <c r="F86" s="100"/>
      <c r="G86" s="100"/>
    </row>
    <row r="87">
      <c r="A87" s="100"/>
      <c r="B87" s="100"/>
      <c r="C87" s="100"/>
      <c r="D87" s="100"/>
      <c r="E87" s="100"/>
      <c r="F87" s="100"/>
      <c r="G87" s="100"/>
    </row>
    <row r="88">
      <c r="A88" s="100"/>
      <c r="B88" s="100"/>
      <c r="C88" s="100"/>
      <c r="D88" s="100"/>
      <c r="E88" s="100"/>
      <c r="F88" s="100"/>
      <c r="G88" s="100"/>
    </row>
    <row r="89">
      <c r="A89" s="100"/>
      <c r="B89" s="100"/>
      <c r="C89" s="100"/>
      <c r="D89" s="100"/>
      <c r="E89" s="100"/>
      <c r="F89" s="100"/>
      <c r="G89" s="100"/>
    </row>
    <row r="90">
      <c r="A90" s="100"/>
      <c r="B90" s="100"/>
      <c r="C90" s="100"/>
      <c r="D90" s="100"/>
      <c r="E90" s="100"/>
      <c r="F90" s="100"/>
      <c r="G90" s="100"/>
    </row>
    <row r="91">
      <c r="A91" s="100"/>
      <c r="B91" s="100"/>
      <c r="C91" s="100"/>
      <c r="D91" s="100"/>
      <c r="E91" s="100"/>
      <c r="F91" s="100"/>
      <c r="G91" s="100"/>
    </row>
    <row r="92">
      <c r="A92" s="100"/>
      <c r="B92" s="100"/>
      <c r="C92" s="100"/>
      <c r="D92" s="100"/>
      <c r="E92" s="100"/>
      <c r="F92" s="100"/>
      <c r="G92" s="100"/>
    </row>
    <row r="93">
      <c r="A93" s="100"/>
      <c r="B93" s="100"/>
      <c r="C93" s="100"/>
      <c r="D93" s="100"/>
      <c r="E93" s="100"/>
      <c r="F93" s="100"/>
      <c r="G93" s="100"/>
    </row>
    <row r="94">
      <c r="A94" s="100"/>
      <c r="B94" s="100"/>
      <c r="C94" s="100"/>
      <c r="D94" s="100"/>
      <c r="E94" s="100"/>
      <c r="F94" s="100"/>
      <c r="G94" s="100"/>
    </row>
    <row r="95">
      <c r="A95" s="100"/>
      <c r="B95" s="100"/>
      <c r="C95" s="100"/>
      <c r="D95" s="100"/>
      <c r="E95" s="100"/>
      <c r="F95" s="100"/>
      <c r="G95" s="100"/>
    </row>
    <row r="96">
      <c r="A96" s="100"/>
      <c r="B96" s="100"/>
      <c r="C96" s="100"/>
      <c r="D96" s="100"/>
      <c r="E96" s="100"/>
      <c r="F96" s="100"/>
      <c r="G96" s="100"/>
    </row>
    <row r="97">
      <c r="A97" s="100"/>
      <c r="B97" s="100"/>
      <c r="C97" s="100"/>
      <c r="D97" s="100"/>
      <c r="E97" s="100"/>
      <c r="F97" s="100"/>
      <c r="G97" s="100"/>
    </row>
    <row r="98">
      <c r="A98" s="100"/>
      <c r="B98" s="100"/>
      <c r="C98" s="100"/>
      <c r="D98" s="100"/>
      <c r="E98" s="100"/>
      <c r="F98" s="100"/>
      <c r="G98" s="100"/>
    </row>
    <row r="99">
      <c r="A99" s="100"/>
      <c r="B99" s="100"/>
      <c r="C99" s="100"/>
      <c r="D99" s="100"/>
      <c r="E99" s="100"/>
      <c r="F99" s="100"/>
      <c r="G99" s="100"/>
    </row>
    <row r="100">
      <c r="A100" s="100"/>
      <c r="B100" s="100"/>
      <c r="C100" s="100"/>
      <c r="D100" s="100"/>
      <c r="E100" s="100"/>
      <c r="F100" s="100"/>
      <c r="G100" s="100"/>
    </row>
    <row r="101">
      <c r="A101" s="100"/>
      <c r="B101" s="100"/>
      <c r="C101" s="100"/>
      <c r="D101" s="100"/>
      <c r="E101" s="100"/>
      <c r="F101" s="100"/>
      <c r="G101" s="100"/>
    </row>
    <row r="102">
      <c r="A102" s="100"/>
      <c r="B102" s="100"/>
      <c r="C102" s="100"/>
      <c r="D102" s="100"/>
      <c r="E102" s="100"/>
      <c r="F102" s="100"/>
      <c r="G102" s="100"/>
    </row>
    <row r="103">
      <c r="A103" s="100"/>
      <c r="B103" s="100"/>
      <c r="C103" s="100"/>
      <c r="D103" s="100"/>
      <c r="E103" s="100"/>
      <c r="F103" s="100"/>
      <c r="G103" s="100"/>
    </row>
    <row r="104">
      <c r="A104" s="100"/>
      <c r="B104" s="100"/>
      <c r="C104" s="100"/>
      <c r="D104" s="100"/>
      <c r="E104" s="100"/>
      <c r="F104" s="100"/>
      <c r="G104" s="100"/>
    </row>
    <row r="105">
      <c r="A105" s="100"/>
      <c r="B105" s="100"/>
      <c r="C105" s="100"/>
      <c r="D105" s="100"/>
      <c r="E105" s="100"/>
      <c r="F105" s="100"/>
      <c r="G105" s="100"/>
    </row>
    <row r="106">
      <c r="A106" s="100"/>
      <c r="B106" s="100"/>
      <c r="C106" s="100"/>
      <c r="D106" s="100"/>
      <c r="E106" s="100"/>
      <c r="F106" s="100"/>
      <c r="G106" s="100"/>
    </row>
    <row r="107">
      <c r="A107" s="100"/>
      <c r="B107" s="100"/>
      <c r="C107" s="100"/>
      <c r="D107" s="100"/>
      <c r="E107" s="100"/>
      <c r="F107" s="100"/>
      <c r="G107" s="100"/>
    </row>
    <row r="108">
      <c r="A108" s="100"/>
      <c r="B108" s="100"/>
      <c r="C108" s="100"/>
      <c r="D108" s="100"/>
      <c r="E108" s="100"/>
      <c r="F108" s="100"/>
      <c r="G108" s="100"/>
    </row>
    <row r="109">
      <c r="A109" s="100"/>
      <c r="B109" s="100"/>
      <c r="C109" s="100"/>
      <c r="D109" s="100"/>
      <c r="E109" s="100"/>
      <c r="F109" s="100"/>
      <c r="G109" s="100"/>
    </row>
    <row r="110">
      <c r="A110" s="100"/>
      <c r="B110" s="100"/>
      <c r="C110" s="100"/>
      <c r="D110" s="100"/>
      <c r="E110" s="100"/>
      <c r="F110" s="100"/>
      <c r="G110" s="100"/>
    </row>
    <row r="111">
      <c r="A111" s="100"/>
      <c r="B111" s="100"/>
      <c r="C111" s="100"/>
      <c r="D111" s="100"/>
      <c r="E111" s="100"/>
      <c r="F111" s="100"/>
      <c r="G111" s="100"/>
    </row>
    <row r="112">
      <c r="A112" s="100"/>
      <c r="B112" s="100"/>
      <c r="C112" s="100"/>
      <c r="D112" s="100"/>
      <c r="E112" s="100"/>
      <c r="F112" s="100"/>
      <c r="G112" s="100"/>
    </row>
    <row r="113">
      <c r="A113" s="100"/>
      <c r="B113" s="100"/>
      <c r="C113" s="100"/>
      <c r="D113" s="100"/>
      <c r="E113" s="100"/>
      <c r="F113" s="100"/>
      <c r="G113" s="100"/>
    </row>
    <row r="114">
      <c r="A114" s="100"/>
      <c r="B114" s="100"/>
      <c r="C114" s="100"/>
      <c r="D114" s="100"/>
      <c r="E114" s="100"/>
      <c r="F114" s="100"/>
      <c r="G114" s="100"/>
    </row>
    <row r="115">
      <c r="A115" s="100"/>
      <c r="B115" s="100"/>
      <c r="C115" s="100"/>
      <c r="D115" s="100"/>
      <c r="E115" s="100"/>
      <c r="F115" s="100"/>
      <c r="G115" s="100"/>
    </row>
    <row r="116">
      <c r="A116" s="100"/>
      <c r="B116" s="100"/>
      <c r="C116" s="100"/>
      <c r="D116" s="100"/>
      <c r="E116" s="100"/>
      <c r="F116" s="100"/>
      <c r="G116" s="100"/>
    </row>
    <row r="117">
      <c r="A117" s="100"/>
      <c r="B117" s="100"/>
      <c r="C117" s="100"/>
      <c r="D117" s="100"/>
      <c r="E117" s="100"/>
      <c r="F117" s="100"/>
      <c r="G117" s="100"/>
    </row>
    <row r="118">
      <c r="A118" s="100"/>
      <c r="B118" s="100"/>
      <c r="C118" s="100"/>
      <c r="D118" s="100"/>
      <c r="E118" s="100"/>
      <c r="F118" s="100"/>
      <c r="G118" s="100"/>
    </row>
    <row r="119">
      <c r="A119" s="100"/>
      <c r="B119" s="100"/>
      <c r="C119" s="100"/>
      <c r="D119" s="100"/>
      <c r="E119" s="100"/>
      <c r="F119" s="100"/>
      <c r="G119" s="100"/>
    </row>
    <row r="120">
      <c r="A120" s="100"/>
      <c r="B120" s="100"/>
      <c r="C120" s="100"/>
      <c r="D120" s="100"/>
      <c r="E120" s="100"/>
      <c r="F120" s="100"/>
      <c r="G120" s="100"/>
    </row>
    <row r="121">
      <c r="A121" s="100"/>
      <c r="B121" s="100"/>
      <c r="C121" s="100"/>
      <c r="D121" s="100"/>
      <c r="E121" s="100"/>
      <c r="F121" s="100"/>
      <c r="G121" s="100"/>
    </row>
    <row r="122">
      <c r="A122" s="100"/>
      <c r="B122" s="100"/>
      <c r="C122" s="100"/>
      <c r="D122" s="100"/>
      <c r="E122" s="100"/>
      <c r="F122" s="100"/>
      <c r="G122" s="100"/>
    </row>
    <row r="123">
      <c r="A123" s="100"/>
      <c r="B123" s="100"/>
      <c r="C123" s="100"/>
      <c r="D123" s="100"/>
      <c r="E123" s="100"/>
      <c r="F123" s="100"/>
      <c r="G123" s="100"/>
    </row>
    <row r="124">
      <c r="A124" s="100"/>
      <c r="B124" s="100"/>
      <c r="C124" s="100"/>
      <c r="D124" s="100"/>
      <c r="E124" s="100"/>
      <c r="F124" s="100"/>
      <c r="G124" s="100"/>
    </row>
    <row r="125">
      <c r="A125" s="100"/>
      <c r="B125" s="100"/>
      <c r="C125" s="100"/>
      <c r="D125" s="100"/>
      <c r="E125" s="100"/>
      <c r="F125" s="100"/>
      <c r="G125" s="100"/>
    </row>
    <row r="126">
      <c r="A126" s="100"/>
      <c r="B126" s="100"/>
      <c r="C126" s="100"/>
      <c r="D126" s="100"/>
      <c r="E126" s="100"/>
      <c r="F126" s="100"/>
      <c r="G126" s="100"/>
    </row>
    <row r="127">
      <c r="A127" s="100"/>
      <c r="B127" s="100"/>
      <c r="C127" s="100"/>
      <c r="D127" s="100"/>
      <c r="E127" s="100"/>
      <c r="F127" s="100"/>
      <c r="G127" s="100"/>
    </row>
    <row r="128">
      <c r="A128" s="100"/>
      <c r="B128" s="100"/>
      <c r="C128" s="100"/>
      <c r="D128" s="100"/>
      <c r="E128" s="100"/>
      <c r="F128" s="100"/>
      <c r="G128" s="100"/>
    </row>
    <row r="129">
      <c r="A129" s="100"/>
      <c r="B129" s="100"/>
      <c r="C129" s="100"/>
      <c r="D129" s="100"/>
      <c r="E129" s="100"/>
      <c r="F129" s="100"/>
      <c r="G129" s="100"/>
    </row>
    <row r="130">
      <c r="A130" s="100"/>
      <c r="B130" s="100"/>
      <c r="C130" s="100"/>
      <c r="D130" s="100"/>
      <c r="E130" s="100"/>
      <c r="F130" s="100"/>
      <c r="G130" s="100"/>
    </row>
    <row r="131">
      <c r="A131" s="100"/>
      <c r="B131" s="100"/>
      <c r="C131" s="100"/>
      <c r="D131" s="100"/>
      <c r="E131" s="100"/>
      <c r="F131" s="100"/>
      <c r="G131" s="100"/>
    </row>
    <row r="132">
      <c r="A132" s="100"/>
      <c r="B132" s="100"/>
      <c r="C132" s="100"/>
      <c r="D132" s="100"/>
      <c r="E132" s="100"/>
      <c r="F132" s="100"/>
      <c r="G132" s="100"/>
    </row>
    <row r="133">
      <c r="A133" s="100"/>
      <c r="B133" s="100"/>
      <c r="C133" s="100"/>
      <c r="D133" s="100"/>
      <c r="E133" s="100"/>
      <c r="F133" s="100"/>
      <c r="G133" s="100"/>
    </row>
    <row r="134">
      <c r="A134" s="100"/>
      <c r="B134" s="100"/>
      <c r="C134" s="100"/>
      <c r="D134" s="100"/>
      <c r="E134" s="100"/>
      <c r="F134" s="100"/>
      <c r="G134" s="100"/>
    </row>
    <row r="135">
      <c r="A135" s="100"/>
      <c r="B135" s="100"/>
      <c r="C135" s="100"/>
      <c r="D135" s="100"/>
      <c r="E135" s="100"/>
      <c r="F135" s="100"/>
      <c r="G135" s="100"/>
    </row>
    <row r="136">
      <c r="A136" s="100"/>
      <c r="B136" s="100"/>
      <c r="C136" s="100"/>
      <c r="D136" s="100"/>
      <c r="E136" s="100"/>
      <c r="F136" s="100"/>
      <c r="G136" s="100"/>
    </row>
    <row r="137">
      <c r="A137" s="100"/>
      <c r="B137" s="100"/>
      <c r="C137" s="100"/>
      <c r="D137" s="100"/>
      <c r="E137" s="100"/>
      <c r="F137" s="100"/>
      <c r="G137" s="100"/>
    </row>
    <row r="138">
      <c r="A138" s="100"/>
      <c r="B138" s="100"/>
      <c r="C138" s="100"/>
      <c r="D138" s="100"/>
      <c r="E138" s="100"/>
      <c r="F138" s="100"/>
      <c r="G138" s="100"/>
    </row>
    <row r="139">
      <c r="A139" s="100"/>
      <c r="B139" s="100"/>
      <c r="C139" s="100"/>
      <c r="D139" s="100"/>
      <c r="E139" s="100"/>
      <c r="F139" s="100"/>
      <c r="G139" s="100"/>
    </row>
    <row r="140">
      <c r="A140" s="100"/>
      <c r="B140" s="100"/>
      <c r="C140" s="100"/>
      <c r="D140" s="100"/>
      <c r="E140" s="100"/>
      <c r="F140" s="100"/>
      <c r="G140" s="100"/>
    </row>
    <row r="141">
      <c r="A141" s="100"/>
      <c r="B141" s="100"/>
      <c r="C141" s="100"/>
      <c r="D141" s="100"/>
      <c r="E141" s="100"/>
      <c r="F141" s="100"/>
      <c r="G141" s="100"/>
    </row>
    <row r="142">
      <c r="A142" s="100"/>
      <c r="B142" s="100"/>
      <c r="C142" s="100"/>
      <c r="D142" s="100"/>
      <c r="E142" s="100"/>
      <c r="F142" s="100"/>
      <c r="G142" s="100"/>
    </row>
    <row r="143">
      <c r="A143" s="100"/>
      <c r="B143" s="100"/>
      <c r="C143" s="100"/>
      <c r="D143" s="100"/>
      <c r="E143" s="100"/>
      <c r="F143" s="100"/>
      <c r="G143" s="100"/>
    </row>
    <row r="144">
      <c r="A144" s="100"/>
      <c r="B144" s="100"/>
      <c r="C144" s="100"/>
      <c r="D144" s="100"/>
      <c r="E144" s="100"/>
      <c r="F144" s="100"/>
      <c r="G144" s="100"/>
    </row>
    <row r="145">
      <c r="A145" s="100"/>
      <c r="B145" s="100"/>
      <c r="C145" s="100"/>
      <c r="D145" s="100"/>
      <c r="E145" s="100"/>
      <c r="F145" s="100"/>
      <c r="G145" s="100"/>
    </row>
    <row r="146">
      <c r="A146" s="100"/>
      <c r="B146" s="100"/>
      <c r="C146" s="100"/>
      <c r="D146" s="100"/>
      <c r="E146" s="100"/>
      <c r="F146" s="100"/>
      <c r="G146" s="100"/>
    </row>
    <row r="147">
      <c r="A147" s="100"/>
      <c r="B147" s="100"/>
      <c r="C147" s="100"/>
      <c r="D147" s="100"/>
      <c r="E147" s="100"/>
      <c r="F147" s="100"/>
      <c r="G147" s="100"/>
    </row>
    <row r="148">
      <c r="A148" s="100"/>
      <c r="B148" s="100"/>
      <c r="C148" s="100"/>
      <c r="D148" s="100"/>
      <c r="E148" s="100"/>
      <c r="F148" s="100"/>
      <c r="G148" s="100"/>
    </row>
    <row r="149">
      <c r="A149" s="100"/>
      <c r="B149" s="100"/>
      <c r="C149" s="100"/>
      <c r="D149" s="100"/>
      <c r="E149" s="100"/>
      <c r="F149" s="100"/>
      <c r="G149" s="100"/>
    </row>
    <row r="150">
      <c r="A150" s="100"/>
      <c r="B150" s="100"/>
      <c r="C150" s="100"/>
      <c r="D150" s="100"/>
      <c r="E150" s="100"/>
      <c r="F150" s="100"/>
      <c r="G150" s="100"/>
    </row>
    <row r="151">
      <c r="A151" s="100"/>
      <c r="B151" s="100"/>
      <c r="C151" s="100"/>
      <c r="D151" s="100"/>
      <c r="E151" s="100"/>
      <c r="F151" s="100"/>
      <c r="G151" s="100"/>
    </row>
    <row r="152">
      <c r="A152" s="100"/>
      <c r="B152" s="100"/>
      <c r="C152" s="100"/>
      <c r="D152" s="100"/>
      <c r="E152" s="100"/>
      <c r="F152" s="100"/>
      <c r="G152" s="100"/>
    </row>
    <row r="153">
      <c r="A153" s="100"/>
      <c r="B153" s="100"/>
      <c r="C153" s="100"/>
      <c r="D153" s="100"/>
      <c r="E153" s="100"/>
      <c r="F153" s="100"/>
      <c r="G153" s="100"/>
    </row>
    <row r="154">
      <c r="A154" s="100"/>
      <c r="B154" s="100"/>
      <c r="C154" s="100"/>
      <c r="D154" s="100"/>
      <c r="E154" s="100"/>
      <c r="F154" s="100"/>
      <c r="G154" s="100"/>
    </row>
    <row r="155">
      <c r="A155" s="100"/>
      <c r="B155" s="100"/>
      <c r="C155" s="100"/>
      <c r="D155" s="100"/>
      <c r="E155" s="100"/>
      <c r="F155" s="100"/>
      <c r="G155" s="100"/>
    </row>
    <row r="156">
      <c r="A156" s="100"/>
      <c r="B156" s="100"/>
      <c r="C156" s="100"/>
      <c r="D156" s="100"/>
      <c r="E156" s="100"/>
      <c r="F156" s="100"/>
      <c r="G156" s="100"/>
    </row>
    <row r="157">
      <c r="A157" s="100"/>
      <c r="B157" s="100"/>
      <c r="C157" s="100"/>
      <c r="D157" s="100"/>
      <c r="E157" s="100"/>
      <c r="F157" s="100"/>
      <c r="G157" s="100"/>
    </row>
    <row r="158">
      <c r="A158" s="100"/>
      <c r="B158" s="100"/>
      <c r="C158" s="100"/>
      <c r="D158" s="100"/>
      <c r="E158" s="100"/>
      <c r="F158" s="100"/>
      <c r="G158" s="100"/>
    </row>
    <row r="159">
      <c r="A159" s="100"/>
      <c r="B159" s="100"/>
      <c r="C159" s="100"/>
      <c r="D159" s="100"/>
      <c r="E159" s="100"/>
      <c r="F159" s="100"/>
      <c r="G159" s="100"/>
    </row>
    <row r="160">
      <c r="A160" s="100"/>
      <c r="B160" s="100"/>
      <c r="C160" s="100"/>
      <c r="D160" s="100"/>
      <c r="E160" s="100"/>
      <c r="F160" s="100"/>
      <c r="G160" s="100"/>
    </row>
    <row r="161">
      <c r="A161" s="100"/>
      <c r="B161" s="100"/>
      <c r="C161" s="100"/>
      <c r="D161" s="100"/>
      <c r="E161" s="100"/>
      <c r="F161" s="100"/>
      <c r="G161" s="100"/>
    </row>
    <row r="162">
      <c r="A162" s="100"/>
      <c r="B162" s="100"/>
      <c r="C162" s="100"/>
      <c r="D162" s="100"/>
      <c r="E162" s="100"/>
      <c r="F162" s="100"/>
      <c r="G162" s="100"/>
    </row>
    <row r="163">
      <c r="A163" s="100"/>
      <c r="B163" s="100"/>
      <c r="C163" s="100"/>
      <c r="D163" s="100"/>
      <c r="E163" s="100"/>
      <c r="F163" s="100"/>
      <c r="G163" s="100"/>
    </row>
    <row r="164">
      <c r="A164" s="100"/>
      <c r="B164" s="100"/>
      <c r="C164" s="100"/>
      <c r="D164" s="100"/>
      <c r="E164" s="100"/>
      <c r="F164" s="100"/>
      <c r="G164" s="100"/>
    </row>
    <row r="165">
      <c r="A165" s="100"/>
      <c r="B165" s="100"/>
      <c r="C165" s="100"/>
      <c r="D165" s="100"/>
      <c r="E165" s="100"/>
      <c r="F165" s="100"/>
      <c r="G165" s="100"/>
    </row>
    <row r="166">
      <c r="A166" s="100"/>
      <c r="B166" s="100"/>
      <c r="C166" s="100"/>
      <c r="D166" s="100"/>
      <c r="E166" s="100"/>
      <c r="F166" s="100"/>
      <c r="G166" s="100"/>
    </row>
    <row r="167">
      <c r="A167" s="100"/>
      <c r="B167" s="100"/>
      <c r="C167" s="100"/>
      <c r="D167" s="100"/>
      <c r="E167" s="100"/>
      <c r="F167" s="100"/>
      <c r="G167" s="100"/>
    </row>
    <row r="168">
      <c r="A168" s="100"/>
      <c r="B168" s="100"/>
      <c r="C168" s="100"/>
      <c r="D168" s="100"/>
      <c r="E168" s="100"/>
      <c r="F168" s="100"/>
      <c r="G168" s="100"/>
    </row>
    <row r="169">
      <c r="A169" s="100"/>
      <c r="B169" s="100"/>
      <c r="C169" s="100"/>
      <c r="D169" s="100"/>
      <c r="E169" s="100"/>
      <c r="F169" s="100"/>
      <c r="G169" s="100"/>
    </row>
    <row r="170">
      <c r="A170" s="100"/>
      <c r="B170" s="100"/>
      <c r="C170" s="100"/>
      <c r="D170" s="100"/>
      <c r="E170" s="100"/>
      <c r="F170" s="100"/>
      <c r="G170" s="100"/>
    </row>
    <row r="171">
      <c r="A171" s="100"/>
      <c r="B171" s="100"/>
      <c r="C171" s="100"/>
      <c r="D171" s="100"/>
      <c r="E171" s="100"/>
      <c r="F171" s="100"/>
      <c r="G171" s="100"/>
    </row>
    <row r="172">
      <c r="A172" s="100"/>
      <c r="B172" s="100"/>
      <c r="C172" s="100"/>
      <c r="D172" s="100"/>
      <c r="E172" s="100"/>
      <c r="F172" s="100"/>
      <c r="G172" s="100"/>
    </row>
    <row r="173">
      <c r="A173" s="100"/>
      <c r="B173" s="100"/>
      <c r="C173" s="100"/>
      <c r="D173" s="100"/>
      <c r="E173" s="100"/>
      <c r="F173" s="100"/>
      <c r="G173" s="100"/>
    </row>
    <row r="174">
      <c r="A174" s="100"/>
      <c r="B174" s="100"/>
      <c r="C174" s="100"/>
      <c r="D174" s="100"/>
      <c r="E174" s="100"/>
      <c r="F174" s="100"/>
      <c r="G174" s="100"/>
    </row>
    <row r="175">
      <c r="A175" s="100"/>
      <c r="B175" s="100"/>
      <c r="C175" s="100"/>
      <c r="D175" s="100"/>
      <c r="E175" s="100"/>
      <c r="F175" s="100"/>
      <c r="G175" s="100"/>
    </row>
    <row r="176">
      <c r="A176" s="100"/>
      <c r="B176" s="100"/>
      <c r="C176" s="100"/>
      <c r="D176" s="100"/>
      <c r="E176" s="100"/>
      <c r="F176" s="100"/>
      <c r="G176" s="100"/>
    </row>
    <row r="177">
      <c r="A177" s="100"/>
      <c r="B177" s="100"/>
      <c r="C177" s="100"/>
      <c r="D177" s="100"/>
      <c r="E177" s="100"/>
      <c r="F177" s="100"/>
      <c r="G177" s="100"/>
    </row>
    <row r="178">
      <c r="A178" s="100"/>
      <c r="B178" s="100"/>
      <c r="C178" s="100"/>
      <c r="D178" s="100"/>
      <c r="E178" s="100"/>
      <c r="F178" s="100"/>
      <c r="G178" s="100"/>
    </row>
    <row r="179">
      <c r="A179" s="100"/>
      <c r="B179" s="100"/>
      <c r="C179" s="100"/>
      <c r="D179" s="100"/>
      <c r="E179" s="100"/>
      <c r="F179" s="100"/>
      <c r="G179" s="100"/>
    </row>
    <row r="180">
      <c r="A180" s="100"/>
      <c r="B180" s="100"/>
      <c r="C180" s="100"/>
      <c r="D180" s="100"/>
      <c r="E180" s="100"/>
      <c r="F180" s="100"/>
      <c r="G180" s="100"/>
    </row>
    <row r="181">
      <c r="A181" s="100"/>
      <c r="B181" s="100"/>
      <c r="C181" s="100"/>
      <c r="D181" s="100"/>
      <c r="E181" s="100"/>
      <c r="F181" s="100"/>
      <c r="G181" s="100"/>
    </row>
    <row r="182">
      <c r="A182" s="100"/>
      <c r="B182" s="100"/>
      <c r="C182" s="100"/>
      <c r="D182" s="100"/>
      <c r="E182" s="100"/>
      <c r="F182" s="100"/>
      <c r="G182" s="100"/>
    </row>
    <row r="183">
      <c r="A183" s="100"/>
      <c r="B183" s="100"/>
      <c r="C183" s="100"/>
      <c r="D183" s="100"/>
      <c r="E183" s="100"/>
      <c r="F183" s="100"/>
      <c r="G183" s="100"/>
    </row>
    <row r="184">
      <c r="A184" s="100"/>
      <c r="B184" s="100"/>
      <c r="C184" s="100"/>
      <c r="D184" s="100"/>
      <c r="E184" s="100"/>
      <c r="F184" s="100"/>
      <c r="G184" s="100"/>
    </row>
    <row r="185">
      <c r="A185" s="100"/>
      <c r="B185" s="100"/>
      <c r="C185" s="100"/>
      <c r="D185" s="100"/>
      <c r="E185" s="100"/>
      <c r="F185" s="100"/>
      <c r="G185" s="100"/>
    </row>
    <row r="186">
      <c r="A186" s="100"/>
      <c r="B186" s="100"/>
      <c r="C186" s="100"/>
      <c r="D186" s="100"/>
      <c r="E186" s="100"/>
      <c r="F186" s="100"/>
      <c r="G186" s="100"/>
    </row>
    <row r="187">
      <c r="A187" s="100"/>
      <c r="B187" s="100"/>
      <c r="C187" s="100"/>
      <c r="D187" s="100"/>
      <c r="E187" s="100"/>
      <c r="F187" s="100"/>
      <c r="G187" s="100"/>
    </row>
    <row r="188">
      <c r="A188" s="100"/>
      <c r="B188" s="100"/>
      <c r="C188" s="100"/>
      <c r="D188" s="100"/>
      <c r="E188" s="100"/>
      <c r="F188" s="100"/>
      <c r="G188" s="100"/>
    </row>
    <row r="189">
      <c r="A189" s="100"/>
      <c r="B189" s="100"/>
      <c r="C189" s="100"/>
      <c r="D189" s="100"/>
      <c r="E189" s="100"/>
      <c r="F189" s="100"/>
      <c r="G189" s="100"/>
    </row>
    <row r="190">
      <c r="A190" s="100"/>
      <c r="B190" s="100"/>
      <c r="C190" s="100"/>
      <c r="D190" s="100"/>
      <c r="E190" s="100"/>
      <c r="F190" s="100"/>
      <c r="G190" s="100"/>
    </row>
    <row r="191">
      <c r="A191" s="100"/>
      <c r="B191" s="100"/>
      <c r="C191" s="100"/>
      <c r="D191" s="100"/>
      <c r="E191" s="100"/>
      <c r="F191" s="100"/>
      <c r="G191" s="100"/>
    </row>
    <row r="192">
      <c r="A192" s="100"/>
      <c r="B192" s="100"/>
      <c r="C192" s="100"/>
      <c r="D192" s="100"/>
      <c r="E192" s="100"/>
      <c r="F192" s="100"/>
      <c r="G192" s="100"/>
    </row>
    <row r="193">
      <c r="A193" s="100"/>
      <c r="B193" s="100"/>
      <c r="C193" s="100"/>
      <c r="D193" s="100"/>
      <c r="E193" s="100"/>
      <c r="F193" s="100"/>
      <c r="G193" s="100"/>
    </row>
    <row r="194">
      <c r="A194" s="100"/>
      <c r="B194" s="100"/>
      <c r="C194" s="100"/>
      <c r="D194" s="100"/>
      <c r="E194" s="100"/>
      <c r="F194" s="100"/>
      <c r="G194" s="100"/>
    </row>
    <row r="195">
      <c r="A195" s="100"/>
      <c r="B195" s="100"/>
      <c r="C195" s="100"/>
      <c r="D195" s="100"/>
      <c r="E195" s="100"/>
      <c r="F195" s="100"/>
      <c r="G195" s="100"/>
    </row>
    <row r="196">
      <c r="A196" s="100"/>
      <c r="B196" s="100"/>
      <c r="C196" s="100"/>
      <c r="D196" s="100"/>
      <c r="E196" s="100"/>
      <c r="F196" s="100"/>
      <c r="G196" s="100"/>
    </row>
    <row r="197">
      <c r="A197" s="100"/>
      <c r="B197" s="100"/>
      <c r="C197" s="100"/>
      <c r="D197" s="100"/>
      <c r="E197" s="100"/>
      <c r="F197" s="100"/>
      <c r="G197" s="100"/>
    </row>
    <row r="198">
      <c r="A198" s="100"/>
      <c r="B198" s="100"/>
      <c r="C198" s="100"/>
      <c r="D198" s="100"/>
      <c r="E198" s="100"/>
      <c r="F198" s="100"/>
      <c r="G198" s="100"/>
    </row>
    <row r="199">
      <c r="A199" s="100"/>
      <c r="B199" s="100"/>
      <c r="C199" s="100"/>
      <c r="D199" s="100"/>
      <c r="E199" s="100"/>
      <c r="F199" s="100"/>
      <c r="G199" s="100"/>
    </row>
    <row r="200">
      <c r="A200" s="100"/>
      <c r="B200" s="100"/>
      <c r="C200" s="100"/>
      <c r="D200" s="100"/>
      <c r="E200" s="100"/>
      <c r="F200" s="100"/>
      <c r="G200" s="100"/>
    </row>
    <row r="201">
      <c r="A201" s="100"/>
      <c r="B201" s="100"/>
      <c r="C201" s="100"/>
      <c r="D201" s="100"/>
      <c r="E201" s="100"/>
      <c r="F201" s="100"/>
      <c r="G201" s="100"/>
    </row>
    <row r="202">
      <c r="A202" s="100"/>
      <c r="B202" s="100"/>
      <c r="C202" s="100"/>
      <c r="D202" s="100"/>
      <c r="E202" s="100"/>
      <c r="F202" s="100"/>
      <c r="G202" s="100"/>
    </row>
    <row r="203">
      <c r="A203" s="100"/>
      <c r="B203" s="100"/>
      <c r="C203" s="100"/>
      <c r="D203" s="100"/>
      <c r="E203" s="100"/>
      <c r="F203" s="100"/>
      <c r="G203" s="100"/>
    </row>
    <row r="204">
      <c r="A204" s="100"/>
      <c r="B204" s="100"/>
      <c r="C204" s="100"/>
      <c r="D204" s="100"/>
      <c r="E204" s="100"/>
      <c r="F204" s="100"/>
      <c r="G204" s="100"/>
    </row>
    <row r="205">
      <c r="A205" s="100"/>
      <c r="B205" s="100"/>
      <c r="C205" s="100"/>
      <c r="D205" s="100"/>
      <c r="E205" s="100"/>
      <c r="F205" s="100"/>
      <c r="G205" s="100"/>
    </row>
    <row r="206">
      <c r="A206" s="100"/>
      <c r="B206" s="100"/>
      <c r="C206" s="100"/>
      <c r="D206" s="100"/>
      <c r="E206" s="100"/>
      <c r="F206" s="100"/>
      <c r="G206" s="100"/>
    </row>
    <row r="207">
      <c r="A207" s="100"/>
      <c r="B207" s="100"/>
      <c r="C207" s="100"/>
      <c r="D207" s="100"/>
      <c r="E207" s="100"/>
      <c r="F207" s="100"/>
      <c r="G207" s="100"/>
    </row>
    <row r="208">
      <c r="A208" s="100"/>
      <c r="B208" s="100"/>
      <c r="C208" s="100"/>
      <c r="D208" s="100"/>
      <c r="E208" s="100"/>
      <c r="F208" s="100"/>
      <c r="G208" s="100"/>
    </row>
    <row r="209">
      <c r="A209" s="100"/>
      <c r="B209" s="100"/>
      <c r="C209" s="100"/>
      <c r="D209" s="100"/>
      <c r="E209" s="100"/>
      <c r="F209" s="100"/>
      <c r="G209" s="100"/>
    </row>
    <row r="210">
      <c r="A210" s="100"/>
      <c r="B210" s="100"/>
      <c r="C210" s="100"/>
      <c r="D210" s="100"/>
      <c r="E210" s="100"/>
      <c r="F210" s="100"/>
      <c r="G210" s="100"/>
    </row>
    <row r="211">
      <c r="A211" s="100"/>
      <c r="B211" s="100"/>
      <c r="C211" s="100"/>
      <c r="D211" s="100"/>
      <c r="E211" s="100"/>
      <c r="F211" s="100"/>
      <c r="G211" s="100"/>
    </row>
    <row r="212">
      <c r="A212" s="100"/>
      <c r="B212" s="100"/>
      <c r="C212" s="100"/>
      <c r="D212" s="100"/>
      <c r="E212" s="100"/>
      <c r="F212" s="100"/>
      <c r="G212" s="100"/>
    </row>
    <row r="213">
      <c r="A213" s="100"/>
      <c r="B213" s="100"/>
      <c r="C213" s="100"/>
      <c r="D213" s="100"/>
      <c r="E213" s="100"/>
      <c r="F213" s="100"/>
      <c r="G213" s="100"/>
    </row>
    <row r="214">
      <c r="A214" s="100"/>
      <c r="B214" s="100"/>
      <c r="C214" s="100"/>
      <c r="D214" s="100"/>
      <c r="E214" s="100"/>
      <c r="F214" s="100"/>
      <c r="G214" s="100"/>
    </row>
    <row r="215">
      <c r="A215" s="100"/>
      <c r="B215" s="100"/>
      <c r="C215" s="100"/>
      <c r="D215" s="100"/>
      <c r="E215" s="100"/>
      <c r="F215" s="100"/>
      <c r="G215" s="100"/>
    </row>
    <row r="216">
      <c r="A216" s="100"/>
      <c r="B216" s="100"/>
      <c r="C216" s="100"/>
      <c r="D216" s="100"/>
      <c r="E216" s="100"/>
      <c r="F216" s="100"/>
      <c r="G216" s="100"/>
    </row>
    <row r="217">
      <c r="A217" s="100"/>
      <c r="B217" s="100"/>
      <c r="C217" s="100"/>
      <c r="D217" s="100"/>
      <c r="E217" s="100"/>
      <c r="F217" s="100"/>
      <c r="G217" s="100"/>
    </row>
    <row r="218">
      <c r="A218" s="100"/>
      <c r="B218" s="100"/>
      <c r="C218" s="100"/>
      <c r="D218" s="100"/>
      <c r="E218" s="100"/>
      <c r="F218" s="100"/>
      <c r="G218" s="100"/>
    </row>
    <row r="219">
      <c r="A219" s="100"/>
      <c r="B219" s="100"/>
      <c r="C219" s="100"/>
      <c r="D219" s="100"/>
      <c r="E219" s="100"/>
      <c r="F219" s="100"/>
      <c r="G219" s="100"/>
    </row>
    <row r="220">
      <c r="A220" s="100"/>
      <c r="B220" s="100"/>
      <c r="C220" s="100"/>
      <c r="D220" s="100"/>
      <c r="E220" s="100"/>
      <c r="F220" s="100"/>
      <c r="G220" s="100"/>
    </row>
    <row r="221">
      <c r="A221" s="100"/>
      <c r="B221" s="100"/>
      <c r="C221" s="100"/>
      <c r="D221" s="100"/>
      <c r="E221" s="100"/>
      <c r="F221" s="100"/>
      <c r="G221" s="100"/>
    </row>
    <row r="222">
      <c r="A222" s="100"/>
      <c r="B222" s="100"/>
      <c r="C222" s="100"/>
      <c r="D222" s="100"/>
      <c r="E222" s="100"/>
      <c r="F222" s="100"/>
      <c r="G222" s="100"/>
    </row>
    <row r="223">
      <c r="A223" s="100"/>
      <c r="B223" s="100"/>
      <c r="C223" s="100"/>
      <c r="D223" s="100"/>
      <c r="E223" s="100"/>
      <c r="F223" s="100"/>
      <c r="G223" s="100"/>
    </row>
    <row r="224">
      <c r="A224" s="100"/>
      <c r="B224" s="100"/>
      <c r="C224" s="100"/>
      <c r="D224" s="100"/>
      <c r="E224" s="100"/>
      <c r="F224" s="100"/>
      <c r="G224" s="100"/>
    </row>
    <row r="225">
      <c r="A225" s="100"/>
      <c r="B225" s="100"/>
      <c r="C225" s="100"/>
      <c r="D225" s="100"/>
      <c r="E225" s="100"/>
      <c r="F225" s="100"/>
      <c r="G225" s="100"/>
    </row>
    <row r="226">
      <c r="A226" s="100"/>
      <c r="B226" s="100"/>
      <c r="C226" s="100"/>
      <c r="D226" s="100"/>
      <c r="E226" s="100"/>
      <c r="F226" s="100"/>
      <c r="G226" s="100"/>
    </row>
    <row r="227">
      <c r="A227" s="100"/>
      <c r="B227" s="100"/>
      <c r="C227" s="100"/>
      <c r="D227" s="100"/>
      <c r="E227" s="100"/>
      <c r="F227" s="100"/>
      <c r="G227" s="100"/>
    </row>
    <row r="228">
      <c r="A228" s="100"/>
      <c r="B228" s="100"/>
      <c r="C228" s="100"/>
      <c r="D228" s="100"/>
      <c r="E228" s="100"/>
      <c r="F228" s="100"/>
      <c r="G228" s="100"/>
    </row>
    <row r="229">
      <c r="A229" s="100"/>
      <c r="B229" s="100"/>
      <c r="C229" s="100"/>
      <c r="D229" s="100"/>
      <c r="E229" s="100"/>
      <c r="F229" s="100"/>
      <c r="G229" s="100"/>
    </row>
    <row r="230">
      <c r="A230" s="100"/>
      <c r="B230" s="100"/>
      <c r="C230" s="100"/>
      <c r="D230" s="100"/>
      <c r="E230" s="100"/>
      <c r="F230" s="100"/>
      <c r="G230" s="100"/>
    </row>
    <row r="231">
      <c r="A231" s="100"/>
      <c r="B231" s="100"/>
      <c r="C231" s="100"/>
      <c r="D231" s="100"/>
      <c r="E231" s="100"/>
      <c r="F231" s="100"/>
      <c r="G231" s="100"/>
    </row>
    <row r="232">
      <c r="A232" s="100"/>
      <c r="B232" s="100"/>
      <c r="C232" s="100"/>
      <c r="D232" s="100"/>
      <c r="E232" s="100"/>
      <c r="F232" s="100"/>
      <c r="G232" s="100"/>
    </row>
    <row r="233">
      <c r="A233" s="100"/>
      <c r="B233" s="100"/>
      <c r="C233" s="100"/>
      <c r="D233" s="100"/>
      <c r="E233" s="100"/>
      <c r="F233" s="100"/>
      <c r="G233" s="100"/>
    </row>
    <row r="234">
      <c r="A234" s="100"/>
      <c r="B234" s="100"/>
      <c r="C234" s="100"/>
      <c r="D234" s="100"/>
      <c r="E234" s="100"/>
      <c r="F234" s="100"/>
      <c r="G234" s="100"/>
    </row>
    <row r="235">
      <c r="A235" s="100"/>
      <c r="B235" s="100"/>
      <c r="C235" s="100"/>
      <c r="D235" s="100"/>
      <c r="E235" s="100"/>
      <c r="F235" s="100"/>
      <c r="G235" s="100"/>
    </row>
    <row r="236">
      <c r="A236" s="100"/>
      <c r="B236" s="100"/>
      <c r="C236" s="100"/>
      <c r="D236" s="100"/>
      <c r="E236" s="100"/>
      <c r="F236" s="100"/>
      <c r="G236" s="100"/>
    </row>
    <row r="237">
      <c r="A237" s="100"/>
      <c r="B237" s="100"/>
      <c r="C237" s="100"/>
      <c r="D237" s="100"/>
      <c r="E237" s="100"/>
      <c r="F237" s="100"/>
      <c r="G237" s="100"/>
    </row>
    <row r="238">
      <c r="A238" s="100"/>
      <c r="B238" s="100"/>
      <c r="C238" s="100"/>
      <c r="D238" s="100"/>
      <c r="E238" s="100"/>
      <c r="F238" s="100"/>
      <c r="G238" s="100"/>
    </row>
    <row r="239">
      <c r="A239" s="100"/>
      <c r="B239" s="100"/>
      <c r="C239" s="100"/>
      <c r="D239" s="100"/>
      <c r="E239" s="100"/>
      <c r="F239" s="100"/>
      <c r="G239" s="100"/>
    </row>
    <row r="240">
      <c r="A240" s="100"/>
      <c r="B240" s="100"/>
      <c r="C240" s="100"/>
      <c r="D240" s="100"/>
      <c r="E240" s="100"/>
      <c r="F240" s="100"/>
      <c r="G240" s="100"/>
    </row>
    <row r="241">
      <c r="A241" s="100"/>
      <c r="B241" s="100"/>
      <c r="C241" s="100"/>
      <c r="D241" s="100"/>
      <c r="E241" s="100"/>
      <c r="F241" s="100"/>
      <c r="G241" s="100"/>
    </row>
    <row r="242">
      <c r="A242" s="100"/>
      <c r="B242" s="100"/>
      <c r="C242" s="100"/>
      <c r="D242" s="100"/>
      <c r="E242" s="100"/>
      <c r="F242" s="100"/>
      <c r="G242" s="100"/>
    </row>
    <row r="243">
      <c r="A243" s="100"/>
      <c r="B243" s="100"/>
      <c r="C243" s="100"/>
      <c r="D243" s="100"/>
      <c r="E243" s="100"/>
      <c r="F243" s="100"/>
      <c r="G243" s="100"/>
    </row>
    <row r="244">
      <c r="A244" s="100"/>
      <c r="B244" s="100"/>
      <c r="C244" s="100"/>
      <c r="D244" s="100"/>
      <c r="E244" s="100"/>
      <c r="F244" s="100"/>
      <c r="G244" s="100"/>
    </row>
    <row r="245">
      <c r="A245" s="100"/>
      <c r="B245" s="100"/>
      <c r="C245" s="100"/>
      <c r="D245" s="100"/>
      <c r="E245" s="100"/>
      <c r="F245" s="100"/>
      <c r="G245" s="100"/>
    </row>
    <row r="246">
      <c r="A246" s="100"/>
      <c r="B246" s="100"/>
      <c r="C246" s="100"/>
      <c r="D246" s="100"/>
      <c r="E246" s="100"/>
      <c r="F246" s="100"/>
      <c r="G246" s="100"/>
    </row>
    <row r="247">
      <c r="A247" s="100"/>
      <c r="B247" s="100"/>
      <c r="C247" s="100"/>
      <c r="D247" s="100"/>
      <c r="E247" s="100"/>
      <c r="F247" s="100"/>
      <c r="G247" s="100"/>
    </row>
    <row r="248">
      <c r="A248" s="100"/>
      <c r="B248" s="100"/>
      <c r="C248" s="100"/>
      <c r="D248" s="100"/>
      <c r="E248" s="100"/>
      <c r="F248" s="100"/>
      <c r="G248" s="100"/>
    </row>
    <row r="249">
      <c r="A249" s="100"/>
      <c r="B249" s="100"/>
      <c r="C249" s="100"/>
      <c r="D249" s="100"/>
      <c r="E249" s="100"/>
      <c r="F249" s="100"/>
      <c r="G249" s="100"/>
    </row>
    <row r="250">
      <c r="A250" s="100"/>
      <c r="B250" s="100"/>
      <c r="C250" s="100"/>
      <c r="D250" s="100"/>
      <c r="E250" s="100"/>
      <c r="F250" s="100"/>
      <c r="G250" s="100"/>
    </row>
    <row r="251">
      <c r="A251" s="100"/>
      <c r="B251" s="100"/>
      <c r="C251" s="100"/>
      <c r="D251" s="100"/>
      <c r="E251" s="100"/>
      <c r="F251" s="100"/>
      <c r="G251" s="100"/>
    </row>
    <row r="252">
      <c r="A252" s="100"/>
      <c r="B252" s="100"/>
      <c r="C252" s="100"/>
      <c r="D252" s="100"/>
      <c r="E252" s="100"/>
      <c r="F252" s="100"/>
      <c r="G252" s="100"/>
    </row>
    <row r="253">
      <c r="A253" s="100"/>
      <c r="B253" s="100"/>
      <c r="C253" s="100"/>
      <c r="D253" s="100"/>
      <c r="E253" s="100"/>
      <c r="F253" s="100"/>
      <c r="G253" s="100"/>
    </row>
    <row r="254">
      <c r="A254" s="100"/>
      <c r="B254" s="100"/>
      <c r="C254" s="100"/>
      <c r="D254" s="100"/>
      <c r="E254" s="100"/>
      <c r="F254" s="100"/>
      <c r="G254" s="100"/>
    </row>
    <row r="255">
      <c r="A255" s="100"/>
      <c r="B255" s="100"/>
      <c r="C255" s="100"/>
      <c r="D255" s="100"/>
      <c r="E255" s="100"/>
      <c r="F255" s="100"/>
      <c r="G255" s="100"/>
    </row>
    <row r="256">
      <c r="A256" s="100"/>
      <c r="B256" s="100"/>
      <c r="C256" s="100"/>
      <c r="D256" s="100"/>
      <c r="E256" s="100"/>
      <c r="F256" s="100"/>
      <c r="G256" s="100"/>
    </row>
    <row r="257">
      <c r="A257" s="100"/>
      <c r="B257" s="100"/>
      <c r="C257" s="100"/>
      <c r="D257" s="100"/>
      <c r="E257" s="100"/>
      <c r="F257" s="100"/>
      <c r="G257" s="100"/>
    </row>
    <row r="258">
      <c r="A258" s="100"/>
      <c r="B258" s="100"/>
      <c r="C258" s="100"/>
      <c r="D258" s="100"/>
      <c r="E258" s="100"/>
      <c r="F258" s="100"/>
      <c r="G258" s="100"/>
    </row>
    <row r="259">
      <c r="A259" s="100"/>
      <c r="B259" s="100"/>
      <c r="C259" s="100"/>
      <c r="D259" s="100"/>
      <c r="E259" s="100"/>
      <c r="F259" s="100"/>
      <c r="G259" s="100"/>
    </row>
    <row r="260">
      <c r="A260" s="100"/>
      <c r="B260" s="100"/>
      <c r="C260" s="100"/>
      <c r="D260" s="100"/>
      <c r="E260" s="100"/>
      <c r="F260" s="100"/>
      <c r="G260" s="100"/>
    </row>
    <row r="261">
      <c r="A261" s="100"/>
      <c r="B261" s="100"/>
      <c r="C261" s="100"/>
      <c r="D261" s="100"/>
      <c r="E261" s="100"/>
      <c r="F261" s="100"/>
      <c r="G261" s="100"/>
    </row>
    <row r="262">
      <c r="A262" s="100"/>
      <c r="B262" s="100"/>
      <c r="C262" s="100"/>
      <c r="D262" s="100"/>
      <c r="E262" s="100"/>
      <c r="F262" s="100"/>
      <c r="G262" s="100"/>
    </row>
    <row r="263">
      <c r="A263" s="100"/>
      <c r="B263" s="100"/>
      <c r="C263" s="100"/>
      <c r="D263" s="100"/>
      <c r="E263" s="100"/>
      <c r="F263" s="100"/>
      <c r="G263" s="100"/>
    </row>
    <row r="264">
      <c r="A264" s="100"/>
      <c r="B264" s="100"/>
      <c r="C264" s="100"/>
      <c r="D264" s="100"/>
      <c r="E264" s="100"/>
      <c r="F264" s="100"/>
      <c r="G264" s="100"/>
    </row>
    <row r="265">
      <c r="A265" s="100"/>
      <c r="B265" s="100"/>
      <c r="C265" s="100"/>
      <c r="D265" s="100"/>
      <c r="E265" s="100"/>
      <c r="F265" s="100"/>
      <c r="G265" s="100"/>
    </row>
    <row r="266">
      <c r="A266" s="100"/>
      <c r="B266" s="100"/>
      <c r="C266" s="100"/>
      <c r="D266" s="100"/>
      <c r="E266" s="100"/>
      <c r="F266" s="100"/>
      <c r="G266" s="100"/>
    </row>
    <row r="267">
      <c r="A267" s="100"/>
      <c r="B267" s="100"/>
      <c r="C267" s="100"/>
      <c r="D267" s="100"/>
      <c r="E267" s="100"/>
      <c r="F267" s="100"/>
      <c r="G267" s="100"/>
    </row>
    <row r="268">
      <c r="A268" s="100"/>
      <c r="B268" s="100"/>
      <c r="C268" s="100"/>
      <c r="D268" s="100"/>
      <c r="E268" s="100"/>
      <c r="F268" s="100"/>
      <c r="G268" s="100"/>
    </row>
    <row r="269">
      <c r="A269" s="100"/>
      <c r="B269" s="100"/>
      <c r="C269" s="100"/>
      <c r="D269" s="100"/>
      <c r="E269" s="100"/>
      <c r="F269" s="100"/>
      <c r="G269" s="100"/>
    </row>
    <row r="270">
      <c r="A270" s="100"/>
      <c r="B270" s="100"/>
      <c r="C270" s="100"/>
      <c r="D270" s="100"/>
      <c r="E270" s="100"/>
      <c r="F270" s="100"/>
      <c r="G270" s="100"/>
    </row>
    <row r="271">
      <c r="A271" s="100"/>
      <c r="B271" s="100"/>
      <c r="C271" s="100"/>
      <c r="D271" s="100"/>
      <c r="E271" s="100"/>
      <c r="F271" s="100"/>
      <c r="G271" s="100"/>
    </row>
    <row r="272">
      <c r="A272" s="100"/>
      <c r="B272" s="100"/>
      <c r="C272" s="100"/>
      <c r="D272" s="100"/>
      <c r="E272" s="100"/>
      <c r="F272" s="100"/>
      <c r="G272" s="100"/>
    </row>
    <row r="273">
      <c r="A273" s="100"/>
      <c r="B273" s="100"/>
      <c r="C273" s="100"/>
      <c r="D273" s="100"/>
      <c r="E273" s="100"/>
      <c r="F273" s="100"/>
      <c r="G273" s="100"/>
    </row>
    <row r="274">
      <c r="A274" s="100"/>
      <c r="B274" s="100"/>
      <c r="C274" s="100"/>
      <c r="D274" s="100"/>
      <c r="E274" s="100"/>
      <c r="F274" s="100"/>
      <c r="G274" s="100"/>
    </row>
    <row r="275">
      <c r="A275" s="100"/>
      <c r="B275" s="100"/>
      <c r="C275" s="100"/>
      <c r="D275" s="100"/>
      <c r="E275" s="100"/>
      <c r="F275" s="100"/>
      <c r="G275" s="100"/>
    </row>
    <row r="276">
      <c r="A276" s="100"/>
      <c r="B276" s="100"/>
      <c r="C276" s="100"/>
      <c r="D276" s="100"/>
      <c r="E276" s="100"/>
      <c r="F276" s="100"/>
      <c r="G276" s="100"/>
    </row>
    <row r="277">
      <c r="A277" s="100"/>
      <c r="B277" s="100"/>
      <c r="C277" s="100"/>
      <c r="D277" s="100"/>
      <c r="E277" s="100"/>
      <c r="F277" s="100"/>
      <c r="G277" s="100"/>
    </row>
    <row r="278">
      <c r="A278" s="100"/>
      <c r="B278" s="100"/>
      <c r="C278" s="100"/>
      <c r="D278" s="100"/>
      <c r="E278" s="100"/>
      <c r="F278" s="100"/>
      <c r="G278" s="100"/>
    </row>
    <row r="279">
      <c r="A279" s="100"/>
      <c r="B279" s="100"/>
      <c r="C279" s="100"/>
      <c r="D279" s="100"/>
      <c r="E279" s="100"/>
      <c r="F279" s="100"/>
      <c r="G279" s="100"/>
    </row>
    <row r="280">
      <c r="A280" s="100"/>
      <c r="B280" s="100"/>
      <c r="C280" s="100"/>
      <c r="D280" s="100"/>
      <c r="E280" s="100"/>
      <c r="F280" s="100"/>
      <c r="G280" s="100"/>
    </row>
    <row r="281">
      <c r="A281" s="100"/>
      <c r="B281" s="100"/>
      <c r="C281" s="100"/>
      <c r="D281" s="100"/>
      <c r="E281" s="100"/>
      <c r="F281" s="100"/>
      <c r="G281" s="100"/>
    </row>
    <row r="282">
      <c r="A282" s="100"/>
      <c r="B282" s="100"/>
      <c r="C282" s="100"/>
      <c r="D282" s="100"/>
      <c r="E282" s="100"/>
      <c r="F282" s="100"/>
      <c r="G282" s="100"/>
    </row>
    <row r="283">
      <c r="A283" s="100"/>
      <c r="B283" s="100"/>
      <c r="C283" s="100"/>
      <c r="D283" s="100"/>
      <c r="E283" s="100"/>
      <c r="F283" s="100"/>
      <c r="G283" s="100"/>
    </row>
    <row r="284">
      <c r="A284" s="100"/>
      <c r="B284" s="100"/>
      <c r="C284" s="100"/>
      <c r="D284" s="100"/>
      <c r="E284" s="100"/>
      <c r="F284" s="100"/>
      <c r="G284" s="100"/>
    </row>
    <row r="285">
      <c r="A285" s="100"/>
      <c r="B285" s="100"/>
      <c r="C285" s="100"/>
      <c r="D285" s="100"/>
      <c r="E285" s="100"/>
      <c r="F285" s="100"/>
      <c r="G285" s="100"/>
    </row>
    <row r="286">
      <c r="A286" s="100"/>
      <c r="B286" s="100"/>
      <c r="C286" s="100"/>
      <c r="D286" s="100"/>
      <c r="E286" s="100"/>
      <c r="F286" s="100"/>
      <c r="G286" s="100"/>
    </row>
    <row r="287">
      <c r="A287" s="100"/>
      <c r="B287" s="100"/>
      <c r="C287" s="100"/>
      <c r="D287" s="100"/>
      <c r="E287" s="100"/>
      <c r="F287" s="100"/>
      <c r="G287" s="100"/>
    </row>
    <row r="288">
      <c r="A288" s="100"/>
      <c r="B288" s="100"/>
      <c r="C288" s="100"/>
      <c r="D288" s="100"/>
      <c r="E288" s="100"/>
      <c r="F288" s="100"/>
      <c r="G288" s="100"/>
    </row>
    <row r="289">
      <c r="A289" s="100"/>
      <c r="B289" s="100"/>
      <c r="C289" s="100"/>
      <c r="D289" s="100"/>
      <c r="E289" s="100"/>
      <c r="F289" s="100"/>
      <c r="G289" s="100"/>
    </row>
    <row r="290">
      <c r="A290" s="100"/>
      <c r="B290" s="100"/>
      <c r="C290" s="100"/>
      <c r="D290" s="100"/>
      <c r="E290" s="100"/>
      <c r="F290" s="100"/>
      <c r="G290" s="100"/>
    </row>
    <row r="291">
      <c r="A291" s="100"/>
      <c r="B291" s="100"/>
      <c r="C291" s="100"/>
      <c r="D291" s="100"/>
      <c r="E291" s="100"/>
      <c r="F291" s="100"/>
      <c r="G291" s="100"/>
    </row>
    <row r="292">
      <c r="A292" s="100"/>
      <c r="B292" s="100"/>
      <c r="C292" s="100"/>
      <c r="D292" s="100"/>
      <c r="E292" s="100"/>
      <c r="F292" s="100"/>
      <c r="G292" s="100"/>
    </row>
    <row r="293">
      <c r="A293" s="100"/>
      <c r="B293" s="100"/>
      <c r="C293" s="100"/>
      <c r="D293" s="100"/>
      <c r="E293" s="100"/>
      <c r="F293" s="100"/>
      <c r="G293" s="100"/>
    </row>
    <row r="294">
      <c r="A294" s="100"/>
      <c r="B294" s="100"/>
      <c r="C294" s="100"/>
      <c r="D294" s="100"/>
      <c r="E294" s="100"/>
      <c r="F294" s="100"/>
      <c r="G294" s="100"/>
    </row>
    <row r="295">
      <c r="A295" s="100"/>
      <c r="B295" s="100"/>
      <c r="C295" s="100"/>
      <c r="D295" s="100"/>
      <c r="E295" s="100"/>
      <c r="F295" s="100"/>
      <c r="G295" s="100"/>
    </row>
    <row r="296">
      <c r="A296" s="100"/>
      <c r="B296" s="100"/>
      <c r="C296" s="100"/>
      <c r="D296" s="100"/>
      <c r="E296" s="100"/>
      <c r="F296" s="100"/>
      <c r="G296" s="100"/>
    </row>
    <row r="297">
      <c r="A297" s="100"/>
      <c r="B297" s="100"/>
      <c r="C297" s="100"/>
      <c r="D297" s="100"/>
      <c r="E297" s="100"/>
      <c r="F297" s="100"/>
      <c r="G297" s="100"/>
    </row>
    <row r="298">
      <c r="A298" s="100"/>
      <c r="B298" s="100"/>
      <c r="C298" s="100"/>
      <c r="D298" s="100"/>
      <c r="E298" s="100"/>
      <c r="F298" s="100"/>
      <c r="G298" s="100"/>
    </row>
    <row r="299">
      <c r="A299" s="100"/>
      <c r="B299" s="100"/>
      <c r="C299" s="100"/>
      <c r="D299" s="100"/>
      <c r="E299" s="100"/>
      <c r="F299" s="100"/>
      <c r="G299" s="100"/>
    </row>
    <row r="300">
      <c r="A300" s="100"/>
      <c r="B300" s="100"/>
      <c r="C300" s="100"/>
      <c r="D300" s="100"/>
      <c r="E300" s="100"/>
      <c r="F300" s="100"/>
      <c r="G300" s="100"/>
    </row>
    <row r="301">
      <c r="A301" s="100"/>
      <c r="B301" s="100"/>
      <c r="C301" s="100"/>
      <c r="D301" s="100"/>
      <c r="E301" s="100"/>
      <c r="F301" s="100"/>
      <c r="G301" s="100"/>
    </row>
    <row r="302">
      <c r="A302" s="100"/>
      <c r="B302" s="100"/>
      <c r="C302" s="100"/>
      <c r="D302" s="100"/>
      <c r="E302" s="100"/>
      <c r="F302" s="100"/>
      <c r="G302" s="100"/>
    </row>
    <row r="303">
      <c r="A303" s="100"/>
      <c r="B303" s="100"/>
      <c r="C303" s="100"/>
      <c r="D303" s="100"/>
      <c r="E303" s="100"/>
      <c r="F303" s="100"/>
      <c r="G303" s="100"/>
    </row>
    <row r="304">
      <c r="A304" s="100"/>
      <c r="B304" s="100"/>
      <c r="C304" s="100"/>
      <c r="D304" s="100"/>
      <c r="E304" s="100"/>
      <c r="F304" s="100"/>
      <c r="G304" s="100"/>
    </row>
    <row r="305">
      <c r="A305" s="100"/>
      <c r="B305" s="100"/>
      <c r="C305" s="100"/>
      <c r="D305" s="100"/>
      <c r="E305" s="100"/>
      <c r="F305" s="100"/>
      <c r="G305" s="100"/>
    </row>
    <row r="306">
      <c r="A306" s="100"/>
      <c r="B306" s="100"/>
      <c r="C306" s="100"/>
      <c r="D306" s="100"/>
      <c r="E306" s="100"/>
      <c r="F306" s="100"/>
      <c r="G306" s="100"/>
    </row>
    <row r="307">
      <c r="A307" s="100"/>
      <c r="B307" s="100"/>
      <c r="C307" s="100"/>
      <c r="D307" s="100"/>
      <c r="E307" s="100"/>
      <c r="F307" s="100"/>
      <c r="G307" s="100"/>
    </row>
    <row r="308">
      <c r="A308" s="100"/>
      <c r="B308" s="100"/>
      <c r="C308" s="100"/>
      <c r="D308" s="100"/>
      <c r="E308" s="100"/>
      <c r="F308" s="100"/>
      <c r="G308" s="100"/>
    </row>
    <row r="309">
      <c r="A309" s="100"/>
      <c r="B309" s="100"/>
      <c r="C309" s="100"/>
      <c r="D309" s="100"/>
      <c r="E309" s="100"/>
      <c r="F309" s="100"/>
      <c r="G309" s="100"/>
    </row>
    <row r="310">
      <c r="A310" s="100"/>
      <c r="B310" s="100"/>
      <c r="C310" s="100"/>
      <c r="D310" s="100"/>
      <c r="E310" s="100"/>
      <c r="F310" s="100"/>
      <c r="G310" s="100"/>
    </row>
    <row r="311">
      <c r="A311" s="100"/>
      <c r="B311" s="100"/>
      <c r="C311" s="100"/>
      <c r="D311" s="100"/>
      <c r="E311" s="100"/>
      <c r="F311" s="100"/>
      <c r="G311" s="100"/>
    </row>
    <row r="312">
      <c r="A312" s="100"/>
      <c r="B312" s="100"/>
      <c r="C312" s="100"/>
      <c r="D312" s="100"/>
      <c r="E312" s="100"/>
      <c r="F312" s="100"/>
      <c r="G312" s="100"/>
    </row>
    <row r="313">
      <c r="A313" s="100"/>
      <c r="B313" s="100"/>
      <c r="C313" s="100"/>
      <c r="D313" s="100"/>
      <c r="E313" s="100"/>
      <c r="F313" s="100"/>
      <c r="G313" s="100"/>
    </row>
    <row r="314">
      <c r="A314" s="100"/>
      <c r="B314" s="100"/>
      <c r="C314" s="100"/>
      <c r="D314" s="100"/>
      <c r="E314" s="100"/>
      <c r="F314" s="100"/>
      <c r="G314" s="100"/>
    </row>
    <row r="315">
      <c r="A315" s="100"/>
      <c r="B315" s="100"/>
      <c r="C315" s="100"/>
      <c r="D315" s="100"/>
      <c r="E315" s="100"/>
      <c r="F315" s="100"/>
      <c r="G315" s="100"/>
    </row>
    <row r="316">
      <c r="A316" s="100"/>
      <c r="B316" s="100"/>
      <c r="C316" s="100"/>
      <c r="D316" s="100"/>
      <c r="E316" s="100"/>
      <c r="F316" s="100"/>
      <c r="G316" s="100"/>
    </row>
    <row r="317">
      <c r="A317" s="100"/>
      <c r="B317" s="100"/>
      <c r="C317" s="100"/>
      <c r="D317" s="100"/>
      <c r="E317" s="100"/>
      <c r="F317" s="100"/>
      <c r="G317" s="100"/>
    </row>
    <row r="318">
      <c r="A318" s="100"/>
      <c r="B318" s="100"/>
      <c r="C318" s="100"/>
      <c r="D318" s="100"/>
      <c r="E318" s="100"/>
      <c r="F318" s="100"/>
      <c r="G318" s="100"/>
    </row>
    <row r="319">
      <c r="A319" s="100"/>
      <c r="B319" s="100"/>
      <c r="C319" s="100"/>
      <c r="D319" s="100"/>
      <c r="E319" s="100"/>
      <c r="F319" s="100"/>
      <c r="G319" s="100"/>
    </row>
    <row r="320">
      <c r="A320" s="100"/>
      <c r="B320" s="100"/>
      <c r="C320" s="100"/>
      <c r="D320" s="100"/>
      <c r="E320" s="100"/>
      <c r="F320" s="100"/>
      <c r="G320" s="100"/>
    </row>
    <row r="321">
      <c r="A321" s="100"/>
      <c r="B321" s="100"/>
      <c r="C321" s="100"/>
      <c r="D321" s="100"/>
      <c r="E321" s="100"/>
      <c r="F321" s="100"/>
      <c r="G321" s="100"/>
    </row>
    <row r="322">
      <c r="A322" s="100"/>
      <c r="B322" s="100"/>
      <c r="C322" s="100"/>
      <c r="D322" s="100"/>
      <c r="E322" s="100"/>
      <c r="F322" s="100"/>
      <c r="G322" s="100"/>
    </row>
    <row r="323">
      <c r="A323" s="100"/>
      <c r="B323" s="100"/>
      <c r="C323" s="100"/>
      <c r="D323" s="100"/>
      <c r="E323" s="100"/>
      <c r="F323" s="100"/>
      <c r="G323" s="100"/>
    </row>
    <row r="324">
      <c r="A324" s="100"/>
      <c r="B324" s="100"/>
      <c r="C324" s="100"/>
      <c r="D324" s="100"/>
      <c r="E324" s="100"/>
      <c r="F324" s="100"/>
      <c r="G324" s="100"/>
    </row>
    <row r="325">
      <c r="A325" s="100"/>
      <c r="B325" s="100"/>
      <c r="C325" s="100"/>
      <c r="D325" s="100"/>
      <c r="E325" s="100"/>
      <c r="F325" s="100"/>
      <c r="G325" s="100"/>
    </row>
    <row r="326">
      <c r="A326" s="100"/>
      <c r="B326" s="100"/>
      <c r="C326" s="100"/>
      <c r="D326" s="100"/>
      <c r="E326" s="100"/>
      <c r="F326" s="100"/>
      <c r="G326" s="100"/>
    </row>
    <row r="327">
      <c r="A327" s="100"/>
      <c r="B327" s="100"/>
      <c r="C327" s="100"/>
      <c r="D327" s="100"/>
      <c r="E327" s="100"/>
      <c r="F327" s="100"/>
      <c r="G327" s="100"/>
    </row>
    <row r="328">
      <c r="A328" s="100"/>
      <c r="B328" s="100"/>
      <c r="C328" s="100"/>
      <c r="D328" s="100"/>
      <c r="E328" s="100"/>
      <c r="F328" s="100"/>
      <c r="G328" s="100"/>
    </row>
    <row r="329">
      <c r="A329" s="100"/>
      <c r="B329" s="100"/>
      <c r="C329" s="100"/>
      <c r="D329" s="100"/>
      <c r="E329" s="100"/>
      <c r="F329" s="100"/>
      <c r="G329" s="100"/>
    </row>
    <row r="330">
      <c r="A330" s="100"/>
      <c r="B330" s="100"/>
      <c r="C330" s="100"/>
      <c r="D330" s="100"/>
      <c r="E330" s="100"/>
      <c r="F330" s="100"/>
      <c r="G330" s="100"/>
    </row>
    <row r="331">
      <c r="A331" s="100"/>
      <c r="B331" s="100"/>
      <c r="C331" s="100"/>
      <c r="D331" s="100"/>
      <c r="E331" s="100"/>
      <c r="F331" s="100"/>
      <c r="G331" s="100"/>
    </row>
    <row r="332">
      <c r="A332" s="100"/>
      <c r="B332" s="100"/>
      <c r="C332" s="100"/>
      <c r="D332" s="100"/>
      <c r="E332" s="100"/>
      <c r="F332" s="100"/>
      <c r="G332" s="100"/>
    </row>
    <row r="333">
      <c r="A333" s="100"/>
      <c r="B333" s="100"/>
      <c r="C333" s="100"/>
      <c r="D333" s="100"/>
      <c r="E333" s="100"/>
      <c r="F333" s="100"/>
      <c r="G333" s="100"/>
    </row>
    <row r="334">
      <c r="A334" s="100"/>
      <c r="B334" s="100"/>
      <c r="C334" s="100"/>
      <c r="D334" s="100"/>
      <c r="E334" s="100"/>
      <c r="F334" s="100"/>
      <c r="G334" s="100"/>
    </row>
    <row r="335">
      <c r="A335" s="100"/>
      <c r="B335" s="100"/>
      <c r="C335" s="100"/>
      <c r="D335" s="100"/>
      <c r="E335" s="100"/>
      <c r="F335" s="100"/>
      <c r="G335" s="100"/>
    </row>
    <row r="336">
      <c r="A336" s="100"/>
      <c r="B336" s="100"/>
      <c r="C336" s="100"/>
      <c r="D336" s="100"/>
      <c r="E336" s="100"/>
      <c r="F336" s="100"/>
      <c r="G336" s="100"/>
    </row>
    <row r="337">
      <c r="A337" s="100"/>
      <c r="B337" s="100"/>
      <c r="C337" s="100"/>
      <c r="D337" s="100"/>
      <c r="E337" s="100"/>
      <c r="F337" s="100"/>
      <c r="G337" s="100"/>
    </row>
    <row r="338">
      <c r="A338" s="100"/>
      <c r="B338" s="100"/>
      <c r="C338" s="100"/>
      <c r="D338" s="100"/>
      <c r="E338" s="100"/>
      <c r="F338" s="100"/>
      <c r="G338" s="100"/>
    </row>
    <row r="339">
      <c r="A339" s="100"/>
      <c r="B339" s="100"/>
      <c r="C339" s="100"/>
      <c r="D339" s="100"/>
      <c r="E339" s="100"/>
      <c r="F339" s="100"/>
      <c r="G339" s="100"/>
    </row>
    <row r="340">
      <c r="A340" s="100"/>
      <c r="B340" s="100"/>
      <c r="C340" s="100"/>
      <c r="D340" s="100"/>
      <c r="E340" s="100"/>
      <c r="F340" s="100"/>
      <c r="G340" s="100"/>
    </row>
    <row r="341">
      <c r="A341" s="100"/>
      <c r="B341" s="100"/>
      <c r="C341" s="100"/>
      <c r="D341" s="100"/>
      <c r="E341" s="100"/>
      <c r="F341" s="100"/>
      <c r="G341" s="100"/>
    </row>
    <row r="342">
      <c r="A342" s="100"/>
      <c r="B342" s="100"/>
      <c r="C342" s="100"/>
      <c r="D342" s="100"/>
      <c r="E342" s="100"/>
      <c r="F342" s="100"/>
      <c r="G342" s="100"/>
    </row>
    <row r="343">
      <c r="A343" s="100"/>
      <c r="B343" s="100"/>
      <c r="C343" s="100"/>
      <c r="D343" s="100"/>
      <c r="E343" s="100"/>
      <c r="F343" s="100"/>
      <c r="G343" s="100"/>
    </row>
    <row r="344">
      <c r="A344" s="100"/>
      <c r="B344" s="100"/>
      <c r="C344" s="100"/>
      <c r="D344" s="100"/>
      <c r="E344" s="100"/>
      <c r="F344" s="100"/>
      <c r="G344" s="100"/>
    </row>
    <row r="345">
      <c r="A345" s="100"/>
      <c r="B345" s="100"/>
      <c r="C345" s="100"/>
      <c r="D345" s="100"/>
      <c r="E345" s="100"/>
      <c r="F345" s="100"/>
      <c r="G345" s="100"/>
    </row>
    <row r="346">
      <c r="A346" s="100"/>
      <c r="B346" s="100"/>
      <c r="C346" s="100"/>
      <c r="D346" s="100"/>
      <c r="E346" s="100"/>
      <c r="F346" s="100"/>
      <c r="G346" s="100"/>
    </row>
    <row r="347">
      <c r="A347" s="100"/>
      <c r="B347" s="100"/>
      <c r="C347" s="100"/>
      <c r="D347" s="100"/>
      <c r="E347" s="100"/>
      <c r="F347" s="100"/>
      <c r="G347" s="100"/>
    </row>
    <row r="348">
      <c r="A348" s="100"/>
      <c r="B348" s="100"/>
      <c r="C348" s="100"/>
      <c r="D348" s="100"/>
      <c r="E348" s="100"/>
      <c r="F348" s="100"/>
      <c r="G348" s="100"/>
    </row>
    <row r="349">
      <c r="A349" s="100"/>
      <c r="B349" s="100"/>
      <c r="C349" s="100"/>
      <c r="D349" s="100"/>
      <c r="E349" s="100"/>
      <c r="F349" s="100"/>
      <c r="G349" s="100"/>
    </row>
    <row r="350">
      <c r="A350" s="100"/>
      <c r="B350" s="100"/>
      <c r="C350" s="100"/>
      <c r="D350" s="100"/>
      <c r="E350" s="100"/>
      <c r="F350" s="100"/>
      <c r="G350" s="100"/>
    </row>
    <row r="351">
      <c r="A351" s="100"/>
      <c r="B351" s="100"/>
      <c r="C351" s="100"/>
      <c r="D351" s="100"/>
      <c r="E351" s="100"/>
      <c r="F351" s="100"/>
      <c r="G351" s="100"/>
    </row>
    <row r="352">
      <c r="A352" s="100"/>
      <c r="B352" s="100"/>
      <c r="C352" s="100"/>
      <c r="D352" s="100"/>
      <c r="E352" s="100"/>
      <c r="F352" s="100"/>
      <c r="G352" s="100"/>
    </row>
    <row r="353">
      <c r="A353" s="100"/>
      <c r="B353" s="100"/>
      <c r="C353" s="100"/>
      <c r="D353" s="100"/>
      <c r="E353" s="100"/>
      <c r="F353" s="100"/>
      <c r="G353" s="100"/>
    </row>
    <row r="354">
      <c r="A354" s="100"/>
      <c r="B354" s="100"/>
      <c r="C354" s="100"/>
      <c r="D354" s="100"/>
      <c r="E354" s="100"/>
      <c r="F354" s="100"/>
      <c r="G354" s="100"/>
    </row>
    <row r="355">
      <c r="A355" s="100"/>
      <c r="B355" s="100"/>
      <c r="C355" s="100"/>
      <c r="D355" s="100"/>
      <c r="E355" s="100"/>
      <c r="F355" s="100"/>
      <c r="G355" s="100"/>
    </row>
    <row r="356">
      <c r="A356" s="100"/>
      <c r="B356" s="100"/>
      <c r="C356" s="100"/>
      <c r="D356" s="100"/>
      <c r="E356" s="100"/>
      <c r="F356" s="100"/>
      <c r="G356" s="100"/>
    </row>
    <row r="357">
      <c r="A357" s="100"/>
      <c r="B357" s="100"/>
      <c r="C357" s="100"/>
      <c r="D357" s="100"/>
      <c r="E357" s="100"/>
      <c r="F357" s="100"/>
      <c r="G357" s="100"/>
    </row>
    <row r="358">
      <c r="A358" s="100"/>
      <c r="B358" s="100"/>
      <c r="C358" s="100"/>
      <c r="D358" s="100"/>
      <c r="E358" s="100"/>
      <c r="F358" s="100"/>
      <c r="G358" s="100"/>
    </row>
    <row r="359">
      <c r="A359" s="100"/>
      <c r="B359" s="100"/>
      <c r="C359" s="100"/>
      <c r="D359" s="100"/>
      <c r="E359" s="100"/>
      <c r="F359" s="100"/>
      <c r="G359" s="100"/>
    </row>
    <row r="360">
      <c r="A360" s="100"/>
      <c r="B360" s="100"/>
      <c r="C360" s="100"/>
      <c r="D360" s="100"/>
      <c r="E360" s="100"/>
      <c r="F360" s="100"/>
      <c r="G360" s="100"/>
    </row>
    <row r="361">
      <c r="A361" s="100"/>
      <c r="B361" s="100"/>
      <c r="C361" s="100"/>
      <c r="D361" s="100"/>
      <c r="E361" s="100"/>
      <c r="F361" s="100"/>
      <c r="G361" s="100"/>
    </row>
    <row r="362">
      <c r="A362" s="100"/>
      <c r="B362" s="100"/>
      <c r="C362" s="100"/>
      <c r="D362" s="100"/>
      <c r="E362" s="100"/>
      <c r="F362" s="100"/>
      <c r="G362" s="100"/>
    </row>
    <row r="363">
      <c r="A363" s="100"/>
      <c r="B363" s="100"/>
      <c r="C363" s="100"/>
      <c r="D363" s="100"/>
      <c r="E363" s="100"/>
      <c r="F363" s="100"/>
      <c r="G363" s="100"/>
    </row>
    <row r="364">
      <c r="A364" s="100"/>
      <c r="B364" s="100"/>
      <c r="C364" s="100"/>
      <c r="D364" s="100"/>
      <c r="E364" s="100"/>
      <c r="F364" s="100"/>
      <c r="G364" s="100"/>
    </row>
    <row r="365">
      <c r="A365" s="100"/>
      <c r="B365" s="100"/>
      <c r="C365" s="100"/>
      <c r="D365" s="100"/>
      <c r="E365" s="100"/>
      <c r="F365" s="100"/>
      <c r="G365" s="100"/>
    </row>
    <row r="366">
      <c r="A366" s="100"/>
      <c r="B366" s="100"/>
      <c r="C366" s="100"/>
      <c r="D366" s="100"/>
      <c r="E366" s="100"/>
      <c r="F366" s="100"/>
      <c r="G366" s="100"/>
    </row>
    <row r="367">
      <c r="A367" s="100"/>
      <c r="B367" s="100"/>
      <c r="C367" s="100"/>
      <c r="D367" s="100"/>
      <c r="E367" s="100"/>
      <c r="F367" s="100"/>
      <c r="G367" s="100"/>
    </row>
    <row r="368">
      <c r="A368" s="100"/>
      <c r="B368" s="100"/>
      <c r="C368" s="100"/>
      <c r="D368" s="100"/>
      <c r="E368" s="100"/>
      <c r="F368" s="100"/>
      <c r="G368" s="100"/>
    </row>
    <row r="369">
      <c r="A369" s="100"/>
      <c r="B369" s="100"/>
      <c r="C369" s="100"/>
      <c r="D369" s="100"/>
      <c r="E369" s="100"/>
      <c r="F369" s="100"/>
      <c r="G369" s="100"/>
    </row>
    <row r="370">
      <c r="A370" s="100"/>
      <c r="B370" s="100"/>
      <c r="C370" s="100"/>
      <c r="D370" s="100"/>
      <c r="E370" s="100"/>
      <c r="F370" s="100"/>
      <c r="G370" s="100"/>
    </row>
    <row r="371">
      <c r="A371" s="100"/>
      <c r="B371" s="100"/>
      <c r="C371" s="100"/>
      <c r="D371" s="100"/>
      <c r="E371" s="100"/>
      <c r="F371" s="100"/>
      <c r="G371" s="100"/>
    </row>
    <row r="372">
      <c r="A372" s="100"/>
      <c r="B372" s="100"/>
      <c r="C372" s="100"/>
      <c r="D372" s="100"/>
      <c r="E372" s="100"/>
      <c r="F372" s="100"/>
      <c r="G372" s="100"/>
    </row>
    <row r="373">
      <c r="A373" s="100"/>
      <c r="B373" s="100"/>
      <c r="C373" s="100"/>
      <c r="D373" s="100"/>
      <c r="E373" s="100"/>
      <c r="F373" s="100"/>
      <c r="G373" s="100"/>
    </row>
    <row r="374">
      <c r="A374" s="100"/>
      <c r="B374" s="100"/>
      <c r="C374" s="100"/>
      <c r="D374" s="100"/>
      <c r="E374" s="100"/>
      <c r="F374" s="100"/>
      <c r="G374" s="100"/>
    </row>
    <row r="375">
      <c r="A375" s="100"/>
      <c r="B375" s="100"/>
      <c r="C375" s="100"/>
      <c r="D375" s="100"/>
      <c r="E375" s="100"/>
      <c r="F375" s="100"/>
      <c r="G375" s="100"/>
    </row>
    <row r="376">
      <c r="A376" s="100"/>
      <c r="B376" s="100"/>
      <c r="C376" s="100"/>
      <c r="D376" s="100"/>
      <c r="E376" s="100"/>
      <c r="F376" s="100"/>
      <c r="G376" s="100"/>
    </row>
    <row r="377">
      <c r="A377" s="100"/>
      <c r="B377" s="100"/>
      <c r="C377" s="100"/>
      <c r="D377" s="100"/>
      <c r="E377" s="100"/>
      <c r="F377" s="100"/>
      <c r="G377" s="100"/>
    </row>
    <row r="378">
      <c r="A378" s="100"/>
      <c r="B378" s="100"/>
      <c r="C378" s="100"/>
      <c r="D378" s="100"/>
      <c r="E378" s="100"/>
      <c r="F378" s="100"/>
      <c r="G378" s="100"/>
    </row>
    <row r="379">
      <c r="A379" s="100"/>
      <c r="B379" s="100"/>
      <c r="C379" s="100"/>
      <c r="D379" s="100"/>
      <c r="E379" s="100"/>
      <c r="F379" s="100"/>
      <c r="G379" s="100"/>
    </row>
    <row r="380">
      <c r="A380" s="100"/>
      <c r="B380" s="100"/>
      <c r="C380" s="100"/>
      <c r="D380" s="100"/>
      <c r="E380" s="100"/>
      <c r="F380" s="100"/>
      <c r="G380" s="100"/>
    </row>
    <row r="381">
      <c r="A381" s="100"/>
      <c r="B381" s="100"/>
      <c r="C381" s="100"/>
      <c r="D381" s="100"/>
      <c r="E381" s="100"/>
      <c r="F381" s="100"/>
      <c r="G381" s="100"/>
    </row>
    <row r="382">
      <c r="A382" s="100"/>
      <c r="B382" s="100"/>
      <c r="C382" s="100"/>
      <c r="D382" s="100"/>
      <c r="E382" s="100"/>
      <c r="F382" s="100"/>
      <c r="G382" s="100"/>
    </row>
    <row r="383">
      <c r="A383" s="100"/>
      <c r="B383" s="100"/>
      <c r="C383" s="100"/>
      <c r="D383" s="100"/>
      <c r="E383" s="100"/>
      <c r="F383" s="100"/>
      <c r="G383" s="100"/>
    </row>
    <row r="384">
      <c r="A384" s="100"/>
      <c r="B384" s="100"/>
      <c r="C384" s="100"/>
      <c r="D384" s="100"/>
      <c r="E384" s="100"/>
      <c r="F384" s="100"/>
      <c r="G384" s="100"/>
    </row>
    <row r="385">
      <c r="A385" s="100"/>
      <c r="B385" s="100"/>
      <c r="C385" s="100"/>
      <c r="D385" s="100"/>
      <c r="E385" s="100"/>
      <c r="F385" s="100"/>
      <c r="G385" s="100"/>
    </row>
    <row r="386">
      <c r="A386" s="100"/>
      <c r="B386" s="100"/>
      <c r="C386" s="100"/>
      <c r="D386" s="100"/>
      <c r="E386" s="100"/>
      <c r="F386" s="100"/>
      <c r="G386" s="100"/>
    </row>
    <row r="387">
      <c r="A387" s="100"/>
      <c r="B387" s="100"/>
      <c r="C387" s="100"/>
      <c r="D387" s="100"/>
      <c r="E387" s="100"/>
      <c r="F387" s="100"/>
      <c r="G387" s="100"/>
    </row>
    <row r="388">
      <c r="A388" s="100"/>
      <c r="B388" s="100"/>
      <c r="C388" s="100"/>
      <c r="D388" s="100"/>
      <c r="E388" s="100"/>
      <c r="F388" s="100"/>
      <c r="G388" s="100"/>
    </row>
    <row r="389">
      <c r="A389" s="100"/>
      <c r="B389" s="100"/>
      <c r="C389" s="100"/>
      <c r="D389" s="100"/>
      <c r="E389" s="100"/>
      <c r="F389" s="100"/>
      <c r="G389" s="100"/>
    </row>
    <row r="390">
      <c r="A390" s="100"/>
      <c r="B390" s="100"/>
      <c r="C390" s="100"/>
      <c r="D390" s="100"/>
      <c r="E390" s="100"/>
      <c r="F390" s="100"/>
      <c r="G390" s="100"/>
    </row>
    <row r="391">
      <c r="A391" s="100"/>
      <c r="B391" s="100"/>
      <c r="C391" s="100"/>
      <c r="D391" s="100"/>
      <c r="E391" s="100"/>
      <c r="F391" s="100"/>
      <c r="G391" s="100"/>
    </row>
    <row r="392">
      <c r="A392" s="100"/>
      <c r="B392" s="100"/>
      <c r="C392" s="100"/>
      <c r="D392" s="100"/>
      <c r="E392" s="100"/>
      <c r="F392" s="100"/>
      <c r="G392" s="100"/>
    </row>
    <row r="393">
      <c r="A393" s="100"/>
      <c r="B393" s="100"/>
      <c r="C393" s="100"/>
      <c r="D393" s="100"/>
      <c r="E393" s="100"/>
      <c r="F393" s="100"/>
      <c r="G393" s="100"/>
    </row>
    <row r="394">
      <c r="A394" s="100"/>
      <c r="B394" s="100"/>
      <c r="C394" s="100"/>
      <c r="D394" s="100"/>
      <c r="E394" s="100"/>
      <c r="F394" s="100"/>
      <c r="G394" s="100"/>
    </row>
    <row r="395">
      <c r="A395" s="100"/>
      <c r="B395" s="100"/>
      <c r="C395" s="100"/>
      <c r="D395" s="100"/>
      <c r="E395" s="100"/>
      <c r="F395" s="100"/>
      <c r="G395" s="100"/>
    </row>
    <row r="396">
      <c r="A396" s="100"/>
      <c r="B396" s="100"/>
      <c r="C396" s="100"/>
      <c r="D396" s="100"/>
      <c r="E396" s="100"/>
      <c r="F396" s="100"/>
      <c r="G396" s="100"/>
    </row>
    <row r="397">
      <c r="A397" s="100"/>
      <c r="B397" s="100"/>
      <c r="C397" s="100"/>
      <c r="D397" s="100"/>
      <c r="E397" s="100"/>
      <c r="F397" s="100"/>
      <c r="G397" s="100"/>
    </row>
    <row r="398">
      <c r="A398" s="100"/>
      <c r="B398" s="100"/>
      <c r="C398" s="100"/>
      <c r="D398" s="100"/>
      <c r="E398" s="100"/>
      <c r="F398" s="100"/>
      <c r="G398" s="100"/>
    </row>
    <row r="399">
      <c r="A399" s="100"/>
      <c r="B399" s="100"/>
      <c r="C399" s="100"/>
      <c r="D399" s="100"/>
      <c r="E399" s="100"/>
      <c r="F399" s="100"/>
      <c r="G399" s="100"/>
    </row>
    <row r="400">
      <c r="A400" s="100"/>
      <c r="B400" s="100"/>
      <c r="C400" s="100"/>
      <c r="D400" s="100"/>
      <c r="E400" s="100"/>
      <c r="F400" s="100"/>
      <c r="G400" s="100"/>
    </row>
    <row r="401">
      <c r="A401" s="100"/>
      <c r="B401" s="100"/>
      <c r="C401" s="100"/>
      <c r="D401" s="100"/>
      <c r="E401" s="100"/>
      <c r="F401" s="100"/>
      <c r="G401" s="100"/>
    </row>
    <row r="402">
      <c r="A402" s="100"/>
      <c r="B402" s="100"/>
      <c r="C402" s="100"/>
      <c r="D402" s="100"/>
      <c r="E402" s="100"/>
      <c r="F402" s="100"/>
      <c r="G402" s="100"/>
    </row>
    <row r="403">
      <c r="A403" s="100"/>
      <c r="B403" s="100"/>
      <c r="C403" s="100"/>
      <c r="D403" s="100"/>
      <c r="E403" s="100"/>
      <c r="F403" s="100"/>
      <c r="G403" s="100"/>
    </row>
    <row r="404">
      <c r="A404" s="100"/>
      <c r="B404" s="100"/>
      <c r="C404" s="100"/>
      <c r="D404" s="100"/>
      <c r="E404" s="100"/>
      <c r="F404" s="100"/>
      <c r="G404" s="100"/>
    </row>
    <row r="405">
      <c r="A405" s="100"/>
      <c r="B405" s="100"/>
      <c r="C405" s="100"/>
      <c r="D405" s="100"/>
      <c r="E405" s="100"/>
      <c r="F405" s="100"/>
      <c r="G405" s="100"/>
    </row>
    <row r="406">
      <c r="A406" s="100"/>
      <c r="B406" s="100"/>
      <c r="C406" s="100"/>
      <c r="D406" s="100"/>
      <c r="E406" s="100"/>
      <c r="F406" s="100"/>
      <c r="G406" s="100"/>
    </row>
    <row r="407">
      <c r="A407" s="100"/>
      <c r="B407" s="100"/>
      <c r="C407" s="100"/>
      <c r="D407" s="100"/>
      <c r="E407" s="100"/>
      <c r="F407" s="100"/>
      <c r="G407" s="100"/>
    </row>
    <row r="408">
      <c r="A408" s="100"/>
      <c r="B408" s="100"/>
      <c r="C408" s="100"/>
      <c r="D408" s="100"/>
      <c r="E408" s="100"/>
      <c r="F408" s="100"/>
      <c r="G408" s="100"/>
    </row>
    <row r="409">
      <c r="A409" s="100"/>
      <c r="B409" s="100"/>
      <c r="C409" s="100"/>
      <c r="D409" s="100"/>
      <c r="E409" s="100"/>
      <c r="F409" s="100"/>
      <c r="G409" s="100"/>
    </row>
    <row r="410">
      <c r="A410" s="100"/>
      <c r="B410" s="100"/>
      <c r="C410" s="100"/>
      <c r="D410" s="100"/>
      <c r="E410" s="100"/>
      <c r="F410" s="100"/>
      <c r="G410" s="100"/>
    </row>
    <row r="411">
      <c r="A411" s="100"/>
      <c r="B411" s="100"/>
      <c r="C411" s="100"/>
      <c r="D411" s="100"/>
      <c r="E411" s="100"/>
      <c r="F411" s="100"/>
      <c r="G411" s="100"/>
    </row>
    <row r="412">
      <c r="A412" s="100"/>
      <c r="B412" s="100"/>
      <c r="C412" s="100"/>
      <c r="D412" s="100"/>
      <c r="E412" s="100"/>
      <c r="F412" s="100"/>
      <c r="G412" s="100"/>
    </row>
    <row r="413">
      <c r="A413" s="100"/>
      <c r="B413" s="100"/>
      <c r="C413" s="100"/>
      <c r="D413" s="100"/>
      <c r="E413" s="100"/>
      <c r="F413" s="100"/>
      <c r="G413" s="100"/>
    </row>
    <row r="414">
      <c r="A414" s="100"/>
      <c r="B414" s="100"/>
      <c r="C414" s="100"/>
      <c r="D414" s="100"/>
      <c r="E414" s="100"/>
      <c r="F414" s="100"/>
      <c r="G414" s="100"/>
    </row>
    <row r="415">
      <c r="A415" s="100"/>
      <c r="B415" s="100"/>
      <c r="C415" s="100"/>
      <c r="D415" s="100"/>
      <c r="E415" s="100"/>
      <c r="F415" s="100"/>
      <c r="G415" s="100"/>
    </row>
    <row r="416">
      <c r="A416" s="100"/>
      <c r="B416" s="100"/>
      <c r="C416" s="100"/>
      <c r="D416" s="100"/>
      <c r="E416" s="100"/>
      <c r="F416" s="100"/>
      <c r="G416" s="100"/>
    </row>
    <row r="417">
      <c r="A417" s="100"/>
      <c r="B417" s="100"/>
      <c r="C417" s="100"/>
      <c r="D417" s="100"/>
      <c r="E417" s="100"/>
      <c r="F417" s="100"/>
      <c r="G417" s="100"/>
    </row>
    <row r="418">
      <c r="A418" s="100"/>
      <c r="B418" s="100"/>
      <c r="C418" s="100"/>
      <c r="D418" s="100"/>
      <c r="E418" s="100"/>
      <c r="F418" s="100"/>
      <c r="G418" s="100"/>
    </row>
    <row r="419">
      <c r="A419" s="100"/>
      <c r="B419" s="100"/>
      <c r="C419" s="100"/>
      <c r="D419" s="100"/>
      <c r="E419" s="100"/>
      <c r="F419" s="100"/>
      <c r="G419" s="100"/>
    </row>
    <row r="420">
      <c r="A420" s="100"/>
      <c r="B420" s="100"/>
      <c r="C420" s="100"/>
      <c r="D420" s="100"/>
      <c r="E420" s="100"/>
      <c r="F420" s="100"/>
      <c r="G420" s="100"/>
    </row>
    <row r="421">
      <c r="A421" s="100"/>
      <c r="B421" s="100"/>
      <c r="C421" s="100"/>
      <c r="D421" s="100"/>
      <c r="E421" s="100"/>
      <c r="F421" s="100"/>
      <c r="G421" s="100"/>
    </row>
    <row r="422">
      <c r="A422" s="100"/>
      <c r="B422" s="100"/>
      <c r="C422" s="100"/>
      <c r="D422" s="100"/>
      <c r="E422" s="100"/>
      <c r="F422" s="100"/>
      <c r="G422" s="100"/>
    </row>
    <row r="423">
      <c r="A423" s="100"/>
      <c r="B423" s="100"/>
      <c r="C423" s="100"/>
      <c r="D423" s="100"/>
      <c r="E423" s="100"/>
      <c r="F423" s="100"/>
      <c r="G423" s="100"/>
    </row>
    <row r="424">
      <c r="A424" s="100"/>
      <c r="B424" s="100"/>
      <c r="C424" s="100"/>
      <c r="D424" s="100"/>
      <c r="E424" s="100"/>
      <c r="F424" s="100"/>
      <c r="G424" s="100"/>
    </row>
    <row r="425">
      <c r="A425" s="100"/>
      <c r="B425" s="100"/>
      <c r="C425" s="100"/>
      <c r="D425" s="100"/>
      <c r="E425" s="100"/>
      <c r="F425" s="100"/>
      <c r="G425" s="100"/>
    </row>
    <row r="426">
      <c r="A426" s="100"/>
      <c r="B426" s="100"/>
      <c r="C426" s="100"/>
      <c r="D426" s="100"/>
      <c r="E426" s="100"/>
      <c r="F426" s="100"/>
      <c r="G426" s="100"/>
    </row>
    <row r="427">
      <c r="A427" s="100"/>
      <c r="B427" s="100"/>
      <c r="C427" s="100"/>
      <c r="D427" s="100"/>
      <c r="E427" s="100"/>
      <c r="F427" s="100"/>
      <c r="G427" s="100"/>
    </row>
    <row r="428">
      <c r="A428" s="100"/>
      <c r="B428" s="100"/>
      <c r="C428" s="100"/>
      <c r="D428" s="100"/>
      <c r="E428" s="100"/>
      <c r="F428" s="100"/>
      <c r="G428" s="100"/>
    </row>
    <row r="429">
      <c r="A429" s="100"/>
      <c r="B429" s="100"/>
      <c r="C429" s="100"/>
      <c r="D429" s="100"/>
      <c r="E429" s="100"/>
      <c r="F429" s="100"/>
      <c r="G429" s="100"/>
    </row>
    <row r="430">
      <c r="A430" s="100"/>
      <c r="B430" s="100"/>
      <c r="C430" s="100"/>
      <c r="D430" s="100"/>
      <c r="E430" s="100"/>
      <c r="F430" s="100"/>
      <c r="G430" s="100"/>
    </row>
    <row r="431">
      <c r="A431" s="100"/>
      <c r="B431" s="100"/>
      <c r="C431" s="100"/>
      <c r="D431" s="100"/>
      <c r="E431" s="100"/>
      <c r="F431" s="100"/>
      <c r="G431" s="100"/>
    </row>
    <row r="432">
      <c r="A432" s="100"/>
      <c r="B432" s="100"/>
      <c r="C432" s="100"/>
      <c r="D432" s="100"/>
      <c r="E432" s="100"/>
      <c r="F432" s="100"/>
      <c r="G432" s="100"/>
    </row>
    <row r="433">
      <c r="A433" s="100"/>
      <c r="B433" s="100"/>
      <c r="C433" s="100"/>
      <c r="D433" s="100"/>
      <c r="E433" s="100"/>
      <c r="F433" s="100"/>
      <c r="G433" s="100"/>
    </row>
    <row r="434">
      <c r="A434" s="100"/>
      <c r="B434" s="100"/>
      <c r="C434" s="100"/>
      <c r="D434" s="100"/>
      <c r="E434" s="100"/>
      <c r="F434" s="100"/>
      <c r="G434" s="100"/>
    </row>
    <row r="435">
      <c r="A435" s="100"/>
      <c r="B435" s="100"/>
      <c r="C435" s="100"/>
      <c r="D435" s="100"/>
      <c r="E435" s="100"/>
      <c r="F435" s="100"/>
      <c r="G435" s="100"/>
    </row>
    <row r="436">
      <c r="A436" s="100"/>
      <c r="B436" s="100"/>
      <c r="C436" s="100"/>
      <c r="D436" s="100"/>
      <c r="E436" s="100"/>
      <c r="F436" s="100"/>
      <c r="G436" s="100"/>
    </row>
    <row r="437">
      <c r="A437" s="100"/>
      <c r="B437" s="100"/>
      <c r="C437" s="100"/>
      <c r="D437" s="100"/>
      <c r="E437" s="100"/>
      <c r="F437" s="100"/>
      <c r="G437" s="100"/>
    </row>
    <row r="438">
      <c r="A438" s="100"/>
      <c r="B438" s="100"/>
      <c r="C438" s="100"/>
      <c r="D438" s="100"/>
      <c r="E438" s="100"/>
      <c r="F438" s="100"/>
      <c r="G438" s="100"/>
    </row>
    <row r="439">
      <c r="A439" s="100"/>
      <c r="B439" s="100"/>
      <c r="C439" s="100"/>
      <c r="D439" s="100"/>
      <c r="E439" s="100"/>
      <c r="F439" s="100"/>
      <c r="G439" s="100"/>
    </row>
    <row r="440">
      <c r="A440" s="100"/>
      <c r="B440" s="100"/>
      <c r="C440" s="100"/>
      <c r="D440" s="100"/>
      <c r="E440" s="100"/>
      <c r="F440" s="100"/>
      <c r="G440" s="100"/>
    </row>
    <row r="441">
      <c r="A441" s="100"/>
      <c r="B441" s="100"/>
      <c r="C441" s="100"/>
      <c r="D441" s="100"/>
      <c r="E441" s="100"/>
      <c r="F441" s="100"/>
      <c r="G441" s="100"/>
    </row>
    <row r="442">
      <c r="A442" s="100"/>
      <c r="B442" s="100"/>
      <c r="C442" s="100"/>
      <c r="D442" s="100"/>
      <c r="E442" s="100"/>
      <c r="F442" s="100"/>
      <c r="G442" s="100"/>
    </row>
    <row r="443">
      <c r="A443" s="100"/>
      <c r="B443" s="100"/>
      <c r="C443" s="100"/>
      <c r="D443" s="100"/>
      <c r="E443" s="100"/>
      <c r="F443" s="100"/>
      <c r="G443" s="100"/>
    </row>
    <row r="444">
      <c r="A444" s="100"/>
      <c r="B444" s="100"/>
      <c r="C444" s="100"/>
      <c r="D444" s="100"/>
      <c r="E444" s="100"/>
      <c r="F444" s="100"/>
      <c r="G444" s="100"/>
    </row>
    <row r="445">
      <c r="A445" s="100"/>
      <c r="B445" s="100"/>
      <c r="C445" s="100"/>
      <c r="D445" s="100"/>
      <c r="E445" s="100"/>
      <c r="F445" s="100"/>
      <c r="G445" s="100"/>
    </row>
    <row r="446">
      <c r="A446" s="100"/>
      <c r="B446" s="100"/>
      <c r="C446" s="100"/>
      <c r="D446" s="100"/>
      <c r="E446" s="100"/>
      <c r="F446" s="100"/>
      <c r="G446" s="100"/>
    </row>
    <row r="447">
      <c r="A447" s="100"/>
      <c r="B447" s="100"/>
      <c r="C447" s="100"/>
      <c r="D447" s="100"/>
      <c r="E447" s="100"/>
      <c r="F447" s="100"/>
      <c r="G447" s="100"/>
    </row>
    <row r="448">
      <c r="A448" s="100"/>
      <c r="B448" s="100"/>
      <c r="C448" s="100"/>
      <c r="D448" s="100"/>
      <c r="E448" s="100"/>
      <c r="F448" s="100"/>
      <c r="G448" s="100"/>
    </row>
    <row r="449">
      <c r="A449" s="100"/>
      <c r="B449" s="100"/>
      <c r="C449" s="100"/>
      <c r="D449" s="100"/>
      <c r="E449" s="100"/>
      <c r="F449" s="100"/>
      <c r="G449" s="100"/>
    </row>
    <row r="450">
      <c r="A450" s="100"/>
      <c r="B450" s="100"/>
      <c r="C450" s="100"/>
      <c r="D450" s="100"/>
      <c r="E450" s="100"/>
      <c r="F450" s="100"/>
      <c r="G450" s="100"/>
    </row>
    <row r="451">
      <c r="A451" s="100"/>
      <c r="B451" s="100"/>
      <c r="C451" s="100"/>
      <c r="D451" s="100"/>
      <c r="E451" s="100"/>
      <c r="F451" s="100"/>
      <c r="G451" s="100"/>
    </row>
    <row r="452">
      <c r="A452" s="100"/>
      <c r="B452" s="100"/>
      <c r="C452" s="100"/>
      <c r="D452" s="100"/>
      <c r="E452" s="100"/>
      <c r="F452" s="100"/>
      <c r="G452" s="100"/>
    </row>
    <row r="453">
      <c r="A453" s="100"/>
      <c r="B453" s="100"/>
      <c r="C453" s="100"/>
      <c r="D453" s="100"/>
      <c r="E453" s="100"/>
      <c r="F453" s="100"/>
      <c r="G453" s="100"/>
    </row>
    <row r="454">
      <c r="A454" s="100"/>
      <c r="B454" s="100"/>
      <c r="C454" s="100"/>
      <c r="D454" s="100"/>
      <c r="E454" s="100"/>
      <c r="F454" s="100"/>
      <c r="G454" s="100"/>
    </row>
    <row r="455">
      <c r="A455" s="100"/>
      <c r="B455" s="100"/>
      <c r="C455" s="100"/>
      <c r="D455" s="100"/>
      <c r="E455" s="100"/>
      <c r="F455" s="100"/>
      <c r="G455" s="100"/>
    </row>
    <row r="456">
      <c r="A456" s="100"/>
      <c r="B456" s="100"/>
      <c r="C456" s="100"/>
      <c r="D456" s="100"/>
      <c r="E456" s="100"/>
      <c r="F456" s="100"/>
      <c r="G456" s="100"/>
    </row>
    <row r="457">
      <c r="A457" s="100"/>
      <c r="B457" s="100"/>
      <c r="C457" s="100"/>
      <c r="D457" s="100"/>
      <c r="E457" s="100"/>
      <c r="F457" s="100"/>
      <c r="G457" s="100"/>
    </row>
    <row r="458">
      <c r="A458" s="100"/>
      <c r="B458" s="100"/>
      <c r="C458" s="100"/>
      <c r="D458" s="100"/>
      <c r="E458" s="100"/>
      <c r="F458" s="100"/>
      <c r="G458" s="100"/>
    </row>
    <row r="459">
      <c r="A459" s="100"/>
      <c r="B459" s="100"/>
      <c r="C459" s="100"/>
      <c r="D459" s="100"/>
      <c r="E459" s="100"/>
      <c r="F459" s="100"/>
      <c r="G459" s="100"/>
    </row>
    <row r="460">
      <c r="A460" s="100"/>
      <c r="B460" s="100"/>
      <c r="C460" s="100"/>
      <c r="D460" s="100"/>
      <c r="E460" s="100"/>
      <c r="F460" s="100"/>
      <c r="G460" s="100"/>
    </row>
    <row r="461">
      <c r="A461" s="100"/>
      <c r="B461" s="100"/>
      <c r="C461" s="100"/>
      <c r="D461" s="100"/>
      <c r="E461" s="100"/>
      <c r="F461" s="100"/>
      <c r="G461" s="100"/>
    </row>
    <row r="462">
      <c r="A462" s="100"/>
      <c r="B462" s="100"/>
      <c r="C462" s="100"/>
      <c r="D462" s="100"/>
      <c r="E462" s="100"/>
      <c r="F462" s="100"/>
      <c r="G462" s="100"/>
    </row>
    <row r="463">
      <c r="A463" s="100"/>
      <c r="B463" s="100"/>
      <c r="C463" s="100"/>
      <c r="D463" s="100"/>
      <c r="E463" s="100"/>
      <c r="F463" s="100"/>
      <c r="G463" s="100"/>
    </row>
    <row r="464">
      <c r="A464" s="100"/>
      <c r="B464" s="100"/>
      <c r="C464" s="100"/>
      <c r="D464" s="100"/>
      <c r="E464" s="100"/>
      <c r="F464" s="100"/>
      <c r="G464" s="100"/>
    </row>
    <row r="465">
      <c r="A465" s="100"/>
      <c r="B465" s="100"/>
      <c r="C465" s="100"/>
      <c r="D465" s="100"/>
      <c r="E465" s="100"/>
      <c r="F465" s="100"/>
      <c r="G465" s="100"/>
    </row>
    <row r="466">
      <c r="A466" s="100"/>
      <c r="B466" s="100"/>
      <c r="C466" s="100"/>
      <c r="D466" s="100"/>
      <c r="E466" s="100"/>
      <c r="F466" s="100"/>
      <c r="G466" s="100"/>
    </row>
    <row r="467">
      <c r="A467" s="100"/>
      <c r="B467" s="100"/>
      <c r="C467" s="100"/>
      <c r="D467" s="100"/>
      <c r="E467" s="100"/>
      <c r="F467" s="100"/>
      <c r="G467" s="100"/>
    </row>
    <row r="468">
      <c r="A468" s="100"/>
      <c r="B468" s="100"/>
      <c r="C468" s="100"/>
      <c r="D468" s="100"/>
      <c r="E468" s="100"/>
      <c r="F468" s="100"/>
      <c r="G468" s="100"/>
    </row>
    <row r="469">
      <c r="A469" s="100"/>
      <c r="B469" s="100"/>
      <c r="C469" s="100"/>
      <c r="D469" s="100"/>
      <c r="E469" s="100"/>
      <c r="F469" s="100"/>
      <c r="G469" s="100"/>
    </row>
    <row r="470">
      <c r="A470" s="100"/>
      <c r="B470" s="100"/>
      <c r="C470" s="100"/>
      <c r="D470" s="100"/>
      <c r="E470" s="100"/>
      <c r="F470" s="100"/>
      <c r="G470" s="100"/>
    </row>
    <row r="471">
      <c r="A471" s="100"/>
      <c r="B471" s="100"/>
      <c r="C471" s="100"/>
      <c r="D471" s="100"/>
      <c r="E471" s="100"/>
      <c r="F471" s="100"/>
      <c r="G471" s="100"/>
    </row>
    <row r="472">
      <c r="A472" s="100"/>
      <c r="B472" s="100"/>
      <c r="C472" s="100"/>
      <c r="D472" s="100"/>
      <c r="E472" s="100"/>
      <c r="F472" s="100"/>
      <c r="G472" s="100"/>
    </row>
    <row r="473">
      <c r="A473" s="100"/>
      <c r="B473" s="100"/>
      <c r="C473" s="100"/>
      <c r="D473" s="100"/>
      <c r="E473" s="100"/>
      <c r="F473" s="100"/>
      <c r="G473" s="100"/>
    </row>
    <row r="474">
      <c r="A474" s="100"/>
      <c r="B474" s="100"/>
      <c r="C474" s="100"/>
      <c r="D474" s="100"/>
      <c r="E474" s="100"/>
      <c r="F474" s="100"/>
      <c r="G474" s="100"/>
    </row>
    <row r="475">
      <c r="A475" s="100"/>
      <c r="B475" s="100"/>
      <c r="C475" s="100"/>
      <c r="D475" s="100"/>
      <c r="E475" s="100"/>
      <c r="F475" s="100"/>
      <c r="G475" s="100"/>
    </row>
    <row r="476">
      <c r="A476" s="100"/>
      <c r="B476" s="100"/>
      <c r="C476" s="100"/>
      <c r="D476" s="100"/>
      <c r="E476" s="100"/>
      <c r="F476" s="100"/>
      <c r="G476" s="100"/>
    </row>
    <row r="477">
      <c r="A477" s="100"/>
      <c r="B477" s="100"/>
      <c r="C477" s="100"/>
      <c r="D477" s="100"/>
      <c r="E477" s="100"/>
      <c r="F477" s="100"/>
      <c r="G477" s="100"/>
    </row>
    <row r="478">
      <c r="A478" s="100"/>
      <c r="B478" s="100"/>
      <c r="C478" s="100"/>
      <c r="D478" s="100"/>
      <c r="E478" s="100"/>
      <c r="F478" s="100"/>
      <c r="G478" s="100"/>
    </row>
    <row r="479">
      <c r="A479" s="100"/>
      <c r="B479" s="100"/>
      <c r="C479" s="100"/>
      <c r="D479" s="100"/>
      <c r="E479" s="100"/>
      <c r="F479" s="100"/>
      <c r="G479" s="100"/>
    </row>
    <row r="480">
      <c r="A480" s="100"/>
      <c r="B480" s="100"/>
      <c r="C480" s="100"/>
      <c r="D480" s="100"/>
      <c r="E480" s="100"/>
      <c r="F480" s="100"/>
      <c r="G480" s="100"/>
    </row>
    <row r="481">
      <c r="A481" s="100"/>
      <c r="B481" s="100"/>
      <c r="C481" s="100"/>
      <c r="D481" s="100"/>
      <c r="E481" s="100"/>
      <c r="F481" s="100"/>
      <c r="G481" s="100"/>
    </row>
    <row r="482">
      <c r="A482" s="100"/>
      <c r="B482" s="100"/>
      <c r="C482" s="100"/>
      <c r="D482" s="100"/>
      <c r="E482" s="100"/>
      <c r="F482" s="100"/>
      <c r="G482" s="100"/>
    </row>
    <row r="483">
      <c r="A483" s="100"/>
      <c r="B483" s="100"/>
      <c r="C483" s="100"/>
      <c r="D483" s="100"/>
      <c r="E483" s="100"/>
      <c r="F483" s="100"/>
      <c r="G483" s="100"/>
    </row>
    <row r="484">
      <c r="A484" s="100"/>
      <c r="B484" s="100"/>
      <c r="C484" s="100"/>
      <c r="D484" s="100"/>
      <c r="E484" s="100"/>
      <c r="F484" s="100"/>
      <c r="G484" s="100"/>
    </row>
    <row r="485">
      <c r="A485" s="100"/>
      <c r="B485" s="100"/>
      <c r="C485" s="100"/>
      <c r="D485" s="100"/>
      <c r="E485" s="100"/>
      <c r="F485" s="100"/>
      <c r="G485" s="100"/>
    </row>
    <row r="486">
      <c r="A486" s="100"/>
      <c r="B486" s="100"/>
      <c r="C486" s="100"/>
      <c r="D486" s="100"/>
      <c r="E486" s="100"/>
      <c r="F486" s="100"/>
      <c r="G486" s="100"/>
    </row>
    <row r="487">
      <c r="A487" s="100"/>
      <c r="B487" s="100"/>
      <c r="C487" s="100"/>
      <c r="D487" s="100"/>
      <c r="E487" s="100"/>
      <c r="F487" s="100"/>
      <c r="G487" s="100"/>
    </row>
    <row r="488">
      <c r="A488" s="100"/>
      <c r="B488" s="100"/>
      <c r="C488" s="100"/>
      <c r="D488" s="100"/>
      <c r="E488" s="100"/>
      <c r="F488" s="100"/>
      <c r="G488" s="100"/>
    </row>
    <row r="489">
      <c r="A489" s="100"/>
      <c r="B489" s="100"/>
      <c r="C489" s="100"/>
      <c r="D489" s="100"/>
      <c r="E489" s="100"/>
      <c r="F489" s="100"/>
      <c r="G489" s="100"/>
    </row>
    <row r="490">
      <c r="A490" s="100"/>
      <c r="B490" s="100"/>
      <c r="C490" s="100"/>
      <c r="D490" s="100"/>
      <c r="E490" s="100"/>
      <c r="F490" s="100"/>
      <c r="G490" s="100"/>
    </row>
    <row r="491">
      <c r="A491" s="100"/>
      <c r="B491" s="100"/>
      <c r="C491" s="100"/>
      <c r="D491" s="100"/>
      <c r="E491" s="100"/>
      <c r="F491" s="100"/>
      <c r="G491" s="100"/>
    </row>
    <row r="492">
      <c r="A492" s="100"/>
      <c r="B492" s="100"/>
      <c r="C492" s="100"/>
      <c r="D492" s="100"/>
      <c r="E492" s="100"/>
      <c r="F492" s="100"/>
      <c r="G492" s="100"/>
    </row>
    <row r="493">
      <c r="A493" s="100"/>
      <c r="B493" s="100"/>
      <c r="C493" s="100"/>
      <c r="D493" s="100"/>
      <c r="E493" s="100"/>
      <c r="F493" s="100"/>
      <c r="G493" s="100"/>
    </row>
    <row r="494">
      <c r="A494" s="100"/>
      <c r="B494" s="100"/>
      <c r="C494" s="100"/>
      <c r="D494" s="100"/>
      <c r="E494" s="100"/>
      <c r="F494" s="100"/>
      <c r="G494" s="100"/>
    </row>
    <row r="495">
      <c r="A495" s="100"/>
      <c r="B495" s="100"/>
      <c r="C495" s="100"/>
      <c r="D495" s="100"/>
      <c r="E495" s="100"/>
      <c r="F495" s="100"/>
      <c r="G495" s="100"/>
    </row>
    <row r="496">
      <c r="A496" s="100"/>
      <c r="B496" s="100"/>
      <c r="C496" s="100"/>
      <c r="D496" s="100"/>
      <c r="E496" s="100"/>
      <c r="F496" s="100"/>
      <c r="G496" s="100"/>
    </row>
    <row r="497">
      <c r="A497" s="100"/>
      <c r="B497" s="100"/>
      <c r="C497" s="100"/>
      <c r="D497" s="100"/>
      <c r="E497" s="100"/>
      <c r="F497" s="100"/>
      <c r="G497" s="100"/>
    </row>
    <row r="498">
      <c r="A498" s="100"/>
      <c r="B498" s="100"/>
      <c r="C498" s="100"/>
      <c r="D498" s="100"/>
      <c r="E498" s="100"/>
      <c r="F498" s="100"/>
      <c r="G498" s="100"/>
    </row>
    <row r="499">
      <c r="A499" s="100"/>
      <c r="B499" s="100"/>
      <c r="C499" s="100"/>
      <c r="D499" s="100"/>
      <c r="E499" s="100"/>
      <c r="F499" s="100"/>
      <c r="G499" s="100"/>
    </row>
    <row r="500">
      <c r="A500" s="100"/>
      <c r="B500" s="100"/>
      <c r="C500" s="100"/>
      <c r="D500" s="100"/>
      <c r="E500" s="100"/>
      <c r="F500" s="100"/>
      <c r="G500" s="100"/>
    </row>
    <row r="501">
      <c r="A501" s="100"/>
      <c r="B501" s="100"/>
      <c r="C501" s="100"/>
      <c r="D501" s="100"/>
      <c r="E501" s="100"/>
      <c r="F501" s="100"/>
      <c r="G501" s="100"/>
    </row>
    <row r="502">
      <c r="A502" s="100"/>
      <c r="B502" s="100"/>
      <c r="C502" s="100"/>
      <c r="D502" s="100"/>
      <c r="E502" s="100"/>
      <c r="F502" s="100"/>
      <c r="G502" s="100"/>
    </row>
    <row r="503">
      <c r="A503" s="100"/>
      <c r="B503" s="100"/>
      <c r="C503" s="100"/>
      <c r="D503" s="100"/>
      <c r="E503" s="100"/>
      <c r="F503" s="100"/>
      <c r="G503" s="100"/>
    </row>
    <row r="504">
      <c r="A504" s="100"/>
      <c r="B504" s="100"/>
      <c r="C504" s="100"/>
      <c r="D504" s="100"/>
      <c r="E504" s="100"/>
      <c r="F504" s="100"/>
      <c r="G504" s="100"/>
    </row>
    <row r="505">
      <c r="A505" s="100"/>
      <c r="B505" s="100"/>
      <c r="C505" s="100"/>
      <c r="D505" s="100"/>
      <c r="E505" s="100"/>
      <c r="F505" s="100"/>
      <c r="G505" s="100"/>
    </row>
    <row r="506">
      <c r="A506" s="100"/>
      <c r="B506" s="100"/>
      <c r="C506" s="100"/>
      <c r="D506" s="100"/>
      <c r="E506" s="100"/>
      <c r="F506" s="100"/>
      <c r="G506" s="100"/>
    </row>
    <row r="507">
      <c r="A507" s="100"/>
      <c r="B507" s="100"/>
      <c r="C507" s="100"/>
      <c r="D507" s="100"/>
      <c r="E507" s="100"/>
      <c r="F507" s="100"/>
      <c r="G507" s="100"/>
    </row>
    <row r="508">
      <c r="A508" s="100"/>
      <c r="B508" s="100"/>
      <c r="C508" s="100"/>
      <c r="D508" s="100"/>
      <c r="E508" s="100"/>
      <c r="F508" s="100"/>
      <c r="G508" s="100"/>
    </row>
    <row r="509">
      <c r="A509" s="100"/>
      <c r="B509" s="100"/>
      <c r="C509" s="100"/>
      <c r="D509" s="100"/>
      <c r="E509" s="100"/>
      <c r="F509" s="100"/>
      <c r="G509" s="100"/>
    </row>
    <row r="510">
      <c r="A510" s="100"/>
      <c r="B510" s="100"/>
      <c r="C510" s="100"/>
      <c r="D510" s="100"/>
      <c r="E510" s="100"/>
      <c r="F510" s="100"/>
      <c r="G510" s="100"/>
    </row>
    <row r="511">
      <c r="A511" s="100"/>
      <c r="B511" s="100"/>
      <c r="C511" s="100"/>
      <c r="D511" s="100"/>
      <c r="E511" s="100"/>
      <c r="F511" s="100"/>
      <c r="G511" s="100"/>
    </row>
    <row r="512">
      <c r="A512" s="100"/>
      <c r="B512" s="100"/>
      <c r="C512" s="100"/>
      <c r="D512" s="100"/>
      <c r="E512" s="100"/>
      <c r="F512" s="100"/>
      <c r="G512" s="100"/>
    </row>
    <row r="513">
      <c r="A513" s="100"/>
      <c r="B513" s="100"/>
      <c r="C513" s="100"/>
      <c r="D513" s="100"/>
      <c r="E513" s="100"/>
      <c r="F513" s="100"/>
      <c r="G513" s="100"/>
    </row>
    <row r="514">
      <c r="A514" s="100"/>
      <c r="B514" s="100"/>
      <c r="C514" s="100"/>
      <c r="D514" s="100"/>
      <c r="E514" s="100"/>
      <c r="F514" s="100"/>
      <c r="G514" s="100"/>
    </row>
    <row r="515">
      <c r="A515" s="100"/>
      <c r="B515" s="100"/>
      <c r="C515" s="100"/>
      <c r="D515" s="100"/>
      <c r="E515" s="100"/>
      <c r="F515" s="100"/>
      <c r="G515" s="100"/>
    </row>
    <row r="516">
      <c r="A516" s="100"/>
      <c r="B516" s="100"/>
      <c r="C516" s="100"/>
      <c r="D516" s="100"/>
      <c r="E516" s="100"/>
      <c r="F516" s="100"/>
      <c r="G516" s="100"/>
    </row>
    <row r="517">
      <c r="A517" s="100"/>
      <c r="B517" s="100"/>
      <c r="C517" s="100"/>
      <c r="D517" s="100"/>
      <c r="E517" s="100"/>
      <c r="F517" s="100"/>
      <c r="G517" s="100"/>
    </row>
    <row r="518">
      <c r="A518" s="100"/>
      <c r="B518" s="100"/>
      <c r="C518" s="100"/>
      <c r="D518" s="100"/>
      <c r="E518" s="100"/>
      <c r="F518" s="100"/>
      <c r="G518" s="100"/>
    </row>
    <row r="519">
      <c r="A519" s="100"/>
      <c r="B519" s="100"/>
      <c r="C519" s="100"/>
      <c r="D519" s="100"/>
      <c r="E519" s="100"/>
      <c r="F519" s="100"/>
      <c r="G519" s="100"/>
    </row>
    <row r="520">
      <c r="A520" s="100"/>
      <c r="B520" s="100"/>
      <c r="C520" s="100"/>
      <c r="D520" s="100"/>
      <c r="E520" s="100"/>
      <c r="F520" s="100"/>
      <c r="G520" s="100"/>
    </row>
    <row r="521">
      <c r="A521" s="100"/>
      <c r="B521" s="100"/>
      <c r="C521" s="100"/>
      <c r="D521" s="100"/>
      <c r="E521" s="100"/>
      <c r="F521" s="100"/>
      <c r="G521" s="100"/>
    </row>
    <row r="522">
      <c r="A522" s="100"/>
      <c r="B522" s="100"/>
      <c r="C522" s="100"/>
      <c r="D522" s="100"/>
      <c r="E522" s="100"/>
      <c r="F522" s="100"/>
      <c r="G522" s="100"/>
    </row>
    <row r="523">
      <c r="A523" s="100"/>
      <c r="B523" s="100"/>
      <c r="C523" s="100"/>
      <c r="D523" s="100"/>
      <c r="E523" s="100"/>
      <c r="F523" s="100"/>
      <c r="G523" s="100"/>
    </row>
    <row r="524">
      <c r="A524" s="100"/>
      <c r="B524" s="100"/>
      <c r="C524" s="100"/>
      <c r="D524" s="100"/>
      <c r="E524" s="100"/>
      <c r="F524" s="100"/>
      <c r="G524" s="100"/>
    </row>
    <row r="525">
      <c r="A525" s="100"/>
      <c r="B525" s="100"/>
      <c r="C525" s="100"/>
      <c r="D525" s="100"/>
      <c r="E525" s="100"/>
      <c r="F525" s="100"/>
      <c r="G525" s="100"/>
    </row>
    <row r="526">
      <c r="A526" s="100"/>
      <c r="B526" s="100"/>
      <c r="C526" s="100"/>
      <c r="D526" s="100"/>
      <c r="E526" s="100"/>
      <c r="F526" s="100"/>
      <c r="G526" s="100"/>
    </row>
    <row r="527">
      <c r="A527" s="100"/>
      <c r="B527" s="100"/>
      <c r="C527" s="100"/>
      <c r="D527" s="100"/>
      <c r="E527" s="100"/>
      <c r="F527" s="100"/>
      <c r="G527" s="100"/>
    </row>
    <row r="528">
      <c r="A528" s="100"/>
      <c r="B528" s="100"/>
      <c r="C528" s="100"/>
      <c r="D528" s="100"/>
      <c r="E528" s="100"/>
      <c r="F528" s="100"/>
      <c r="G528" s="100"/>
    </row>
    <row r="529">
      <c r="A529" s="100"/>
      <c r="B529" s="100"/>
      <c r="C529" s="100"/>
      <c r="D529" s="100"/>
      <c r="E529" s="100"/>
      <c r="F529" s="100"/>
      <c r="G529" s="100"/>
    </row>
    <row r="530">
      <c r="A530" s="100"/>
      <c r="B530" s="100"/>
      <c r="C530" s="100"/>
      <c r="D530" s="100"/>
      <c r="E530" s="100"/>
      <c r="F530" s="100"/>
      <c r="G530" s="100"/>
    </row>
    <row r="531">
      <c r="A531" s="100"/>
      <c r="B531" s="100"/>
      <c r="C531" s="100"/>
      <c r="D531" s="100"/>
      <c r="E531" s="100"/>
      <c r="F531" s="100"/>
      <c r="G531" s="100"/>
    </row>
    <row r="532">
      <c r="A532" s="100"/>
      <c r="B532" s="100"/>
      <c r="C532" s="100"/>
      <c r="D532" s="100"/>
      <c r="E532" s="100"/>
      <c r="F532" s="100"/>
      <c r="G532" s="100"/>
    </row>
    <row r="533">
      <c r="A533" s="100"/>
      <c r="B533" s="100"/>
      <c r="C533" s="100"/>
      <c r="D533" s="100"/>
      <c r="E533" s="100"/>
      <c r="F533" s="100"/>
      <c r="G533" s="100"/>
    </row>
    <row r="534">
      <c r="A534" s="100"/>
      <c r="B534" s="100"/>
      <c r="C534" s="100"/>
      <c r="D534" s="100"/>
      <c r="E534" s="100"/>
      <c r="F534" s="100"/>
      <c r="G534" s="100"/>
    </row>
    <row r="535">
      <c r="A535" s="100"/>
      <c r="B535" s="100"/>
      <c r="C535" s="100"/>
      <c r="D535" s="100"/>
      <c r="E535" s="100"/>
      <c r="F535" s="100"/>
      <c r="G535" s="100"/>
    </row>
    <row r="536">
      <c r="A536" s="100"/>
      <c r="B536" s="100"/>
      <c r="C536" s="100"/>
      <c r="D536" s="100"/>
      <c r="E536" s="100"/>
      <c r="F536" s="100"/>
      <c r="G536" s="100"/>
    </row>
    <row r="537">
      <c r="A537" s="100"/>
      <c r="B537" s="100"/>
      <c r="C537" s="100"/>
      <c r="D537" s="100"/>
      <c r="E537" s="100"/>
      <c r="F537" s="100"/>
      <c r="G537" s="100"/>
    </row>
    <row r="538">
      <c r="A538" s="100"/>
      <c r="B538" s="100"/>
      <c r="C538" s="100"/>
      <c r="D538" s="100"/>
      <c r="E538" s="100"/>
      <c r="F538" s="100"/>
      <c r="G538" s="100"/>
    </row>
    <row r="539">
      <c r="A539" s="100"/>
      <c r="B539" s="100"/>
      <c r="C539" s="100"/>
      <c r="D539" s="100"/>
      <c r="E539" s="100"/>
      <c r="F539" s="100"/>
      <c r="G539" s="100"/>
    </row>
    <row r="540">
      <c r="A540" s="100"/>
      <c r="B540" s="100"/>
      <c r="C540" s="100"/>
      <c r="D540" s="100"/>
      <c r="E540" s="100"/>
      <c r="F540" s="100"/>
      <c r="G540" s="100"/>
    </row>
    <row r="541">
      <c r="A541" s="100"/>
      <c r="B541" s="100"/>
      <c r="C541" s="100"/>
      <c r="D541" s="100"/>
      <c r="E541" s="100"/>
      <c r="F541" s="100"/>
      <c r="G541" s="100"/>
    </row>
    <row r="542">
      <c r="A542" s="100"/>
      <c r="B542" s="100"/>
      <c r="C542" s="100"/>
      <c r="D542" s="100"/>
      <c r="E542" s="100"/>
      <c r="F542" s="100"/>
      <c r="G542" s="100"/>
    </row>
    <row r="543">
      <c r="A543" s="100"/>
      <c r="B543" s="100"/>
      <c r="C543" s="100"/>
      <c r="D543" s="100"/>
      <c r="E543" s="100"/>
      <c r="F543" s="100"/>
      <c r="G543" s="100"/>
    </row>
    <row r="544">
      <c r="A544" s="100"/>
      <c r="B544" s="100"/>
      <c r="C544" s="100"/>
      <c r="D544" s="100"/>
      <c r="E544" s="100"/>
      <c r="F544" s="100"/>
      <c r="G544" s="100"/>
    </row>
    <row r="545">
      <c r="A545" s="100"/>
      <c r="B545" s="100"/>
      <c r="C545" s="100"/>
      <c r="D545" s="100"/>
      <c r="E545" s="100"/>
      <c r="F545" s="100"/>
      <c r="G545" s="100"/>
    </row>
    <row r="546">
      <c r="A546" s="100"/>
      <c r="B546" s="100"/>
      <c r="C546" s="100"/>
      <c r="D546" s="100"/>
      <c r="E546" s="100"/>
      <c r="F546" s="100"/>
      <c r="G546" s="100"/>
    </row>
    <row r="547">
      <c r="A547" s="100"/>
      <c r="B547" s="100"/>
      <c r="C547" s="100"/>
      <c r="D547" s="100"/>
      <c r="E547" s="100"/>
      <c r="F547" s="100"/>
      <c r="G547" s="100"/>
    </row>
    <row r="548">
      <c r="A548" s="100"/>
      <c r="B548" s="100"/>
      <c r="C548" s="100"/>
      <c r="D548" s="100"/>
      <c r="E548" s="100"/>
      <c r="F548" s="100"/>
      <c r="G548" s="100"/>
    </row>
    <row r="549">
      <c r="A549" s="100"/>
      <c r="B549" s="100"/>
      <c r="C549" s="100"/>
      <c r="D549" s="100"/>
      <c r="E549" s="100"/>
      <c r="F549" s="100"/>
      <c r="G549" s="100"/>
    </row>
    <row r="550">
      <c r="A550" s="100"/>
      <c r="B550" s="100"/>
      <c r="C550" s="100"/>
      <c r="D550" s="100"/>
      <c r="E550" s="100"/>
      <c r="F550" s="100"/>
      <c r="G550" s="100"/>
    </row>
    <row r="551">
      <c r="A551" s="100"/>
      <c r="B551" s="100"/>
      <c r="C551" s="100"/>
      <c r="D551" s="100"/>
      <c r="E551" s="100"/>
      <c r="F551" s="100"/>
      <c r="G551" s="100"/>
    </row>
    <row r="552">
      <c r="A552" s="100"/>
      <c r="B552" s="100"/>
      <c r="C552" s="100"/>
      <c r="D552" s="100"/>
      <c r="E552" s="100"/>
      <c r="F552" s="100"/>
      <c r="G552" s="100"/>
    </row>
    <row r="553">
      <c r="A553" s="100"/>
      <c r="B553" s="100"/>
      <c r="C553" s="100"/>
      <c r="D553" s="100"/>
      <c r="E553" s="100"/>
      <c r="F553" s="100"/>
      <c r="G553" s="100"/>
    </row>
    <row r="554">
      <c r="A554" s="100"/>
      <c r="B554" s="100"/>
      <c r="C554" s="100"/>
      <c r="D554" s="100"/>
      <c r="E554" s="100"/>
      <c r="F554" s="100"/>
      <c r="G554" s="100"/>
    </row>
    <row r="555">
      <c r="A555" s="100"/>
      <c r="B555" s="100"/>
      <c r="C555" s="100"/>
      <c r="D555" s="100"/>
      <c r="E555" s="100"/>
      <c r="F555" s="100"/>
      <c r="G555" s="100"/>
    </row>
    <row r="556">
      <c r="A556" s="100"/>
      <c r="B556" s="100"/>
      <c r="C556" s="100"/>
      <c r="D556" s="100"/>
      <c r="E556" s="100"/>
      <c r="F556" s="100"/>
      <c r="G556" s="100"/>
    </row>
    <row r="557">
      <c r="A557" s="100"/>
      <c r="B557" s="100"/>
      <c r="C557" s="100"/>
      <c r="D557" s="100"/>
      <c r="E557" s="100"/>
      <c r="F557" s="100"/>
      <c r="G557" s="100"/>
    </row>
    <row r="558">
      <c r="A558" s="100"/>
      <c r="B558" s="100"/>
      <c r="C558" s="100"/>
      <c r="D558" s="100"/>
      <c r="E558" s="100"/>
      <c r="F558" s="100"/>
      <c r="G558" s="100"/>
    </row>
    <row r="559">
      <c r="A559" s="100"/>
      <c r="B559" s="100"/>
      <c r="C559" s="100"/>
      <c r="D559" s="100"/>
      <c r="E559" s="100"/>
      <c r="F559" s="100"/>
      <c r="G559" s="100"/>
    </row>
    <row r="560">
      <c r="A560" s="100"/>
      <c r="B560" s="100"/>
      <c r="C560" s="100"/>
      <c r="D560" s="100"/>
      <c r="E560" s="100"/>
      <c r="F560" s="100"/>
      <c r="G560" s="100"/>
    </row>
    <row r="561">
      <c r="A561" s="100"/>
      <c r="B561" s="100"/>
      <c r="C561" s="100"/>
      <c r="D561" s="100"/>
      <c r="E561" s="100"/>
      <c r="F561" s="100"/>
      <c r="G561" s="100"/>
    </row>
    <row r="562">
      <c r="A562" s="100"/>
      <c r="B562" s="100"/>
      <c r="C562" s="100"/>
      <c r="D562" s="100"/>
      <c r="E562" s="100"/>
      <c r="F562" s="100"/>
      <c r="G562" s="100"/>
    </row>
    <row r="563">
      <c r="A563" s="100"/>
      <c r="B563" s="100"/>
      <c r="C563" s="100"/>
      <c r="D563" s="100"/>
      <c r="E563" s="100"/>
      <c r="F563" s="100"/>
      <c r="G563" s="100"/>
    </row>
    <row r="564">
      <c r="A564" s="100"/>
      <c r="B564" s="100"/>
      <c r="C564" s="100"/>
      <c r="D564" s="100"/>
      <c r="E564" s="100"/>
      <c r="F564" s="100"/>
      <c r="G564" s="100"/>
    </row>
    <row r="565">
      <c r="A565" s="100"/>
      <c r="B565" s="100"/>
      <c r="C565" s="100"/>
      <c r="D565" s="100"/>
      <c r="E565" s="100"/>
      <c r="F565" s="100"/>
      <c r="G565" s="100"/>
    </row>
    <row r="566">
      <c r="A566" s="100"/>
      <c r="B566" s="100"/>
      <c r="C566" s="100"/>
      <c r="D566" s="100"/>
      <c r="E566" s="100"/>
      <c r="F566" s="100"/>
      <c r="G566" s="100"/>
    </row>
    <row r="567">
      <c r="A567" s="100"/>
      <c r="B567" s="100"/>
      <c r="C567" s="100"/>
      <c r="D567" s="100"/>
      <c r="E567" s="100"/>
      <c r="F567" s="100"/>
      <c r="G567" s="100"/>
    </row>
    <row r="568">
      <c r="A568" s="100"/>
      <c r="B568" s="100"/>
      <c r="C568" s="100"/>
      <c r="D568" s="100"/>
      <c r="E568" s="100"/>
      <c r="F568" s="100"/>
      <c r="G568" s="100"/>
    </row>
    <row r="569">
      <c r="A569" s="100"/>
      <c r="B569" s="100"/>
      <c r="C569" s="100"/>
      <c r="D569" s="100"/>
      <c r="E569" s="100"/>
      <c r="F569" s="100"/>
      <c r="G569" s="100"/>
    </row>
    <row r="570">
      <c r="A570" s="100"/>
      <c r="B570" s="100"/>
      <c r="C570" s="100"/>
      <c r="D570" s="100"/>
      <c r="E570" s="100"/>
      <c r="F570" s="100"/>
      <c r="G570" s="100"/>
    </row>
    <row r="571">
      <c r="A571" s="100"/>
      <c r="B571" s="100"/>
      <c r="C571" s="100"/>
      <c r="D571" s="100"/>
      <c r="E571" s="100"/>
      <c r="F571" s="100"/>
      <c r="G571" s="100"/>
    </row>
    <row r="572">
      <c r="A572" s="100"/>
      <c r="B572" s="100"/>
      <c r="C572" s="100"/>
      <c r="D572" s="100"/>
      <c r="E572" s="100"/>
      <c r="F572" s="100"/>
      <c r="G572" s="100"/>
    </row>
    <row r="573">
      <c r="A573" s="100"/>
      <c r="B573" s="100"/>
      <c r="C573" s="100"/>
      <c r="D573" s="100"/>
      <c r="E573" s="100"/>
      <c r="F573" s="100"/>
      <c r="G573" s="100"/>
    </row>
    <row r="574">
      <c r="A574" s="100"/>
      <c r="B574" s="100"/>
      <c r="C574" s="100"/>
      <c r="D574" s="100"/>
      <c r="E574" s="100"/>
      <c r="F574" s="100"/>
      <c r="G574" s="100"/>
    </row>
    <row r="575">
      <c r="A575" s="100"/>
      <c r="B575" s="100"/>
      <c r="C575" s="100"/>
      <c r="D575" s="100"/>
      <c r="E575" s="100"/>
      <c r="F575" s="100"/>
      <c r="G575" s="100"/>
    </row>
    <row r="576">
      <c r="A576" s="100"/>
      <c r="B576" s="100"/>
      <c r="C576" s="100"/>
      <c r="D576" s="100"/>
      <c r="E576" s="100"/>
      <c r="F576" s="100"/>
      <c r="G576" s="100"/>
    </row>
    <row r="577">
      <c r="A577" s="100"/>
      <c r="B577" s="100"/>
      <c r="C577" s="100"/>
      <c r="D577" s="100"/>
      <c r="E577" s="100"/>
      <c r="F577" s="100"/>
      <c r="G577" s="100"/>
    </row>
    <row r="578">
      <c r="A578" s="100"/>
      <c r="B578" s="100"/>
      <c r="C578" s="100"/>
      <c r="D578" s="100"/>
      <c r="E578" s="100"/>
      <c r="F578" s="100"/>
      <c r="G578" s="100"/>
    </row>
    <row r="579">
      <c r="A579" s="100"/>
      <c r="B579" s="100"/>
      <c r="C579" s="100"/>
      <c r="D579" s="100"/>
      <c r="E579" s="100"/>
      <c r="F579" s="100"/>
      <c r="G579" s="100"/>
    </row>
    <row r="580">
      <c r="A580" s="100"/>
      <c r="B580" s="100"/>
      <c r="C580" s="100"/>
      <c r="D580" s="100"/>
      <c r="E580" s="100"/>
      <c r="F580" s="100"/>
      <c r="G580" s="100"/>
    </row>
    <row r="581">
      <c r="A581" s="100"/>
      <c r="B581" s="100"/>
      <c r="C581" s="100"/>
      <c r="D581" s="100"/>
      <c r="E581" s="100"/>
      <c r="F581" s="100"/>
      <c r="G581" s="100"/>
    </row>
    <row r="582">
      <c r="A582" s="100"/>
      <c r="B582" s="100"/>
      <c r="C582" s="100"/>
      <c r="D582" s="100"/>
      <c r="E582" s="100"/>
      <c r="F582" s="100"/>
      <c r="G582" s="100"/>
    </row>
    <row r="583">
      <c r="A583" s="100"/>
      <c r="B583" s="100"/>
      <c r="C583" s="100"/>
      <c r="D583" s="100"/>
      <c r="E583" s="100"/>
      <c r="F583" s="100"/>
      <c r="G583" s="100"/>
    </row>
    <row r="584">
      <c r="A584" s="100"/>
      <c r="B584" s="100"/>
      <c r="C584" s="100"/>
      <c r="D584" s="100"/>
      <c r="E584" s="100"/>
      <c r="F584" s="100"/>
      <c r="G584" s="100"/>
    </row>
    <row r="585">
      <c r="A585" s="100"/>
      <c r="B585" s="100"/>
      <c r="C585" s="100"/>
      <c r="D585" s="100"/>
      <c r="E585" s="100"/>
      <c r="F585" s="100"/>
      <c r="G585" s="100"/>
    </row>
    <row r="586">
      <c r="A586" s="100"/>
      <c r="B586" s="100"/>
      <c r="C586" s="100"/>
      <c r="D586" s="100"/>
      <c r="E586" s="100"/>
      <c r="F586" s="100"/>
      <c r="G586" s="100"/>
    </row>
    <row r="587">
      <c r="A587" s="100"/>
      <c r="B587" s="100"/>
      <c r="C587" s="100"/>
      <c r="D587" s="100"/>
      <c r="E587" s="100"/>
      <c r="F587" s="100"/>
      <c r="G587" s="100"/>
    </row>
    <row r="588">
      <c r="A588" s="100"/>
      <c r="B588" s="100"/>
      <c r="C588" s="100"/>
      <c r="D588" s="100"/>
      <c r="E588" s="100"/>
      <c r="F588" s="100"/>
      <c r="G588" s="100"/>
    </row>
    <row r="589">
      <c r="A589" s="100"/>
      <c r="B589" s="100"/>
      <c r="C589" s="100"/>
      <c r="D589" s="100"/>
      <c r="E589" s="100"/>
      <c r="F589" s="100"/>
      <c r="G589" s="100"/>
    </row>
    <row r="590">
      <c r="A590" s="100"/>
      <c r="B590" s="100"/>
      <c r="C590" s="100"/>
      <c r="D590" s="100"/>
      <c r="E590" s="100"/>
      <c r="F590" s="100"/>
      <c r="G590" s="100"/>
    </row>
    <row r="591">
      <c r="A591" s="100"/>
      <c r="B591" s="100"/>
      <c r="C591" s="100"/>
      <c r="D591" s="100"/>
      <c r="E591" s="100"/>
      <c r="F591" s="100"/>
      <c r="G591" s="100"/>
    </row>
    <row r="592">
      <c r="A592" s="100"/>
      <c r="B592" s="100"/>
      <c r="C592" s="100"/>
      <c r="D592" s="100"/>
      <c r="E592" s="100"/>
      <c r="F592" s="100"/>
      <c r="G592" s="100"/>
    </row>
    <row r="593">
      <c r="A593" s="100"/>
      <c r="B593" s="100"/>
      <c r="C593" s="100"/>
      <c r="D593" s="100"/>
      <c r="E593" s="100"/>
      <c r="F593" s="100"/>
      <c r="G593" s="100"/>
    </row>
    <row r="594">
      <c r="A594" s="100"/>
      <c r="B594" s="100"/>
      <c r="C594" s="100"/>
      <c r="D594" s="100"/>
      <c r="E594" s="100"/>
      <c r="F594" s="100"/>
      <c r="G594" s="100"/>
    </row>
    <row r="595">
      <c r="A595" s="100"/>
      <c r="B595" s="100"/>
      <c r="C595" s="100"/>
      <c r="D595" s="100"/>
      <c r="E595" s="100"/>
      <c r="F595" s="100"/>
      <c r="G595" s="100"/>
    </row>
    <row r="596">
      <c r="A596" s="100"/>
      <c r="B596" s="100"/>
      <c r="C596" s="100"/>
      <c r="D596" s="100"/>
      <c r="E596" s="100"/>
      <c r="F596" s="100"/>
      <c r="G596" s="100"/>
    </row>
    <row r="597">
      <c r="A597" s="100"/>
      <c r="B597" s="100"/>
      <c r="C597" s="100"/>
      <c r="D597" s="100"/>
      <c r="E597" s="100"/>
      <c r="F597" s="100"/>
      <c r="G597" s="100"/>
    </row>
    <row r="598">
      <c r="A598" s="100"/>
      <c r="B598" s="100"/>
      <c r="C598" s="100"/>
      <c r="D598" s="100"/>
      <c r="E598" s="100"/>
      <c r="F598" s="100"/>
      <c r="G598" s="100"/>
    </row>
    <row r="599">
      <c r="A599" s="100"/>
      <c r="B599" s="100"/>
      <c r="C599" s="100"/>
      <c r="D599" s="100"/>
      <c r="E599" s="100"/>
      <c r="F599" s="100"/>
      <c r="G599" s="100"/>
    </row>
    <row r="600">
      <c r="A600" s="100"/>
      <c r="B600" s="100"/>
      <c r="C600" s="100"/>
      <c r="D600" s="100"/>
      <c r="E600" s="100"/>
      <c r="F600" s="100"/>
      <c r="G600" s="100"/>
    </row>
    <row r="601">
      <c r="A601" s="100"/>
      <c r="B601" s="100"/>
      <c r="C601" s="100"/>
      <c r="D601" s="100"/>
      <c r="E601" s="100"/>
      <c r="F601" s="100"/>
      <c r="G601" s="100"/>
    </row>
    <row r="602">
      <c r="A602" s="100"/>
      <c r="B602" s="100"/>
      <c r="C602" s="100"/>
      <c r="D602" s="100"/>
      <c r="E602" s="100"/>
      <c r="F602" s="100"/>
      <c r="G602" s="100"/>
    </row>
    <row r="603">
      <c r="A603" s="100"/>
      <c r="B603" s="100"/>
      <c r="C603" s="100"/>
      <c r="D603" s="100"/>
      <c r="E603" s="100"/>
      <c r="F603" s="100"/>
      <c r="G603" s="100"/>
    </row>
    <row r="604">
      <c r="A604" s="100"/>
      <c r="B604" s="100"/>
      <c r="C604" s="100"/>
      <c r="D604" s="100"/>
      <c r="E604" s="100"/>
      <c r="F604" s="100"/>
      <c r="G604" s="100"/>
    </row>
    <row r="605">
      <c r="A605" s="100"/>
      <c r="B605" s="100"/>
      <c r="C605" s="100"/>
      <c r="D605" s="100"/>
      <c r="E605" s="100"/>
      <c r="F605" s="100"/>
      <c r="G605" s="100"/>
    </row>
    <row r="606">
      <c r="A606" s="100"/>
      <c r="B606" s="100"/>
      <c r="C606" s="100"/>
      <c r="D606" s="100"/>
      <c r="E606" s="100"/>
      <c r="F606" s="100"/>
      <c r="G606" s="100"/>
    </row>
    <row r="607">
      <c r="A607" s="100"/>
      <c r="B607" s="100"/>
      <c r="C607" s="100"/>
      <c r="D607" s="100"/>
      <c r="E607" s="100"/>
      <c r="F607" s="100"/>
      <c r="G607" s="100"/>
    </row>
    <row r="608">
      <c r="A608" s="100"/>
      <c r="B608" s="100"/>
      <c r="C608" s="100"/>
      <c r="D608" s="100"/>
      <c r="E608" s="100"/>
      <c r="F608" s="100"/>
      <c r="G608" s="100"/>
    </row>
    <row r="609">
      <c r="A609" s="100"/>
      <c r="B609" s="100"/>
      <c r="C609" s="100"/>
      <c r="D609" s="100"/>
      <c r="E609" s="100"/>
      <c r="F609" s="100"/>
      <c r="G609" s="100"/>
    </row>
    <row r="610">
      <c r="A610" s="100"/>
      <c r="B610" s="100"/>
      <c r="C610" s="100"/>
      <c r="D610" s="100"/>
      <c r="E610" s="100"/>
      <c r="F610" s="100"/>
      <c r="G610" s="100"/>
    </row>
    <row r="611">
      <c r="A611" s="100"/>
      <c r="B611" s="100"/>
      <c r="C611" s="100"/>
      <c r="D611" s="100"/>
      <c r="E611" s="100"/>
      <c r="F611" s="100"/>
      <c r="G611" s="100"/>
    </row>
    <row r="612">
      <c r="A612" s="100"/>
      <c r="B612" s="100"/>
      <c r="C612" s="100"/>
      <c r="D612" s="100"/>
      <c r="E612" s="100"/>
      <c r="F612" s="100"/>
      <c r="G612" s="100"/>
    </row>
    <row r="613">
      <c r="A613" s="100"/>
      <c r="B613" s="100"/>
      <c r="C613" s="100"/>
      <c r="D613" s="100"/>
      <c r="E613" s="100"/>
      <c r="F613" s="100"/>
      <c r="G613" s="100"/>
    </row>
    <row r="614">
      <c r="A614" s="100"/>
      <c r="B614" s="100"/>
      <c r="C614" s="100"/>
      <c r="D614" s="100"/>
      <c r="E614" s="100"/>
      <c r="F614" s="100"/>
      <c r="G614" s="100"/>
    </row>
    <row r="615">
      <c r="A615" s="100"/>
      <c r="B615" s="100"/>
      <c r="C615" s="100"/>
      <c r="D615" s="100"/>
      <c r="E615" s="100"/>
      <c r="F615" s="100"/>
      <c r="G615" s="100"/>
    </row>
    <row r="616">
      <c r="A616" s="100"/>
      <c r="B616" s="100"/>
      <c r="C616" s="100"/>
      <c r="D616" s="100"/>
      <c r="E616" s="100"/>
      <c r="F616" s="100"/>
      <c r="G616" s="100"/>
    </row>
    <row r="617">
      <c r="A617" s="100"/>
      <c r="B617" s="100"/>
      <c r="C617" s="100"/>
      <c r="D617" s="100"/>
      <c r="E617" s="100"/>
      <c r="F617" s="100"/>
      <c r="G617" s="100"/>
    </row>
    <row r="618">
      <c r="A618" s="100"/>
      <c r="B618" s="100"/>
      <c r="C618" s="100"/>
      <c r="D618" s="100"/>
      <c r="E618" s="100"/>
      <c r="F618" s="100"/>
      <c r="G618" s="100"/>
    </row>
    <row r="619">
      <c r="A619" s="100"/>
      <c r="B619" s="100"/>
      <c r="C619" s="100"/>
      <c r="D619" s="100"/>
      <c r="E619" s="100"/>
      <c r="F619" s="100"/>
      <c r="G619" s="100"/>
    </row>
    <row r="620">
      <c r="A620" s="100"/>
      <c r="B620" s="100"/>
      <c r="C620" s="100"/>
      <c r="D620" s="100"/>
      <c r="E620" s="100"/>
      <c r="F620" s="100"/>
      <c r="G620" s="100"/>
    </row>
    <row r="621">
      <c r="A621" s="100"/>
      <c r="B621" s="100"/>
      <c r="C621" s="100"/>
      <c r="D621" s="100"/>
      <c r="E621" s="100"/>
      <c r="F621" s="100"/>
      <c r="G621" s="100"/>
    </row>
    <row r="622">
      <c r="A622" s="100"/>
      <c r="B622" s="100"/>
      <c r="C622" s="100"/>
      <c r="D622" s="100"/>
      <c r="E622" s="100"/>
      <c r="F622" s="100"/>
      <c r="G622" s="100"/>
    </row>
    <row r="623">
      <c r="A623" s="100"/>
      <c r="B623" s="100"/>
      <c r="C623" s="100"/>
      <c r="D623" s="100"/>
      <c r="E623" s="100"/>
      <c r="F623" s="100"/>
      <c r="G623" s="100"/>
    </row>
    <row r="624">
      <c r="A624" s="100"/>
      <c r="B624" s="100"/>
      <c r="C624" s="100"/>
      <c r="D624" s="100"/>
      <c r="E624" s="100"/>
      <c r="F624" s="100"/>
      <c r="G624" s="100"/>
    </row>
    <row r="625">
      <c r="A625" s="100"/>
      <c r="B625" s="100"/>
      <c r="C625" s="100"/>
      <c r="D625" s="100"/>
      <c r="E625" s="100"/>
      <c r="F625" s="100"/>
      <c r="G625" s="100"/>
    </row>
    <row r="626">
      <c r="A626" s="100"/>
      <c r="B626" s="100"/>
      <c r="C626" s="100"/>
      <c r="D626" s="100"/>
      <c r="E626" s="100"/>
      <c r="F626" s="100"/>
      <c r="G626" s="100"/>
    </row>
    <row r="627">
      <c r="A627" s="100"/>
      <c r="B627" s="100"/>
      <c r="C627" s="100"/>
      <c r="D627" s="100"/>
      <c r="E627" s="100"/>
      <c r="F627" s="100"/>
      <c r="G627" s="100"/>
    </row>
    <row r="628">
      <c r="A628" s="100"/>
      <c r="B628" s="100"/>
      <c r="C628" s="100"/>
      <c r="D628" s="100"/>
      <c r="E628" s="100"/>
      <c r="F628" s="100"/>
      <c r="G628" s="100"/>
    </row>
    <row r="629">
      <c r="A629" s="100"/>
      <c r="B629" s="100"/>
      <c r="C629" s="100"/>
      <c r="D629" s="100"/>
      <c r="E629" s="100"/>
      <c r="F629" s="100"/>
      <c r="G629" s="100"/>
    </row>
    <row r="630">
      <c r="A630" s="100"/>
      <c r="B630" s="100"/>
      <c r="C630" s="100"/>
      <c r="D630" s="100"/>
      <c r="E630" s="100"/>
      <c r="F630" s="100"/>
      <c r="G630" s="100"/>
    </row>
    <row r="631">
      <c r="A631" s="100"/>
      <c r="B631" s="100"/>
      <c r="C631" s="100"/>
      <c r="D631" s="100"/>
      <c r="E631" s="100"/>
      <c r="F631" s="100"/>
      <c r="G631" s="100"/>
    </row>
    <row r="632">
      <c r="A632" s="100"/>
      <c r="B632" s="100"/>
      <c r="C632" s="100"/>
      <c r="D632" s="100"/>
      <c r="E632" s="100"/>
      <c r="F632" s="100"/>
      <c r="G632" s="100"/>
    </row>
    <row r="633">
      <c r="A633" s="100"/>
      <c r="B633" s="100"/>
      <c r="C633" s="100"/>
      <c r="D633" s="100"/>
      <c r="E633" s="100"/>
      <c r="F633" s="100"/>
      <c r="G633" s="100"/>
    </row>
    <row r="634">
      <c r="A634" s="100"/>
      <c r="B634" s="100"/>
      <c r="C634" s="100"/>
      <c r="D634" s="100"/>
      <c r="E634" s="100"/>
      <c r="F634" s="100"/>
      <c r="G634" s="100"/>
    </row>
    <row r="635">
      <c r="A635" s="100"/>
      <c r="B635" s="100"/>
      <c r="C635" s="100"/>
      <c r="D635" s="100"/>
      <c r="E635" s="100"/>
      <c r="F635" s="100"/>
      <c r="G635" s="100"/>
    </row>
    <row r="636">
      <c r="A636" s="100"/>
      <c r="B636" s="100"/>
      <c r="C636" s="100"/>
      <c r="D636" s="100"/>
      <c r="E636" s="100"/>
      <c r="F636" s="100"/>
      <c r="G636" s="100"/>
    </row>
    <row r="637">
      <c r="A637" s="100"/>
      <c r="B637" s="100"/>
      <c r="C637" s="100"/>
      <c r="D637" s="100"/>
      <c r="E637" s="100"/>
      <c r="F637" s="100"/>
      <c r="G637" s="100"/>
    </row>
    <row r="638">
      <c r="A638" s="100"/>
      <c r="B638" s="100"/>
      <c r="C638" s="100"/>
      <c r="D638" s="100"/>
      <c r="E638" s="100"/>
      <c r="F638" s="100"/>
      <c r="G638" s="100"/>
    </row>
    <row r="639">
      <c r="A639" s="100"/>
      <c r="B639" s="100"/>
      <c r="C639" s="100"/>
      <c r="D639" s="100"/>
      <c r="E639" s="100"/>
      <c r="F639" s="100"/>
      <c r="G639" s="100"/>
    </row>
    <row r="640">
      <c r="A640" s="100"/>
      <c r="B640" s="100"/>
      <c r="C640" s="100"/>
      <c r="D640" s="100"/>
      <c r="E640" s="100"/>
      <c r="F640" s="100"/>
      <c r="G640" s="100"/>
    </row>
    <row r="641">
      <c r="A641" s="100"/>
      <c r="B641" s="100"/>
      <c r="C641" s="100"/>
      <c r="D641" s="100"/>
      <c r="E641" s="100"/>
      <c r="F641" s="100"/>
      <c r="G641" s="100"/>
    </row>
    <row r="642">
      <c r="A642" s="100"/>
      <c r="B642" s="100"/>
      <c r="C642" s="100"/>
      <c r="D642" s="100"/>
      <c r="E642" s="100"/>
      <c r="F642" s="100"/>
      <c r="G642" s="100"/>
    </row>
    <row r="643">
      <c r="A643" s="100"/>
      <c r="B643" s="100"/>
      <c r="C643" s="100"/>
      <c r="D643" s="100"/>
      <c r="E643" s="100"/>
      <c r="F643" s="100"/>
      <c r="G643" s="100"/>
    </row>
    <row r="644">
      <c r="A644" s="100"/>
      <c r="B644" s="100"/>
      <c r="C644" s="100"/>
      <c r="D644" s="100"/>
      <c r="E644" s="100"/>
      <c r="F644" s="100"/>
      <c r="G644" s="100"/>
    </row>
    <row r="645">
      <c r="A645" s="100"/>
      <c r="B645" s="100"/>
      <c r="C645" s="100"/>
      <c r="D645" s="100"/>
      <c r="E645" s="100"/>
      <c r="F645" s="100"/>
      <c r="G645" s="100"/>
    </row>
    <row r="646">
      <c r="A646" s="100"/>
      <c r="B646" s="100"/>
      <c r="C646" s="100"/>
      <c r="D646" s="100"/>
      <c r="E646" s="100"/>
      <c r="F646" s="100"/>
      <c r="G646" s="100"/>
    </row>
    <row r="647">
      <c r="A647" s="100"/>
      <c r="B647" s="100"/>
      <c r="C647" s="100"/>
      <c r="D647" s="100"/>
      <c r="E647" s="100"/>
      <c r="F647" s="100"/>
      <c r="G647" s="100"/>
    </row>
    <row r="648">
      <c r="A648" s="100"/>
      <c r="B648" s="100"/>
      <c r="C648" s="100"/>
      <c r="D648" s="100"/>
      <c r="E648" s="100"/>
      <c r="F648" s="100"/>
      <c r="G648" s="100"/>
    </row>
    <row r="649">
      <c r="A649" s="100"/>
      <c r="B649" s="100"/>
      <c r="C649" s="100"/>
      <c r="D649" s="100"/>
      <c r="E649" s="100"/>
      <c r="F649" s="100"/>
      <c r="G649" s="100"/>
    </row>
    <row r="650">
      <c r="A650" s="100"/>
      <c r="B650" s="100"/>
      <c r="C650" s="100"/>
      <c r="D650" s="100"/>
      <c r="E650" s="100"/>
      <c r="F650" s="100"/>
      <c r="G650" s="100"/>
    </row>
    <row r="651">
      <c r="A651" s="100"/>
      <c r="B651" s="100"/>
      <c r="C651" s="100"/>
      <c r="D651" s="100"/>
      <c r="E651" s="100"/>
      <c r="F651" s="100"/>
      <c r="G651" s="100"/>
    </row>
    <row r="652">
      <c r="A652" s="100"/>
      <c r="B652" s="100"/>
      <c r="C652" s="100"/>
      <c r="D652" s="100"/>
      <c r="E652" s="100"/>
      <c r="F652" s="100"/>
      <c r="G652" s="100"/>
    </row>
    <row r="653">
      <c r="A653" s="100"/>
      <c r="B653" s="100"/>
      <c r="C653" s="100"/>
      <c r="D653" s="100"/>
      <c r="E653" s="100"/>
      <c r="F653" s="100"/>
      <c r="G653" s="100"/>
    </row>
    <row r="654">
      <c r="A654" s="100"/>
      <c r="B654" s="100"/>
      <c r="C654" s="100"/>
      <c r="D654" s="100"/>
      <c r="E654" s="100"/>
      <c r="F654" s="100"/>
      <c r="G654" s="100"/>
    </row>
    <row r="655">
      <c r="A655" s="100"/>
      <c r="B655" s="100"/>
      <c r="C655" s="100"/>
      <c r="D655" s="100"/>
      <c r="E655" s="100"/>
      <c r="F655" s="100"/>
      <c r="G655" s="100"/>
    </row>
    <row r="656">
      <c r="A656" s="100"/>
      <c r="B656" s="100"/>
      <c r="C656" s="100"/>
      <c r="D656" s="100"/>
      <c r="E656" s="100"/>
      <c r="F656" s="100"/>
      <c r="G656" s="100"/>
    </row>
    <row r="657">
      <c r="A657" s="100"/>
      <c r="B657" s="100"/>
      <c r="C657" s="100"/>
      <c r="D657" s="100"/>
      <c r="E657" s="100"/>
      <c r="F657" s="100"/>
      <c r="G657" s="100"/>
    </row>
    <row r="658">
      <c r="A658" s="100"/>
      <c r="B658" s="100"/>
      <c r="C658" s="100"/>
      <c r="D658" s="100"/>
      <c r="E658" s="100"/>
      <c r="F658" s="100"/>
      <c r="G658" s="100"/>
    </row>
    <row r="659">
      <c r="A659" s="100"/>
      <c r="B659" s="100"/>
      <c r="C659" s="100"/>
      <c r="D659" s="100"/>
      <c r="E659" s="100"/>
      <c r="F659" s="100"/>
      <c r="G659" s="100"/>
    </row>
    <row r="660">
      <c r="A660" s="100"/>
      <c r="B660" s="100"/>
      <c r="C660" s="100"/>
      <c r="D660" s="100"/>
      <c r="E660" s="100"/>
      <c r="F660" s="100"/>
      <c r="G660" s="100"/>
    </row>
    <row r="661">
      <c r="A661" s="100"/>
      <c r="B661" s="100"/>
      <c r="C661" s="100"/>
      <c r="D661" s="100"/>
      <c r="E661" s="100"/>
      <c r="F661" s="100"/>
      <c r="G661" s="100"/>
    </row>
    <row r="662">
      <c r="A662" s="100"/>
      <c r="B662" s="100"/>
      <c r="C662" s="100"/>
      <c r="D662" s="100"/>
      <c r="E662" s="100"/>
      <c r="F662" s="100"/>
      <c r="G662" s="100"/>
    </row>
    <row r="663">
      <c r="A663" s="100"/>
      <c r="B663" s="100"/>
      <c r="C663" s="100"/>
      <c r="D663" s="100"/>
      <c r="E663" s="100"/>
      <c r="F663" s="100"/>
      <c r="G663" s="100"/>
    </row>
    <row r="664">
      <c r="A664" s="100"/>
      <c r="B664" s="100"/>
      <c r="C664" s="100"/>
      <c r="D664" s="100"/>
      <c r="E664" s="100"/>
      <c r="F664" s="100"/>
      <c r="G664" s="100"/>
    </row>
    <row r="665">
      <c r="A665" s="100"/>
      <c r="B665" s="100"/>
      <c r="C665" s="100"/>
      <c r="D665" s="100"/>
      <c r="E665" s="100"/>
      <c r="F665" s="100"/>
      <c r="G665" s="100"/>
    </row>
    <row r="666">
      <c r="A666" s="100"/>
      <c r="B666" s="100"/>
      <c r="C666" s="100"/>
      <c r="D666" s="100"/>
      <c r="E666" s="100"/>
      <c r="F666" s="100"/>
      <c r="G666" s="100"/>
    </row>
    <row r="667">
      <c r="A667" s="100"/>
      <c r="B667" s="100"/>
      <c r="C667" s="100"/>
      <c r="D667" s="100"/>
      <c r="E667" s="100"/>
      <c r="F667" s="100"/>
      <c r="G667" s="100"/>
    </row>
    <row r="668">
      <c r="A668" s="100"/>
      <c r="B668" s="100"/>
      <c r="C668" s="100"/>
      <c r="D668" s="100"/>
      <c r="E668" s="100"/>
      <c r="F668" s="100"/>
      <c r="G668" s="100"/>
    </row>
    <row r="669">
      <c r="A669" s="100"/>
      <c r="B669" s="100"/>
      <c r="C669" s="100"/>
      <c r="D669" s="100"/>
      <c r="E669" s="100"/>
      <c r="F669" s="100"/>
      <c r="G669" s="100"/>
    </row>
    <row r="670">
      <c r="A670" s="100"/>
      <c r="B670" s="100"/>
      <c r="C670" s="100"/>
      <c r="D670" s="100"/>
      <c r="E670" s="100"/>
      <c r="F670" s="100"/>
      <c r="G670" s="100"/>
    </row>
    <row r="671">
      <c r="A671" s="100"/>
      <c r="B671" s="100"/>
      <c r="C671" s="100"/>
      <c r="D671" s="100"/>
      <c r="E671" s="100"/>
      <c r="F671" s="100"/>
      <c r="G671" s="100"/>
    </row>
    <row r="672">
      <c r="A672" s="100"/>
      <c r="B672" s="100"/>
      <c r="C672" s="100"/>
      <c r="D672" s="100"/>
      <c r="E672" s="100"/>
      <c r="F672" s="100"/>
      <c r="G672" s="100"/>
    </row>
    <row r="673">
      <c r="A673" s="100"/>
      <c r="B673" s="100"/>
      <c r="C673" s="100"/>
      <c r="D673" s="100"/>
      <c r="E673" s="100"/>
      <c r="F673" s="100"/>
      <c r="G673" s="100"/>
    </row>
    <row r="674">
      <c r="A674" s="100"/>
      <c r="B674" s="100"/>
      <c r="C674" s="100"/>
      <c r="D674" s="100"/>
      <c r="E674" s="100"/>
      <c r="F674" s="100"/>
      <c r="G674" s="100"/>
    </row>
    <row r="675">
      <c r="A675" s="100"/>
      <c r="B675" s="100"/>
      <c r="C675" s="100"/>
      <c r="D675" s="100"/>
      <c r="E675" s="100"/>
      <c r="F675" s="100"/>
      <c r="G675" s="100"/>
    </row>
    <row r="676">
      <c r="A676" s="100"/>
      <c r="B676" s="100"/>
      <c r="C676" s="100"/>
      <c r="D676" s="100"/>
      <c r="E676" s="100"/>
      <c r="F676" s="100"/>
      <c r="G676" s="100"/>
    </row>
    <row r="677">
      <c r="A677" s="100"/>
      <c r="B677" s="100"/>
      <c r="C677" s="100"/>
      <c r="D677" s="100"/>
      <c r="E677" s="100"/>
      <c r="F677" s="100"/>
      <c r="G677" s="100"/>
    </row>
    <row r="678">
      <c r="A678" s="100"/>
      <c r="B678" s="100"/>
      <c r="C678" s="100"/>
      <c r="D678" s="100"/>
      <c r="E678" s="100"/>
      <c r="F678" s="100"/>
      <c r="G678" s="100"/>
    </row>
    <row r="679">
      <c r="A679" s="100"/>
      <c r="B679" s="100"/>
      <c r="C679" s="100"/>
      <c r="D679" s="100"/>
      <c r="E679" s="100"/>
      <c r="F679" s="100"/>
      <c r="G679" s="100"/>
    </row>
    <row r="680">
      <c r="A680" s="100"/>
      <c r="B680" s="100"/>
      <c r="C680" s="100"/>
      <c r="D680" s="100"/>
      <c r="E680" s="100"/>
      <c r="F680" s="100"/>
      <c r="G680" s="100"/>
    </row>
    <row r="681">
      <c r="A681" s="100"/>
      <c r="B681" s="100"/>
      <c r="C681" s="100"/>
      <c r="D681" s="100"/>
      <c r="E681" s="100"/>
      <c r="F681" s="100"/>
      <c r="G681" s="100"/>
    </row>
    <row r="682">
      <c r="A682" s="100"/>
      <c r="B682" s="100"/>
      <c r="C682" s="100"/>
      <c r="D682" s="100"/>
      <c r="E682" s="100"/>
      <c r="F682" s="100"/>
      <c r="G682" s="100"/>
    </row>
    <row r="683">
      <c r="A683" s="100"/>
      <c r="B683" s="100"/>
      <c r="C683" s="100"/>
      <c r="D683" s="100"/>
      <c r="E683" s="100"/>
      <c r="F683" s="100"/>
      <c r="G683" s="100"/>
    </row>
    <row r="684">
      <c r="A684" s="100"/>
      <c r="B684" s="100"/>
      <c r="C684" s="100"/>
      <c r="D684" s="100"/>
      <c r="E684" s="100"/>
      <c r="F684" s="100"/>
      <c r="G684" s="100"/>
    </row>
    <row r="685">
      <c r="A685" s="100"/>
      <c r="B685" s="100"/>
      <c r="C685" s="100"/>
      <c r="D685" s="100"/>
      <c r="E685" s="100"/>
      <c r="F685" s="100"/>
      <c r="G685" s="100"/>
    </row>
    <row r="686">
      <c r="A686" s="100"/>
      <c r="B686" s="100"/>
      <c r="C686" s="100"/>
      <c r="D686" s="100"/>
      <c r="E686" s="100"/>
      <c r="F686" s="100"/>
      <c r="G686" s="100"/>
    </row>
    <row r="687">
      <c r="A687" s="100"/>
      <c r="B687" s="100"/>
      <c r="C687" s="100"/>
      <c r="D687" s="100"/>
      <c r="E687" s="100"/>
      <c r="F687" s="100"/>
      <c r="G687" s="100"/>
    </row>
    <row r="688">
      <c r="A688" s="100"/>
      <c r="B688" s="100"/>
      <c r="C688" s="100"/>
      <c r="D688" s="100"/>
      <c r="E688" s="100"/>
      <c r="F688" s="100"/>
      <c r="G688" s="100"/>
    </row>
    <row r="689">
      <c r="A689" s="100"/>
      <c r="B689" s="100"/>
      <c r="C689" s="100"/>
      <c r="D689" s="100"/>
      <c r="E689" s="100"/>
      <c r="F689" s="100"/>
      <c r="G689" s="100"/>
    </row>
    <row r="690">
      <c r="A690" s="100"/>
      <c r="B690" s="100"/>
      <c r="C690" s="100"/>
      <c r="D690" s="100"/>
      <c r="E690" s="100"/>
      <c r="F690" s="100"/>
      <c r="G690" s="100"/>
    </row>
    <row r="691">
      <c r="A691" s="100"/>
      <c r="B691" s="100"/>
      <c r="C691" s="100"/>
      <c r="D691" s="100"/>
      <c r="E691" s="100"/>
      <c r="F691" s="100"/>
      <c r="G691" s="100"/>
    </row>
    <row r="692">
      <c r="A692" s="100"/>
      <c r="B692" s="100"/>
      <c r="C692" s="100"/>
      <c r="D692" s="100"/>
      <c r="E692" s="100"/>
      <c r="F692" s="100"/>
      <c r="G692" s="100"/>
    </row>
    <row r="693">
      <c r="A693" s="100"/>
      <c r="B693" s="100"/>
      <c r="C693" s="100"/>
      <c r="D693" s="100"/>
      <c r="E693" s="100"/>
      <c r="F693" s="100"/>
      <c r="G693" s="100"/>
    </row>
    <row r="694">
      <c r="A694" s="100"/>
      <c r="B694" s="100"/>
      <c r="C694" s="100"/>
      <c r="D694" s="100"/>
      <c r="E694" s="100"/>
      <c r="F694" s="100"/>
      <c r="G694" s="100"/>
    </row>
    <row r="695">
      <c r="A695" s="100"/>
      <c r="B695" s="100"/>
      <c r="C695" s="100"/>
      <c r="D695" s="100"/>
      <c r="E695" s="100"/>
      <c r="F695" s="100"/>
      <c r="G695" s="100"/>
    </row>
    <row r="696">
      <c r="A696" s="100"/>
      <c r="B696" s="100"/>
      <c r="C696" s="100"/>
      <c r="D696" s="100"/>
      <c r="E696" s="100"/>
      <c r="F696" s="100"/>
      <c r="G696" s="100"/>
    </row>
    <row r="697">
      <c r="A697" s="100"/>
      <c r="B697" s="100"/>
      <c r="C697" s="100"/>
      <c r="D697" s="100"/>
      <c r="E697" s="100"/>
      <c r="F697" s="100"/>
      <c r="G697" s="100"/>
    </row>
    <row r="698">
      <c r="A698" s="100"/>
      <c r="B698" s="100"/>
      <c r="C698" s="100"/>
      <c r="D698" s="100"/>
      <c r="E698" s="100"/>
      <c r="F698" s="100"/>
      <c r="G698" s="100"/>
    </row>
    <row r="699">
      <c r="A699" s="100"/>
      <c r="B699" s="100"/>
      <c r="C699" s="100"/>
      <c r="D699" s="100"/>
      <c r="E699" s="100"/>
      <c r="F699" s="100"/>
      <c r="G699" s="100"/>
    </row>
    <row r="700">
      <c r="A700" s="100"/>
      <c r="B700" s="100"/>
      <c r="C700" s="100"/>
      <c r="D700" s="100"/>
      <c r="E700" s="100"/>
      <c r="F700" s="100"/>
      <c r="G700" s="100"/>
    </row>
    <row r="701">
      <c r="A701" s="100"/>
      <c r="B701" s="100"/>
      <c r="C701" s="100"/>
      <c r="D701" s="100"/>
      <c r="E701" s="100"/>
      <c r="F701" s="100"/>
      <c r="G701" s="100"/>
    </row>
    <row r="702">
      <c r="A702" s="100"/>
      <c r="B702" s="100"/>
      <c r="C702" s="100"/>
      <c r="D702" s="100"/>
      <c r="E702" s="100"/>
      <c r="F702" s="100"/>
      <c r="G702" s="100"/>
    </row>
    <row r="703">
      <c r="A703" s="100"/>
      <c r="B703" s="100"/>
      <c r="C703" s="100"/>
      <c r="D703" s="100"/>
      <c r="E703" s="100"/>
      <c r="F703" s="100"/>
      <c r="G703" s="100"/>
    </row>
    <row r="704">
      <c r="A704" s="100"/>
      <c r="B704" s="100"/>
      <c r="C704" s="100"/>
      <c r="D704" s="100"/>
      <c r="E704" s="100"/>
      <c r="F704" s="100"/>
      <c r="G704" s="100"/>
    </row>
    <row r="705">
      <c r="A705" s="100"/>
      <c r="B705" s="100"/>
      <c r="C705" s="100"/>
      <c r="D705" s="100"/>
      <c r="E705" s="100"/>
      <c r="F705" s="100"/>
      <c r="G705" s="100"/>
    </row>
    <row r="706">
      <c r="A706" s="100"/>
      <c r="B706" s="100"/>
      <c r="C706" s="100"/>
      <c r="D706" s="100"/>
      <c r="E706" s="100"/>
      <c r="F706" s="100"/>
      <c r="G706" s="100"/>
    </row>
    <row r="707">
      <c r="A707" s="100"/>
      <c r="B707" s="100"/>
      <c r="C707" s="100"/>
      <c r="D707" s="100"/>
      <c r="E707" s="100"/>
      <c r="F707" s="100"/>
      <c r="G707" s="100"/>
    </row>
    <row r="708">
      <c r="A708" s="100"/>
      <c r="B708" s="100"/>
      <c r="C708" s="100"/>
      <c r="D708" s="100"/>
      <c r="E708" s="100"/>
      <c r="F708" s="100"/>
      <c r="G708" s="100"/>
    </row>
    <row r="709">
      <c r="A709" s="100"/>
      <c r="B709" s="100"/>
      <c r="C709" s="100"/>
      <c r="D709" s="100"/>
      <c r="E709" s="100"/>
      <c r="F709" s="100"/>
      <c r="G709" s="100"/>
    </row>
    <row r="710">
      <c r="A710" s="100"/>
      <c r="B710" s="100"/>
      <c r="C710" s="100"/>
      <c r="D710" s="100"/>
      <c r="E710" s="100"/>
      <c r="F710" s="100"/>
      <c r="G710" s="100"/>
    </row>
    <row r="711">
      <c r="A711" s="100"/>
      <c r="B711" s="100"/>
      <c r="C711" s="100"/>
      <c r="D711" s="100"/>
      <c r="E711" s="100"/>
      <c r="F711" s="100"/>
      <c r="G711" s="100"/>
    </row>
    <row r="712">
      <c r="A712" s="100"/>
      <c r="B712" s="100"/>
      <c r="C712" s="100"/>
      <c r="D712" s="100"/>
      <c r="E712" s="100"/>
      <c r="F712" s="100"/>
      <c r="G712" s="100"/>
    </row>
    <row r="713">
      <c r="A713" s="100"/>
      <c r="B713" s="100"/>
      <c r="C713" s="100"/>
      <c r="D713" s="100"/>
      <c r="E713" s="100"/>
      <c r="F713" s="100"/>
      <c r="G713" s="100"/>
    </row>
    <row r="714">
      <c r="A714" s="100"/>
      <c r="B714" s="100"/>
      <c r="C714" s="100"/>
      <c r="D714" s="100"/>
      <c r="E714" s="100"/>
      <c r="F714" s="100"/>
      <c r="G714" s="100"/>
    </row>
    <row r="715">
      <c r="A715" s="100"/>
      <c r="B715" s="100"/>
      <c r="C715" s="100"/>
      <c r="D715" s="100"/>
      <c r="E715" s="100"/>
      <c r="F715" s="100"/>
      <c r="G715" s="100"/>
    </row>
    <row r="716">
      <c r="A716" s="100"/>
      <c r="B716" s="100"/>
      <c r="C716" s="100"/>
      <c r="D716" s="100"/>
      <c r="E716" s="100"/>
      <c r="F716" s="100"/>
      <c r="G716" s="100"/>
    </row>
    <row r="717">
      <c r="A717" s="100"/>
      <c r="B717" s="100"/>
      <c r="C717" s="100"/>
      <c r="D717" s="100"/>
      <c r="E717" s="100"/>
      <c r="F717" s="100"/>
      <c r="G717" s="100"/>
    </row>
    <row r="718">
      <c r="A718" s="100"/>
      <c r="B718" s="100"/>
      <c r="C718" s="100"/>
      <c r="D718" s="100"/>
      <c r="E718" s="100"/>
      <c r="F718" s="100"/>
      <c r="G718" s="100"/>
    </row>
    <row r="719">
      <c r="A719" s="100"/>
      <c r="B719" s="100"/>
      <c r="C719" s="100"/>
      <c r="D719" s="100"/>
      <c r="E719" s="100"/>
      <c r="F719" s="100"/>
      <c r="G719" s="100"/>
    </row>
    <row r="720">
      <c r="A720" s="100"/>
      <c r="B720" s="100"/>
      <c r="C720" s="100"/>
      <c r="D720" s="100"/>
      <c r="E720" s="100"/>
      <c r="F720" s="100"/>
      <c r="G720" s="100"/>
    </row>
    <row r="721">
      <c r="A721" s="100"/>
      <c r="B721" s="100"/>
      <c r="C721" s="100"/>
      <c r="D721" s="100"/>
      <c r="E721" s="100"/>
      <c r="F721" s="100"/>
      <c r="G721" s="100"/>
    </row>
    <row r="722">
      <c r="A722" s="100"/>
      <c r="B722" s="100"/>
      <c r="C722" s="100"/>
      <c r="D722" s="100"/>
      <c r="E722" s="100"/>
      <c r="F722" s="100"/>
      <c r="G722" s="100"/>
    </row>
    <row r="723">
      <c r="A723" s="100"/>
      <c r="B723" s="100"/>
      <c r="C723" s="100"/>
      <c r="D723" s="100"/>
      <c r="E723" s="100"/>
      <c r="F723" s="100"/>
      <c r="G723" s="100"/>
    </row>
    <row r="724">
      <c r="A724" s="100"/>
      <c r="B724" s="100"/>
      <c r="C724" s="100"/>
      <c r="D724" s="100"/>
      <c r="E724" s="100"/>
      <c r="F724" s="100"/>
      <c r="G724" s="100"/>
    </row>
    <row r="725">
      <c r="A725" s="100"/>
      <c r="B725" s="100"/>
      <c r="C725" s="100"/>
      <c r="D725" s="100"/>
      <c r="E725" s="100"/>
      <c r="F725" s="100"/>
      <c r="G725" s="100"/>
    </row>
    <row r="726">
      <c r="A726" s="100"/>
      <c r="B726" s="100"/>
      <c r="C726" s="100"/>
      <c r="D726" s="100"/>
      <c r="E726" s="100"/>
      <c r="F726" s="100"/>
      <c r="G726" s="100"/>
    </row>
    <row r="727">
      <c r="A727" s="100"/>
      <c r="B727" s="100"/>
      <c r="C727" s="100"/>
      <c r="D727" s="100"/>
      <c r="E727" s="100"/>
      <c r="F727" s="100"/>
      <c r="G727" s="100"/>
    </row>
    <row r="728">
      <c r="A728" s="100"/>
      <c r="B728" s="100"/>
      <c r="C728" s="100"/>
      <c r="D728" s="100"/>
      <c r="E728" s="100"/>
      <c r="F728" s="100"/>
      <c r="G728" s="100"/>
    </row>
    <row r="729">
      <c r="A729" s="100"/>
      <c r="B729" s="100"/>
      <c r="C729" s="100"/>
      <c r="D729" s="100"/>
      <c r="E729" s="100"/>
      <c r="F729" s="100"/>
      <c r="G729" s="100"/>
    </row>
    <row r="730">
      <c r="A730" s="100"/>
      <c r="B730" s="100"/>
      <c r="C730" s="100"/>
      <c r="D730" s="100"/>
      <c r="E730" s="100"/>
      <c r="F730" s="100"/>
      <c r="G730" s="100"/>
    </row>
    <row r="731">
      <c r="A731" s="100"/>
      <c r="B731" s="100"/>
      <c r="C731" s="100"/>
      <c r="D731" s="100"/>
      <c r="E731" s="100"/>
      <c r="F731" s="100"/>
      <c r="G731" s="100"/>
    </row>
    <row r="732">
      <c r="A732" s="100"/>
      <c r="B732" s="100"/>
      <c r="C732" s="100"/>
      <c r="D732" s="100"/>
      <c r="E732" s="100"/>
      <c r="F732" s="100"/>
      <c r="G732" s="100"/>
    </row>
    <row r="733">
      <c r="A733" s="100"/>
      <c r="B733" s="100"/>
      <c r="C733" s="100"/>
      <c r="D733" s="100"/>
      <c r="E733" s="100"/>
      <c r="F733" s="100"/>
      <c r="G733" s="100"/>
    </row>
    <row r="734">
      <c r="A734" s="100"/>
      <c r="B734" s="100"/>
      <c r="C734" s="100"/>
      <c r="D734" s="100"/>
      <c r="E734" s="100"/>
      <c r="F734" s="100"/>
      <c r="G734" s="100"/>
    </row>
    <row r="735">
      <c r="A735" s="100"/>
      <c r="B735" s="100"/>
      <c r="C735" s="100"/>
      <c r="D735" s="100"/>
      <c r="E735" s="100"/>
      <c r="F735" s="100"/>
      <c r="G735" s="100"/>
    </row>
    <row r="736">
      <c r="A736" s="100"/>
      <c r="B736" s="100"/>
      <c r="C736" s="100"/>
      <c r="D736" s="100"/>
      <c r="E736" s="100"/>
      <c r="F736" s="100"/>
      <c r="G736" s="100"/>
    </row>
    <row r="737">
      <c r="A737" s="100"/>
      <c r="B737" s="100"/>
      <c r="C737" s="100"/>
      <c r="D737" s="100"/>
      <c r="E737" s="100"/>
      <c r="F737" s="100"/>
      <c r="G737" s="100"/>
    </row>
    <row r="738">
      <c r="A738" s="100"/>
      <c r="B738" s="100"/>
      <c r="C738" s="100"/>
      <c r="D738" s="100"/>
      <c r="E738" s="100"/>
      <c r="F738" s="100"/>
      <c r="G738" s="100"/>
    </row>
    <row r="739">
      <c r="A739" s="100"/>
      <c r="B739" s="100"/>
      <c r="C739" s="100"/>
      <c r="D739" s="100"/>
      <c r="E739" s="100"/>
      <c r="F739" s="100"/>
      <c r="G739" s="100"/>
    </row>
    <row r="740">
      <c r="A740" s="100"/>
      <c r="B740" s="100"/>
      <c r="C740" s="100"/>
      <c r="D740" s="100"/>
      <c r="E740" s="100"/>
      <c r="F740" s="100"/>
      <c r="G740" s="100"/>
    </row>
    <row r="741">
      <c r="A741" s="100"/>
      <c r="B741" s="100"/>
      <c r="C741" s="100"/>
      <c r="D741" s="100"/>
      <c r="E741" s="100"/>
      <c r="F741" s="100"/>
      <c r="G741" s="100"/>
    </row>
    <row r="742">
      <c r="A742" s="100"/>
      <c r="B742" s="100"/>
      <c r="C742" s="100"/>
      <c r="D742" s="100"/>
      <c r="E742" s="100"/>
      <c r="F742" s="100"/>
      <c r="G742" s="100"/>
    </row>
    <row r="743">
      <c r="A743" s="100"/>
      <c r="B743" s="100"/>
      <c r="C743" s="100"/>
      <c r="D743" s="100"/>
      <c r="E743" s="100"/>
      <c r="F743" s="100"/>
      <c r="G743" s="100"/>
    </row>
    <row r="744">
      <c r="A744" s="100"/>
      <c r="B744" s="100"/>
      <c r="C744" s="100"/>
      <c r="D744" s="100"/>
      <c r="E744" s="100"/>
      <c r="F744" s="100"/>
      <c r="G744" s="100"/>
    </row>
    <row r="745">
      <c r="A745" s="100"/>
      <c r="B745" s="100"/>
      <c r="C745" s="100"/>
      <c r="D745" s="100"/>
      <c r="E745" s="100"/>
      <c r="F745" s="100"/>
      <c r="G745" s="100"/>
    </row>
    <row r="746">
      <c r="A746" s="100"/>
      <c r="B746" s="100"/>
      <c r="C746" s="100"/>
      <c r="D746" s="100"/>
      <c r="E746" s="100"/>
      <c r="F746" s="100"/>
      <c r="G746" s="100"/>
    </row>
    <row r="747">
      <c r="A747" s="100"/>
      <c r="B747" s="100"/>
      <c r="C747" s="100"/>
      <c r="D747" s="100"/>
      <c r="E747" s="100"/>
      <c r="F747" s="100"/>
      <c r="G747" s="100"/>
    </row>
    <row r="748">
      <c r="A748" s="100"/>
      <c r="B748" s="100"/>
      <c r="C748" s="100"/>
      <c r="D748" s="100"/>
      <c r="E748" s="100"/>
      <c r="F748" s="100"/>
      <c r="G748" s="100"/>
    </row>
    <row r="749">
      <c r="A749" s="100"/>
      <c r="B749" s="100"/>
      <c r="C749" s="100"/>
      <c r="D749" s="100"/>
      <c r="E749" s="100"/>
      <c r="F749" s="100"/>
      <c r="G749" s="100"/>
    </row>
    <row r="750">
      <c r="A750" s="100"/>
      <c r="B750" s="100"/>
      <c r="C750" s="100"/>
      <c r="D750" s="100"/>
      <c r="E750" s="100"/>
      <c r="F750" s="100"/>
      <c r="G750" s="100"/>
    </row>
    <row r="751">
      <c r="A751" s="100"/>
      <c r="B751" s="100"/>
      <c r="C751" s="100"/>
      <c r="D751" s="100"/>
      <c r="E751" s="100"/>
      <c r="F751" s="100"/>
      <c r="G751" s="100"/>
    </row>
    <row r="752">
      <c r="A752" s="100"/>
      <c r="B752" s="100"/>
      <c r="C752" s="100"/>
      <c r="D752" s="100"/>
      <c r="E752" s="100"/>
      <c r="F752" s="100"/>
      <c r="G752" s="100"/>
    </row>
    <row r="753">
      <c r="A753" s="100"/>
      <c r="B753" s="100"/>
      <c r="C753" s="100"/>
      <c r="D753" s="100"/>
      <c r="E753" s="100"/>
      <c r="F753" s="100"/>
      <c r="G753" s="100"/>
    </row>
    <row r="754">
      <c r="A754" s="100"/>
      <c r="B754" s="100"/>
      <c r="C754" s="100"/>
      <c r="D754" s="100"/>
      <c r="E754" s="100"/>
      <c r="F754" s="100"/>
      <c r="G754" s="100"/>
    </row>
    <row r="755">
      <c r="A755" s="100"/>
      <c r="B755" s="100"/>
      <c r="C755" s="100"/>
      <c r="D755" s="100"/>
      <c r="E755" s="100"/>
      <c r="F755" s="100"/>
      <c r="G755" s="100"/>
    </row>
    <row r="756">
      <c r="A756" s="100"/>
      <c r="B756" s="100"/>
      <c r="C756" s="100"/>
      <c r="D756" s="100"/>
      <c r="E756" s="100"/>
      <c r="F756" s="100"/>
      <c r="G756" s="100"/>
    </row>
    <row r="757">
      <c r="A757" s="100"/>
      <c r="B757" s="100"/>
      <c r="C757" s="100"/>
      <c r="D757" s="100"/>
      <c r="E757" s="100"/>
      <c r="F757" s="100"/>
      <c r="G757" s="100"/>
    </row>
    <row r="758">
      <c r="A758" s="100"/>
      <c r="B758" s="100"/>
      <c r="C758" s="100"/>
      <c r="D758" s="100"/>
      <c r="E758" s="100"/>
      <c r="F758" s="100"/>
      <c r="G758" s="100"/>
    </row>
    <row r="759">
      <c r="A759" s="100"/>
      <c r="B759" s="100"/>
      <c r="C759" s="100"/>
      <c r="D759" s="100"/>
      <c r="E759" s="100"/>
      <c r="F759" s="100"/>
      <c r="G759" s="100"/>
    </row>
    <row r="760">
      <c r="A760" s="100"/>
      <c r="B760" s="100"/>
      <c r="C760" s="100"/>
      <c r="D760" s="100"/>
      <c r="E760" s="100"/>
      <c r="F760" s="100"/>
      <c r="G760" s="100"/>
    </row>
    <row r="761">
      <c r="A761" s="100"/>
      <c r="B761" s="100"/>
      <c r="C761" s="100"/>
      <c r="D761" s="100"/>
      <c r="E761" s="100"/>
      <c r="F761" s="100"/>
      <c r="G761" s="100"/>
    </row>
    <row r="762">
      <c r="A762" s="100"/>
      <c r="B762" s="100"/>
      <c r="C762" s="100"/>
      <c r="D762" s="100"/>
      <c r="E762" s="100"/>
      <c r="F762" s="100"/>
      <c r="G762" s="100"/>
    </row>
    <row r="763">
      <c r="A763" s="100"/>
      <c r="B763" s="100"/>
      <c r="C763" s="100"/>
      <c r="D763" s="100"/>
      <c r="E763" s="100"/>
      <c r="F763" s="100"/>
      <c r="G763" s="100"/>
    </row>
    <row r="764">
      <c r="A764" s="100"/>
      <c r="B764" s="100"/>
      <c r="C764" s="100"/>
      <c r="D764" s="100"/>
      <c r="E764" s="100"/>
      <c r="F764" s="100"/>
      <c r="G764" s="100"/>
    </row>
    <row r="765">
      <c r="A765" s="100"/>
      <c r="B765" s="100"/>
      <c r="C765" s="100"/>
      <c r="D765" s="100"/>
      <c r="E765" s="100"/>
      <c r="F765" s="100"/>
      <c r="G765" s="100"/>
    </row>
    <row r="766">
      <c r="A766" s="100"/>
      <c r="B766" s="100"/>
      <c r="C766" s="100"/>
      <c r="D766" s="100"/>
      <c r="E766" s="100"/>
      <c r="F766" s="100"/>
      <c r="G766" s="100"/>
    </row>
    <row r="767">
      <c r="A767" s="100"/>
      <c r="B767" s="100"/>
      <c r="C767" s="100"/>
      <c r="D767" s="100"/>
      <c r="E767" s="100"/>
      <c r="F767" s="100"/>
      <c r="G767" s="100"/>
    </row>
    <row r="768">
      <c r="A768" s="100"/>
      <c r="B768" s="100"/>
      <c r="C768" s="100"/>
      <c r="D768" s="100"/>
      <c r="E768" s="100"/>
      <c r="F768" s="100"/>
      <c r="G768" s="100"/>
    </row>
    <row r="769">
      <c r="A769" s="100"/>
      <c r="B769" s="100"/>
      <c r="C769" s="100"/>
      <c r="D769" s="100"/>
      <c r="E769" s="100"/>
      <c r="F769" s="100"/>
      <c r="G769" s="100"/>
    </row>
    <row r="770">
      <c r="A770" s="100"/>
      <c r="B770" s="100"/>
      <c r="C770" s="100"/>
      <c r="D770" s="100"/>
      <c r="E770" s="100"/>
      <c r="F770" s="100"/>
      <c r="G770" s="100"/>
    </row>
    <row r="771">
      <c r="A771" s="100"/>
      <c r="B771" s="100"/>
      <c r="C771" s="100"/>
      <c r="D771" s="100"/>
      <c r="E771" s="100"/>
      <c r="F771" s="100"/>
      <c r="G771" s="100"/>
    </row>
    <row r="772">
      <c r="A772" s="100"/>
      <c r="B772" s="100"/>
      <c r="C772" s="100"/>
      <c r="D772" s="100"/>
      <c r="E772" s="100"/>
      <c r="F772" s="100"/>
      <c r="G772" s="100"/>
    </row>
    <row r="773">
      <c r="A773" s="100"/>
      <c r="B773" s="100"/>
      <c r="C773" s="100"/>
      <c r="D773" s="100"/>
      <c r="E773" s="100"/>
      <c r="F773" s="100"/>
      <c r="G773" s="1"/>
    </row>
    <row r="774">
      <c r="A774" s="100"/>
      <c r="B774" s="100"/>
      <c r="C774" s="100"/>
      <c r="D774" s="100"/>
      <c r="E774" s="100"/>
      <c r="F774" s="1"/>
      <c r="G774" s="1"/>
    </row>
    <row r="775">
      <c r="A775" s="100"/>
      <c r="B775" s="100"/>
      <c r="C775" s="100"/>
      <c r="D775" s="100"/>
      <c r="E775" s="100"/>
      <c r="F775" s="1"/>
      <c r="G775" s="1"/>
    </row>
    <row r="776">
      <c r="A776" s="100"/>
      <c r="B776" s="100"/>
      <c r="C776" s="100"/>
      <c r="D776" s="100"/>
      <c r="E776" s="100"/>
      <c r="F776" s="1"/>
      <c r="G776" s="1"/>
    </row>
    <row r="777">
      <c r="A777" s="100"/>
      <c r="B777" s="100"/>
      <c r="C777" s="100"/>
      <c r="D777" s="100"/>
      <c r="E777" s="100"/>
      <c r="F777" s="1"/>
      <c r="G777" s="1"/>
    </row>
    <row r="778">
      <c r="A778" s="100"/>
      <c r="B778" s="100"/>
      <c r="C778" s="100"/>
      <c r="D778" s="100"/>
      <c r="E778" s="100"/>
      <c r="F778" s="1"/>
      <c r="G778" s="1"/>
    </row>
    <row r="779">
      <c r="A779" s="100"/>
      <c r="B779" s="100"/>
      <c r="C779" s="100"/>
      <c r="D779" s="100"/>
      <c r="E779" s="100"/>
      <c r="F779" s="1"/>
      <c r="G779" s="1"/>
    </row>
    <row r="780">
      <c r="A780" s="100"/>
      <c r="B780" s="100"/>
      <c r="C780" s="100"/>
      <c r="D780" s="100"/>
      <c r="E780" s="100"/>
      <c r="F780" s="1"/>
      <c r="G780" s="1"/>
    </row>
    <row r="781">
      <c r="A781" s="100"/>
      <c r="B781" s="100"/>
      <c r="C781" s="100"/>
      <c r="D781" s="100"/>
      <c r="E781" s="100"/>
      <c r="F781" s="1"/>
      <c r="G781" s="1"/>
    </row>
    <row r="782">
      <c r="A782" s="100"/>
      <c r="B782" s="100"/>
      <c r="C782" s="100"/>
      <c r="D782" s="100"/>
      <c r="E782" s="100"/>
      <c r="F782" s="1"/>
      <c r="G782" s="1"/>
    </row>
    <row r="783">
      <c r="A783" s="100"/>
      <c r="B783" s="100"/>
      <c r="C783" s="100"/>
      <c r="D783" s="100"/>
      <c r="E783" s="100"/>
      <c r="F783" s="1"/>
      <c r="G783" s="1"/>
    </row>
    <row r="784">
      <c r="A784" s="100"/>
      <c r="B784" s="100"/>
      <c r="C784" s="100"/>
      <c r="D784" s="100"/>
      <c r="E784" s="100"/>
      <c r="F784" s="1"/>
      <c r="G784" s="1"/>
    </row>
    <row r="785">
      <c r="A785" s="100"/>
      <c r="B785" s="100"/>
      <c r="C785" s="100"/>
      <c r="D785" s="100"/>
      <c r="E785" s="100"/>
      <c r="F785" s="1"/>
      <c r="G785" s="1"/>
    </row>
    <row r="786">
      <c r="A786" s="100"/>
      <c r="B786" s="100"/>
      <c r="C786" s="100"/>
      <c r="D786" s="100"/>
      <c r="E786" s="100"/>
      <c r="F786" s="1"/>
      <c r="G786" s="1"/>
    </row>
    <row r="787">
      <c r="A787" s="100"/>
      <c r="B787" s="100"/>
      <c r="C787" s="100"/>
      <c r="D787" s="100"/>
      <c r="E787" s="100"/>
      <c r="F787" s="1"/>
      <c r="G787" s="1"/>
    </row>
    <row r="788">
      <c r="A788" s="100"/>
      <c r="B788" s="100"/>
      <c r="C788" s="100"/>
      <c r="D788" s="100"/>
      <c r="E788" s="100"/>
      <c r="F788" s="1"/>
      <c r="G788" s="1"/>
    </row>
    <row r="789">
      <c r="A789" s="100"/>
      <c r="B789" s="100"/>
      <c r="C789" s="100"/>
      <c r="D789" s="100"/>
      <c r="E789" s="100"/>
      <c r="F789" s="1"/>
      <c r="G789" s="1"/>
    </row>
    <row r="790">
      <c r="A790" s="100"/>
      <c r="B790" s="100"/>
      <c r="C790" s="100"/>
      <c r="D790" s="100"/>
      <c r="E790" s="100"/>
      <c r="F790" s="1"/>
      <c r="G790" s="1"/>
    </row>
    <row r="791">
      <c r="A791" s="100"/>
      <c r="B791" s="100"/>
      <c r="C791" s="100"/>
      <c r="D791" s="100"/>
      <c r="E791" s="100"/>
      <c r="F791" s="1"/>
      <c r="G791" s="1"/>
    </row>
    <row r="792">
      <c r="A792" s="100"/>
      <c r="B792" s="100"/>
      <c r="C792" s="100"/>
      <c r="D792" s="100"/>
      <c r="E792" s="100"/>
      <c r="F792" s="1"/>
      <c r="G792" s="1"/>
    </row>
    <row r="793">
      <c r="A793" s="100"/>
      <c r="B793" s="100"/>
      <c r="C793" s="100"/>
      <c r="D793" s="100"/>
      <c r="E793" s="100"/>
      <c r="F793" s="1"/>
      <c r="G793" s="1"/>
    </row>
    <row r="794">
      <c r="A794" s="100"/>
      <c r="B794" s="100"/>
      <c r="C794" s="100"/>
      <c r="D794" s="100"/>
      <c r="E794" s="100"/>
      <c r="F794" s="1"/>
      <c r="G794" s="1"/>
    </row>
    <row r="795">
      <c r="A795" s="100"/>
      <c r="B795" s="100"/>
      <c r="C795" s="100"/>
      <c r="D795" s="100"/>
      <c r="E795" s="100"/>
      <c r="F795" s="1"/>
      <c r="G795" s="1"/>
    </row>
    <row r="796">
      <c r="A796" s="100"/>
      <c r="B796" s="100"/>
      <c r="C796" s="100"/>
      <c r="D796" s="100"/>
      <c r="E796" s="100"/>
      <c r="F796" s="1"/>
      <c r="G796" s="1"/>
    </row>
    <row r="797">
      <c r="A797" s="100"/>
      <c r="B797" s="100"/>
      <c r="C797" s="100"/>
      <c r="D797" s="100"/>
      <c r="E797" s="100"/>
      <c r="F797" s="1"/>
      <c r="G797" s="1"/>
    </row>
    <row r="798">
      <c r="A798" s="100"/>
      <c r="B798" s="100"/>
      <c r="C798" s="100"/>
      <c r="D798" s="100"/>
      <c r="E798" s="100"/>
      <c r="F798" s="1"/>
      <c r="G798" s="1"/>
    </row>
    <row r="799">
      <c r="A799" s="100"/>
      <c r="B799" s="100"/>
      <c r="C799" s="100"/>
      <c r="D799" s="100"/>
      <c r="E799" s="100"/>
      <c r="F799" s="1"/>
      <c r="G799" s="1"/>
    </row>
  </sheetData>
  <mergeCells count="7">
    <mergeCell ref="A3:A4"/>
    <mergeCell ref="B3:B4"/>
    <mergeCell ref="C3:C4"/>
    <mergeCell ref="D3:D4"/>
    <mergeCell ref="E3:E4"/>
    <mergeCell ref="F3:F4"/>
    <mergeCell ref="G3:G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88.38"/>
  </cols>
  <sheetData>
    <row r="5">
      <c r="B5" s="101" t="s">
        <v>121</v>
      </c>
      <c r="C5" s="102"/>
      <c r="D5" s="102"/>
      <c r="E5" s="102"/>
      <c r="F5" s="102"/>
      <c r="G5" s="102"/>
    </row>
    <row r="6">
      <c r="B6" s="102"/>
      <c r="C6" s="102"/>
      <c r="D6" s="102"/>
      <c r="E6" s="102"/>
      <c r="F6" s="102"/>
      <c r="G6" s="102"/>
    </row>
    <row r="7">
      <c r="B7" s="101" t="s">
        <v>122</v>
      </c>
      <c r="C7" s="102"/>
      <c r="D7" s="102"/>
      <c r="E7" s="102"/>
      <c r="F7" s="102"/>
      <c r="G7" s="102"/>
    </row>
    <row r="8" ht="8.25" customHeight="1"/>
    <row r="9" ht="27.0" customHeight="1">
      <c r="B9" s="103" t="s">
        <v>123</v>
      </c>
    </row>
    <row r="11">
      <c r="B11" s="104"/>
    </row>
    <row r="12">
      <c r="B12" s="101" t="s">
        <v>124</v>
      </c>
    </row>
    <row r="13">
      <c r="B13" s="105"/>
    </row>
    <row r="14">
      <c r="B14" s="104"/>
    </row>
    <row r="15">
      <c r="B15" s="105"/>
    </row>
    <row r="16">
      <c r="B16" s="104"/>
    </row>
  </sheetData>
  <hyperlinks>
    <hyperlink r:id="rId1" ref="B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7.25"/>
    <col customWidth="1" min="3" max="3" width="4.25"/>
    <col customWidth="1" hidden="1" min="4" max="4" width="2.75"/>
    <col customWidth="1" min="5" max="5" width="18.88"/>
    <col customWidth="1" hidden="1" min="6" max="6" width="15.75"/>
    <col customWidth="1" hidden="1" min="7" max="7" width="17.38"/>
    <col customWidth="1" hidden="1" min="8" max="9" width="2.88"/>
    <col customWidth="1" min="10" max="10" width="14.5"/>
    <col customWidth="1" min="11" max="11" width="18.88"/>
    <col customWidth="1" min="12" max="12" width="19.25"/>
    <col customWidth="1" min="13" max="13" width="18.25"/>
    <col customWidth="1" min="14" max="14" width="4.25"/>
    <col customWidth="1" min="15" max="15" width="5.38"/>
    <col customWidth="1" min="16" max="16" width="20.63"/>
    <col customWidth="1" min="17" max="17" width="24.13"/>
    <col customWidth="1" min="18" max="18" width="17.75"/>
    <col customWidth="1" min="19" max="19" width="25.75"/>
    <col customWidth="1" min="20" max="20" width="33.88"/>
  </cols>
  <sheetData>
    <row r="1" ht="23.25" customHeight="1">
      <c r="A1" s="106"/>
      <c r="B1" s="107">
        <f>NOW()</f>
        <v>46137.95904</v>
      </c>
      <c r="C1" s="108">
        <f> COUNTIF(C5:C22, "&gt;0")</f>
        <v>8</v>
      </c>
      <c r="D1" s="109"/>
      <c r="F1" s="110"/>
      <c r="G1" s="110"/>
      <c r="H1" s="111"/>
      <c r="I1" s="111"/>
      <c r="J1" s="112" t="s">
        <v>125</v>
      </c>
      <c r="N1" s="113"/>
      <c r="O1" s="114">
        <v>46137.0</v>
      </c>
      <c r="P1" s="108" t="s">
        <v>126</v>
      </c>
      <c r="Q1" s="115"/>
      <c r="R1" s="116"/>
      <c r="S1" s="117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</row>
    <row r="2" ht="25.5" customHeight="1">
      <c r="A2" s="119">
        <v>18.0</v>
      </c>
      <c r="B2" s="120" t="s">
        <v>127</v>
      </c>
      <c r="C2" s="46"/>
      <c r="D2" s="121"/>
      <c r="E2" s="46"/>
      <c r="F2" s="46"/>
      <c r="G2" s="46"/>
      <c r="H2" s="122">
        <f t="shared" ref="H2:I2" si="1">COUNTIF(H4:H22, "&gt;0")</f>
        <v>0</v>
      </c>
      <c r="I2" s="122">
        <f t="shared" si="1"/>
        <v>0</v>
      </c>
      <c r="J2" s="46"/>
      <c r="K2" s="46"/>
      <c r="L2" s="123">
        <v>2.0</v>
      </c>
      <c r="M2" s="46"/>
      <c r="N2" s="124">
        <f>COUNTIF(N4:N22, "&gt;0")</f>
        <v>16</v>
      </c>
      <c r="O2" s="124">
        <f>COUNTIF(O4:O24, "&gt;0")</f>
        <v>4</v>
      </c>
      <c r="P2" s="125">
        <v>46137.0</v>
      </c>
      <c r="Q2" s="126"/>
      <c r="R2" s="127" t="s">
        <v>128</v>
      </c>
      <c r="S2" s="128" t="s">
        <v>129</v>
      </c>
      <c r="T2" s="128" t="s">
        <v>130</v>
      </c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</row>
    <row r="3" ht="22.5" customHeight="1">
      <c r="A3" s="129" t="s">
        <v>5</v>
      </c>
      <c r="B3" s="129" t="s">
        <v>6</v>
      </c>
      <c r="C3" s="129" t="s">
        <v>9</v>
      </c>
      <c r="D3" s="129"/>
      <c r="E3" s="129" t="s">
        <v>18</v>
      </c>
      <c r="F3" s="130" t="s">
        <v>131</v>
      </c>
      <c r="G3" s="129" t="s">
        <v>132</v>
      </c>
      <c r="H3" s="129"/>
      <c r="I3" s="129"/>
      <c r="J3" s="131" t="s">
        <v>133</v>
      </c>
      <c r="K3" s="132"/>
      <c r="L3" s="132"/>
      <c r="M3" s="133"/>
      <c r="N3" s="129" t="s">
        <v>134</v>
      </c>
      <c r="O3" s="129" t="s">
        <v>135</v>
      </c>
      <c r="P3" s="130" t="s">
        <v>136</v>
      </c>
      <c r="Q3" s="134" t="s">
        <v>137</v>
      </c>
      <c r="R3" s="127" t="s">
        <v>138</v>
      </c>
      <c r="S3" s="128" t="s">
        <v>139</v>
      </c>
      <c r="T3" s="135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</row>
    <row r="4" ht="27.0" customHeight="1">
      <c r="A4" s="50"/>
      <c r="B4" s="50"/>
      <c r="C4" s="50"/>
      <c r="D4" s="50"/>
      <c r="E4" s="50"/>
      <c r="F4" s="50"/>
      <c r="G4" s="50"/>
      <c r="H4" s="50"/>
      <c r="I4" s="50"/>
      <c r="J4" s="137" t="s">
        <v>140</v>
      </c>
      <c r="K4" s="137" t="s">
        <v>141</v>
      </c>
      <c r="L4" s="137" t="s">
        <v>142</v>
      </c>
      <c r="M4" s="137" t="s">
        <v>143</v>
      </c>
      <c r="N4" s="50"/>
      <c r="O4" s="50"/>
      <c r="P4" s="50"/>
      <c r="Q4" s="12"/>
      <c r="R4" s="117"/>
      <c r="S4" s="117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</row>
    <row r="5" ht="27.75" customHeight="1">
      <c r="A5" s="138">
        <v>1.0</v>
      </c>
      <c r="B5" s="139" t="s">
        <v>144</v>
      </c>
      <c r="C5" s="140">
        <v>5.0</v>
      </c>
      <c r="D5" s="58"/>
      <c r="E5" s="57" t="s">
        <v>96</v>
      </c>
      <c r="F5" s="59" t="s">
        <v>145</v>
      </c>
      <c r="G5" s="59" t="s">
        <v>146</v>
      </c>
      <c r="H5" s="72"/>
      <c r="I5" s="139"/>
      <c r="J5" s="141" t="s">
        <v>147</v>
      </c>
      <c r="K5" s="139" t="s">
        <v>148</v>
      </c>
      <c r="L5" s="141" t="s">
        <v>145</v>
      </c>
      <c r="M5" s="141" t="s">
        <v>149</v>
      </c>
      <c r="N5" s="142">
        <v>1.0</v>
      </c>
      <c r="O5" s="142">
        <v>1.0</v>
      </c>
      <c r="P5" s="59"/>
      <c r="Q5" s="59"/>
      <c r="R5" s="117"/>
      <c r="S5" s="117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ht="30.0" customHeight="1">
      <c r="A6" s="138">
        <f t="shared" ref="A6:A22" si="2">A5+1</f>
        <v>2</v>
      </c>
      <c r="B6" s="57" t="s">
        <v>19</v>
      </c>
      <c r="C6" s="143"/>
      <c r="D6" s="58"/>
      <c r="E6" s="57" t="s">
        <v>20</v>
      </c>
      <c r="F6" s="144"/>
      <c r="G6" s="144"/>
      <c r="H6" s="72"/>
      <c r="I6" s="139"/>
      <c r="J6" s="141" t="s">
        <v>150</v>
      </c>
      <c r="K6" s="139" t="s">
        <v>151</v>
      </c>
      <c r="L6" s="141" t="s">
        <v>152</v>
      </c>
      <c r="M6" s="141" t="s">
        <v>153</v>
      </c>
      <c r="N6" s="144"/>
      <c r="O6" s="59"/>
      <c r="P6" s="59" t="s">
        <v>154</v>
      </c>
      <c r="Q6" s="59"/>
      <c r="R6" s="145" t="s">
        <v>155</v>
      </c>
      <c r="S6" s="146" t="s">
        <v>156</v>
      </c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ht="30.75" customHeight="1">
      <c r="A7" s="138">
        <f t="shared" si="2"/>
        <v>3</v>
      </c>
      <c r="B7" s="139" t="s">
        <v>157</v>
      </c>
      <c r="C7" s="140">
        <v>5.0</v>
      </c>
      <c r="D7" s="58"/>
      <c r="E7" s="57" t="s">
        <v>28</v>
      </c>
      <c r="F7" s="59" t="s">
        <v>83</v>
      </c>
      <c r="G7" s="72" t="s">
        <v>158</v>
      </c>
      <c r="H7" s="72"/>
      <c r="I7" s="139"/>
      <c r="J7" s="139" t="s">
        <v>48</v>
      </c>
      <c r="K7" s="147" t="s">
        <v>159</v>
      </c>
      <c r="L7" s="148" t="s">
        <v>83</v>
      </c>
      <c r="M7" s="139" t="s">
        <v>160</v>
      </c>
      <c r="N7" s="142">
        <v>1.0</v>
      </c>
      <c r="O7" s="142">
        <v>1.0</v>
      </c>
      <c r="P7" s="59"/>
      <c r="Q7" s="59"/>
      <c r="R7" s="117"/>
      <c r="S7" s="117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ht="60.75" customHeight="1">
      <c r="A8" s="138">
        <f t="shared" si="2"/>
        <v>4</v>
      </c>
      <c r="B8" s="57" t="s">
        <v>161</v>
      </c>
      <c r="C8" s="140"/>
      <c r="D8" s="58"/>
      <c r="E8" s="57" t="s">
        <v>22</v>
      </c>
      <c r="F8" s="59" t="s">
        <v>162</v>
      </c>
      <c r="G8" s="59" t="s">
        <v>163</v>
      </c>
      <c r="H8" s="72"/>
      <c r="I8" s="141"/>
      <c r="J8" s="141" t="s">
        <v>164</v>
      </c>
      <c r="K8" s="139" t="s">
        <v>165</v>
      </c>
      <c r="L8" s="141" t="s">
        <v>162</v>
      </c>
      <c r="M8" s="141" t="s">
        <v>166</v>
      </c>
      <c r="N8" s="142">
        <v>1.0</v>
      </c>
      <c r="O8" s="142"/>
      <c r="P8" s="59" t="s">
        <v>167</v>
      </c>
      <c r="Q8" s="59"/>
      <c r="R8" s="145" t="s">
        <v>168</v>
      </c>
      <c r="S8" s="146" t="s">
        <v>169</v>
      </c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</row>
    <row r="9" ht="31.5" customHeight="1">
      <c r="A9" s="150">
        <f t="shared" si="2"/>
        <v>5</v>
      </c>
      <c r="B9" s="57" t="s">
        <v>21</v>
      </c>
      <c r="C9" s="58"/>
      <c r="D9" s="57"/>
      <c r="E9" s="57" t="s">
        <v>22</v>
      </c>
      <c r="F9" s="144"/>
      <c r="G9" s="144"/>
      <c r="H9" s="72"/>
      <c r="I9" s="141"/>
      <c r="J9" s="141" t="s">
        <v>48</v>
      </c>
      <c r="K9" s="139" t="s">
        <v>159</v>
      </c>
      <c r="L9" s="141" t="s">
        <v>83</v>
      </c>
      <c r="M9" s="141" t="s">
        <v>160</v>
      </c>
      <c r="N9" s="151"/>
      <c r="O9" s="59"/>
      <c r="P9" s="59" t="s">
        <v>170</v>
      </c>
      <c r="Q9" s="59"/>
      <c r="R9" s="145" t="s">
        <v>171</v>
      </c>
      <c r="S9" s="146" t="s">
        <v>172</v>
      </c>
      <c r="T9" s="152"/>
      <c r="U9" s="152"/>
      <c r="V9" s="152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</row>
    <row r="10" ht="37.5" customHeight="1">
      <c r="A10" s="138">
        <f t="shared" si="2"/>
        <v>6</v>
      </c>
      <c r="B10" s="57" t="s">
        <v>23</v>
      </c>
      <c r="C10" s="143"/>
      <c r="D10" s="58"/>
      <c r="E10" s="57" t="s">
        <v>24</v>
      </c>
      <c r="F10" s="59" t="s">
        <v>173</v>
      </c>
      <c r="G10" s="59" t="s">
        <v>174</v>
      </c>
      <c r="H10" s="72"/>
      <c r="I10" s="141"/>
      <c r="J10" s="141" t="s">
        <v>175</v>
      </c>
      <c r="K10" s="139" t="s">
        <v>176</v>
      </c>
      <c r="L10" s="141" t="s">
        <v>173</v>
      </c>
      <c r="M10" s="141" t="s">
        <v>177</v>
      </c>
      <c r="N10" s="153">
        <v>1.0</v>
      </c>
      <c r="O10" s="59"/>
      <c r="P10" s="59"/>
      <c r="Q10" s="59"/>
      <c r="R10" s="145" t="s">
        <v>178</v>
      </c>
      <c r="S10" s="146" t="s">
        <v>179</v>
      </c>
      <c r="T10" s="152"/>
      <c r="U10" s="152"/>
      <c r="V10" s="152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</row>
    <row r="11" ht="34.5" customHeight="1">
      <c r="A11" s="138">
        <f t="shared" si="2"/>
        <v>7</v>
      </c>
      <c r="B11" s="57" t="s">
        <v>25</v>
      </c>
      <c r="C11" s="143"/>
      <c r="D11" s="58"/>
      <c r="E11" s="57" t="s">
        <v>26</v>
      </c>
      <c r="F11" s="59" t="s">
        <v>180</v>
      </c>
      <c r="G11" s="59" t="s">
        <v>181</v>
      </c>
      <c r="H11" s="72"/>
      <c r="I11" s="139"/>
      <c r="J11" s="141" t="s">
        <v>182</v>
      </c>
      <c r="K11" s="139" t="s">
        <v>183</v>
      </c>
      <c r="L11" s="141" t="s">
        <v>180</v>
      </c>
      <c r="M11" s="141" t="s">
        <v>184</v>
      </c>
      <c r="N11" s="153">
        <v>1.0</v>
      </c>
      <c r="O11" s="59"/>
      <c r="P11" s="59"/>
      <c r="Q11" s="59"/>
      <c r="R11" s="145" t="s">
        <v>185</v>
      </c>
      <c r="S11" s="146" t="s">
        <v>186</v>
      </c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</row>
    <row r="12" ht="42.0" customHeight="1">
      <c r="A12" s="138">
        <f t="shared" si="2"/>
        <v>8</v>
      </c>
      <c r="B12" s="57" t="s">
        <v>27</v>
      </c>
      <c r="C12" s="154">
        <v>5.0</v>
      </c>
      <c r="D12" s="58"/>
      <c r="E12" s="155" t="s">
        <v>28</v>
      </c>
      <c r="F12" s="59" t="s">
        <v>187</v>
      </c>
      <c r="G12" s="59" t="s">
        <v>188</v>
      </c>
      <c r="H12" s="72"/>
      <c r="I12" s="141"/>
      <c r="J12" s="141" t="s">
        <v>189</v>
      </c>
      <c r="K12" s="139" t="s">
        <v>190</v>
      </c>
      <c r="L12" s="141" t="s">
        <v>187</v>
      </c>
      <c r="M12" s="141" t="s">
        <v>191</v>
      </c>
      <c r="N12" s="153">
        <v>1.0</v>
      </c>
      <c r="O12" s="142"/>
      <c r="P12" s="59" t="s">
        <v>192</v>
      </c>
      <c r="Q12" s="59"/>
      <c r="R12" s="145" t="s">
        <v>193</v>
      </c>
      <c r="S12" s="146" t="s">
        <v>194</v>
      </c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</row>
    <row r="13" ht="43.5" customHeight="1">
      <c r="A13" s="138">
        <f t="shared" si="2"/>
        <v>9</v>
      </c>
      <c r="B13" s="139" t="s">
        <v>195</v>
      </c>
      <c r="C13" s="140">
        <v>5.0</v>
      </c>
      <c r="D13" s="58"/>
      <c r="E13" s="57" t="s">
        <v>24</v>
      </c>
      <c r="F13" s="59" t="s">
        <v>196</v>
      </c>
      <c r="G13" s="156" t="s">
        <v>197</v>
      </c>
      <c r="H13" s="72"/>
      <c r="I13" s="141"/>
      <c r="J13" s="141" t="s">
        <v>198</v>
      </c>
      <c r="K13" s="139" t="s">
        <v>199</v>
      </c>
      <c r="L13" s="141" t="s">
        <v>196</v>
      </c>
      <c r="M13" s="141" t="s">
        <v>200</v>
      </c>
      <c r="N13" s="142">
        <v>1.0</v>
      </c>
      <c r="O13" s="142">
        <v>1.0</v>
      </c>
      <c r="P13" s="59"/>
      <c r="Q13" s="59"/>
      <c r="R13" s="145" t="s">
        <v>201</v>
      </c>
      <c r="S13" s="146" t="s">
        <v>202</v>
      </c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</row>
    <row r="14">
      <c r="A14" s="138">
        <f t="shared" si="2"/>
        <v>10</v>
      </c>
      <c r="B14" s="57" t="s">
        <v>29</v>
      </c>
      <c r="C14" s="143"/>
      <c r="D14" s="58"/>
      <c r="E14" s="95" t="s">
        <v>37</v>
      </c>
      <c r="F14" s="59" t="s">
        <v>203</v>
      </c>
      <c r="G14" s="59" t="s">
        <v>204</v>
      </c>
      <c r="H14" s="72"/>
      <c r="I14" s="157"/>
      <c r="J14" s="141" t="s">
        <v>205</v>
      </c>
      <c r="K14" s="158" t="s">
        <v>206</v>
      </c>
      <c r="L14" s="159" t="s">
        <v>203</v>
      </c>
      <c r="M14" s="141" t="s">
        <v>207</v>
      </c>
      <c r="N14" s="142">
        <v>1.0</v>
      </c>
      <c r="O14" s="59"/>
      <c r="P14" s="59"/>
      <c r="Q14" s="59"/>
      <c r="R14" s="145" t="s">
        <v>208</v>
      </c>
      <c r="S14" s="146" t="s">
        <v>209</v>
      </c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</row>
    <row r="15">
      <c r="A15" s="138">
        <f t="shared" si="2"/>
        <v>11</v>
      </c>
      <c r="B15" s="57" t="s">
        <v>210</v>
      </c>
      <c r="C15" s="143"/>
      <c r="D15" s="58"/>
      <c r="E15" s="57" t="s">
        <v>24</v>
      </c>
      <c r="F15" s="59" t="s">
        <v>211</v>
      </c>
      <c r="G15" s="160" t="s">
        <v>212</v>
      </c>
      <c r="H15" s="72"/>
      <c r="I15" s="141"/>
      <c r="J15" s="141" t="s">
        <v>213</v>
      </c>
      <c r="K15" s="158" t="s">
        <v>214</v>
      </c>
      <c r="L15" s="159" t="s">
        <v>211</v>
      </c>
      <c r="M15" s="141" t="s">
        <v>215</v>
      </c>
      <c r="N15" s="142">
        <v>1.0</v>
      </c>
      <c r="O15" s="59"/>
      <c r="P15" s="59"/>
      <c r="Q15" s="59"/>
      <c r="R15" s="145" t="s">
        <v>216</v>
      </c>
      <c r="S15" s="146" t="s">
        <v>217</v>
      </c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</row>
    <row r="16" ht="27.75" customHeight="1">
      <c r="A16" s="138">
        <f t="shared" si="2"/>
        <v>12</v>
      </c>
      <c r="B16" s="57" t="s">
        <v>218</v>
      </c>
      <c r="C16" s="154">
        <v>5.0</v>
      </c>
      <c r="D16" s="58"/>
      <c r="E16" s="57" t="s">
        <v>55</v>
      </c>
      <c r="F16" s="59" t="s">
        <v>219</v>
      </c>
      <c r="G16" s="59" t="s">
        <v>220</v>
      </c>
      <c r="H16" s="72"/>
      <c r="I16" s="141"/>
      <c r="J16" s="141" t="s">
        <v>221</v>
      </c>
      <c r="K16" s="139" t="s">
        <v>222</v>
      </c>
      <c r="L16" s="141" t="s">
        <v>219</v>
      </c>
      <c r="M16" s="141" t="s">
        <v>223</v>
      </c>
      <c r="N16" s="142">
        <v>1.0</v>
      </c>
      <c r="O16" s="142"/>
      <c r="P16" s="59" t="s">
        <v>192</v>
      </c>
      <c r="Q16" s="59"/>
      <c r="R16" s="145" t="s">
        <v>224</v>
      </c>
      <c r="S16" s="146" t="s">
        <v>225</v>
      </c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</row>
    <row r="17" ht="30.75" customHeight="1">
      <c r="A17" s="138">
        <f t="shared" si="2"/>
        <v>13</v>
      </c>
      <c r="B17" s="57" t="s">
        <v>226</v>
      </c>
      <c r="C17" s="154">
        <v>5.0</v>
      </c>
      <c r="D17" s="143"/>
      <c r="E17" s="57" t="s">
        <v>37</v>
      </c>
      <c r="F17" s="59" t="s">
        <v>227</v>
      </c>
      <c r="G17" s="59" t="s">
        <v>228</v>
      </c>
      <c r="H17" s="72"/>
      <c r="I17" s="141"/>
      <c r="J17" s="141" t="s">
        <v>229</v>
      </c>
      <c r="K17" s="139" t="s">
        <v>230</v>
      </c>
      <c r="L17" s="141" t="s">
        <v>227</v>
      </c>
      <c r="M17" s="141" t="s">
        <v>231</v>
      </c>
      <c r="N17" s="142">
        <v>1.0</v>
      </c>
      <c r="O17" s="142"/>
      <c r="P17" s="59" t="s">
        <v>192</v>
      </c>
      <c r="Q17" s="59"/>
      <c r="R17" s="145" t="s">
        <v>232</v>
      </c>
      <c r="S17" s="146" t="s">
        <v>233</v>
      </c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</row>
    <row r="18" ht="31.5" customHeight="1">
      <c r="A18" s="138">
        <f t="shared" si="2"/>
        <v>14</v>
      </c>
      <c r="B18" s="57" t="s">
        <v>234</v>
      </c>
      <c r="C18" s="143"/>
      <c r="D18" s="58"/>
      <c r="E18" s="57" t="s">
        <v>33</v>
      </c>
      <c r="F18" s="59" t="s">
        <v>235</v>
      </c>
      <c r="G18" s="59" t="s">
        <v>146</v>
      </c>
      <c r="H18" s="72"/>
      <c r="I18" s="141"/>
      <c r="J18" s="141" t="s">
        <v>236</v>
      </c>
      <c r="K18" s="139" t="s">
        <v>237</v>
      </c>
      <c r="L18" s="141" t="s">
        <v>235</v>
      </c>
      <c r="M18" s="141" t="s">
        <v>238</v>
      </c>
      <c r="N18" s="142">
        <v>1.0</v>
      </c>
      <c r="O18" s="126"/>
      <c r="P18" s="59"/>
      <c r="Q18" s="59"/>
      <c r="R18" s="145"/>
      <c r="S18" s="146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61"/>
      <c r="AO18" s="161"/>
      <c r="AP18" s="161"/>
      <c r="AQ18" s="161"/>
      <c r="AR18" s="161"/>
      <c r="AS18" s="161"/>
    </row>
    <row r="19" ht="36.75" customHeight="1">
      <c r="A19" s="138">
        <f t="shared" si="2"/>
        <v>15</v>
      </c>
      <c r="B19" s="57" t="s">
        <v>32</v>
      </c>
      <c r="C19" s="154">
        <v>5.0</v>
      </c>
      <c r="D19" s="58"/>
      <c r="E19" s="57" t="s">
        <v>33</v>
      </c>
      <c r="F19" s="59" t="s">
        <v>239</v>
      </c>
      <c r="G19" s="59" t="s">
        <v>240</v>
      </c>
      <c r="H19" s="72"/>
      <c r="I19" s="141"/>
      <c r="J19" s="141" t="s">
        <v>241</v>
      </c>
      <c r="K19" s="139" t="s">
        <v>242</v>
      </c>
      <c r="L19" s="141" t="s">
        <v>243</v>
      </c>
      <c r="M19" s="141" t="s">
        <v>244</v>
      </c>
      <c r="N19" s="142">
        <v>1.0</v>
      </c>
      <c r="O19" s="142"/>
      <c r="P19" s="59" t="s">
        <v>167</v>
      </c>
      <c r="Q19" s="59"/>
      <c r="R19" s="145" t="s">
        <v>245</v>
      </c>
      <c r="S19" s="146" t="s">
        <v>246</v>
      </c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</row>
    <row r="20" ht="64.5" customHeight="1">
      <c r="A20" s="138">
        <f t="shared" si="2"/>
        <v>16</v>
      </c>
      <c r="B20" s="57" t="s">
        <v>247</v>
      </c>
      <c r="C20" s="140"/>
      <c r="D20" s="58"/>
      <c r="E20" s="57" t="s">
        <v>22</v>
      </c>
      <c r="F20" s="59" t="s">
        <v>162</v>
      </c>
      <c r="G20" s="59" t="s">
        <v>163</v>
      </c>
      <c r="H20" s="72"/>
      <c r="I20" s="141"/>
      <c r="J20" s="141" t="s">
        <v>164</v>
      </c>
      <c r="K20" s="139" t="s">
        <v>165</v>
      </c>
      <c r="L20" s="141" t="s">
        <v>162</v>
      </c>
      <c r="M20" s="141" t="s">
        <v>166</v>
      </c>
      <c r="N20" s="142">
        <v>1.0</v>
      </c>
      <c r="O20" s="142"/>
      <c r="P20" s="59" t="s">
        <v>167</v>
      </c>
      <c r="Q20" s="59"/>
      <c r="R20" s="145" t="s">
        <v>248</v>
      </c>
      <c r="S20" s="146" t="s">
        <v>249</v>
      </c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</row>
    <row r="21" ht="36.0" customHeight="1">
      <c r="A21" s="138">
        <f t="shared" si="2"/>
        <v>17</v>
      </c>
      <c r="B21" s="139" t="s">
        <v>36</v>
      </c>
      <c r="C21" s="140">
        <v>5.0</v>
      </c>
      <c r="D21" s="58"/>
      <c r="E21" s="57" t="s">
        <v>37</v>
      </c>
      <c r="F21" s="59" t="s">
        <v>227</v>
      </c>
      <c r="G21" s="59" t="s">
        <v>146</v>
      </c>
      <c r="H21" s="72"/>
      <c r="I21" s="141"/>
      <c r="J21" s="141" t="s">
        <v>250</v>
      </c>
      <c r="K21" s="139" t="s">
        <v>251</v>
      </c>
      <c r="L21" s="141" t="s">
        <v>227</v>
      </c>
      <c r="M21" s="141" t="s">
        <v>252</v>
      </c>
      <c r="N21" s="142">
        <v>1.0</v>
      </c>
      <c r="O21" s="142">
        <v>1.0</v>
      </c>
      <c r="P21" s="59"/>
      <c r="Q21" s="59"/>
      <c r="R21" s="145" t="s">
        <v>253</v>
      </c>
      <c r="S21" s="146" t="s">
        <v>254</v>
      </c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</row>
    <row r="22" ht="33.0" customHeight="1">
      <c r="A22" s="138">
        <f t="shared" si="2"/>
        <v>18</v>
      </c>
      <c r="B22" s="57" t="s">
        <v>38</v>
      </c>
      <c r="C22" s="143"/>
      <c r="D22" s="58"/>
      <c r="E22" s="57" t="s">
        <v>24</v>
      </c>
      <c r="F22" s="59" t="s">
        <v>255</v>
      </c>
      <c r="G22" s="59" t="s">
        <v>158</v>
      </c>
      <c r="H22" s="72"/>
      <c r="I22" s="139"/>
      <c r="J22" s="139" t="s">
        <v>48</v>
      </c>
      <c r="K22" s="147" t="s">
        <v>159</v>
      </c>
      <c r="L22" s="148" t="s">
        <v>83</v>
      </c>
      <c r="M22" s="139" t="s">
        <v>160</v>
      </c>
      <c r="N22" s="142">
        <v>1.0</v>
      </c>
      <c r="O22" s="59"/>
      <c r="P22" s="59"/>
      <c r="Q22" s="59"/>
      <c r="R22" s="145"/>
      <c r="S22" s="146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</row>
    <row r="23" ht="24.75" customHeight="1">
      <c r="A23" s="162">
        <v>46137.0</v>
      </c>
      <c r="B23" s="163" t="s">
        <v>126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64"/>
      <c r="O23" s="161"/>
      <c r="P23" s="118"/>
      <c r="Q23" s="118"/>
      <c r="R23" s="117"/>
      <c r="S23" s="117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64"/>
      <c r="O24" s="161"/>
      <c r="P24" s="118"/>
      <c r="Q24" s="118"/>
      <c r="R24" s="117"/>
      <c r="S24" s="117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64"/>
      <c r="O25" s="161"/>
      <c r="P25" s="118"/>
      <c r="Q25" s="118"/>
      <c r="R25" s="117"/>
      <c r="S25" s="117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N26" s="164"/>
      <c r="O26" s="161"/>
      <c r="P26" s="118"/>
      <c r="Q26" s="118"/>
      <c r="R26" s="117"/>
      <c r="S26" s="117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64"/>
      <c r="O27" s="161"/>
      <c r="P27" s="118"/>
      <c r="Q27" s="118"/>
      <c r="R27" s="117"/>
      <c r="S27" s="117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64"/>
      <c r="O28" s="161"/>
      <c r="P28" s="118"/>
      <c r="Q28" s="118"/>
      <c r="R28" s="117"/>
      <c r="S28" s="117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64"/>
      <c r="O29" s="161"/>
      <c r="P29" s="118"/>
      <c r="Q29" s="118"/>
      <c r="R29" s="117"/>
      <c r="S29" s="117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64"/>
      <c r="O30" s="161"/>
      <c r="P30" s="118"/>
      <c r="Q30" s="118"/>
      <c r="R30" s="117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64"/>
      <c r="O31" s="161"/>
      <c r="P31" s="118"/>
      <c r="Q31" s="118"/>
      <c r="R31" s="117"/>
      <c r="S31" s="117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64"/>
      <c r="O32" s="161"/>
      <c r="P32" s="118"/>
      <c r="Q32" s="118"/>
      <c r="R32" s="117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64"/>
      <c r="O33" s="161"/>
      <c r="P33" s="118"/>
      <c r="Q33" s="118"/>
      <c r="R33" s="117"/>
      <c r="S33" s="117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64"/>
      <c r="O34" s="161"/>
      <c r="P34" s="118"/>
      <c r="Q34" s="118"/>
      <c r="R34" s="117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64"/>
      <c r="O35" s="161"/>
      <c r="P35" s="118"/>
      <c r="Q35" s="118"/>
      <c r="R35" s="117"/>
      <c r="S35" s="117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64"/>
      <c r="O36" s="161"/>
      <c r="P36" s="118"/>
      <c r="Q36" s="118"/>
      <c r="R36" s="117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64"/>
      <c r="O37" s="161"/>
      <c r="P37" s="118"/>
      <c r="Q37" s="118"/>
      <c r="R37" s="117"/>
      <c r="S37" s="117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</row>
    <row r="38">
      <c r="A38" s="118"/>
      <c r="B38" s="165">
        <f>A2+'N3446'!A2+'N3447'!A2+'N3448'!A2+'N3449'!A2+'N3450'!A2+'N3451'!A2+'N3452'!A2</f>
        <v>144</v>
      </c>
      <c r="C38" s="166"/>
      <c r="D38" s="166"/>
      <c r="E38" s="166"/>
      <c r="F38" s="118"/>
      <c r="G38" s="118"/>
      <c r="H38" s="118"/>
      <c r="I38" s="118"/>
      <c r="J38" s="118"/>
      <c r="K38" s="165">
        <f>E41</f>
        <v>141</v>
      </c>
      <c r="L38" s="167" t="s">
        <v>256</v>
      </c>
      <c r="M38" s="167" t="s">
        <v>257</v>
      </c>
      <c r="O38" s="161"/>
      <c r="Q38" s="118"/>
      <c r="R38" s="117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</row>
    <row r="39">
      <c r="A39" s="118"/>
      <c r="B39" s="168">
        <f>I2+'N3446'!I2+'N3447'!I2+'N3448'!I2+'N3449'!I2+'N3450'!I2+'N3451'!I2+'N3452'!I2</f>
        <v>5</v>
      </c>
      <c r="C39" s="169"/>
      <c r="D39" s="169"/>
      <c r="E39" s="170">
        <f>B38-B39</f>
        <v>139</v>
      </c>
      <c r="F39" s="118"/>
      <c r="G39" s="118"/>
      <c r="H39" s="118"/>
      <c r="I39" s="118"/>
      <c r="J39" s="118"/>
      <c r="K39" s="168">
        <f>K38-L39</f>
        <v>23</v>
      </c>
      <c r="L39" s="170">
        <f>N2+'N3446'!N2+'N3447'!N2+'N3448'!N2+'N3449'!N2+'N3450'!N2+'N3451'!N2+'N3452'!N2</f>
        <v>118</v>
      </c>
      <c r="M39" s="170">
        <f>O2+'N3446'!O2+'N3447'!O2+'N3448'!O2+'N3449'!O2+'N3450'!O2+'N3451'!O2+'N3452'!O2</f>
        <v>30</v>
      </c>
      <c r="O39" s="161"/>
      <c r="Q39" s="118"/>
      <c r="R39" s="117"/>
      <c r="S39" s="117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</row>
    <row r="40" ht="21.75" customHeight="1">
      <c r="A40" s="118"/>
      <c r="B40" s="171">
        <f>H2+'N3446'!H2+'N3447'!H2+'N3448'!H2+'N3449'!H2+'N3450'!H2+'N3451'!H2+'N3452'!H2</f>
        <v>2</v>
      </c>
      <c r="C40" s="169"/>
      <c r="D40" s="169"/>
      <c r="E40" s="169"/>
      <c r="F40" s="118"/>
      <c r="G40" s="118"/>
      <c r="H40" s="118"/>
      <c r="I40" s="118"/>
      <c r="J40" s="118"/>
      <c r="K40" s="118"/>
      <c r="L40" s="118"/>
      <c r="M40" s="118"/>
      <c r="N40" s="161"/>
      <c r="O40" s="118"/>
      <c r="P40" s="118"/>
      <c r="Q40" s="118"/>
      <c r="R40" s="117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</row>
    <row r="41">
      <c r="A41" s="118"/>
      <c r="B41" s="168">
        <f>B39-B40</f>
        <v>3</v>
      </c>
      <c r="C41" s="169"/>
      <c r="D41" s="169"/>
      <c r="E41" s="170">
        <f>B38-B41</f>
        <v>141</v>
      </c>
      <c r="F41" s="118"/>
      <c r="G41" s="118"/>
      <c r="H41" s="118"/>
      <c r="I41" s="118"/>
      <c r="J41" s="118"/>
      <c r="K41" s="118"/>
      <c r="L41" s="172" t="s">
        <v>83</v>
      </c>
      <c r="M41" s="118"/>
      <c r="N41" s="164"/>
      <c r="O41" s="161"/>
      <c r="P41" s="118"/>
      <c r="Q41" s="118"/>
      <c r="R41" s="117"/>
      <c r="S41" s="117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70">
        <f>L2+'N3446'!L2+'N3447'!L2+'N3448'!L2+'N3449'!L2+'N3450'!L2+'N3451'!L2+'N3452'!L2</f>
        <v>36</v>
      </c>
      <c r="M42" s="118"/>
      <c r="N42" s="164"/>
      <c r="O42" s="161"/>
      <c r="P42" s="118"/>
      <c r="Q42" s="118"/>
      <c r="R42" s="117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64"/>
      <c r="O43" s="161"/>
      <c r="P43" s="118"/>
      <c r="Q43" s="118"/>
      <c r="R43" s="117"/>
      <c r="S43" s="117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64"/>
      <c r="O44" s="161"/>
      <c r="P44" s="118"/>
      <c r="Q44" s="118"/>
      <c r="R44" s="117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K45" s="173" t="s">
        <v>6</v>
      </c>
      <c r="L45" s="174" t="s">
        <v>7</v>
      </c>
      <c r="M45" s="174" t="s">
        <v>258</v>
      </c>
      <c r="N45" s="161"/>
      <c r="O45" s="118"/>
      <c r="P45" s="118"/>
      <c r="Q45" s="117"/>
      <c r="R45" s="117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75" t="s">
        <v>259</v>
      </c>
      <c r="K46" s="176" t="s">
        <v>92</v>
      </c>
      <c r="L46" s="177">
        <v>3450.0</v>
      </c>
      <c r="M46" s="177" t="s">
        <v>260</v>
      </c>
      <c r="N46" s="161"/>
      <c r="O46" s="118"/>
      <c r="P46" s="118"/>
      <c r="Q46" s="117"/>
      <c r="R46" s="117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75" t="s">
        <v>259</v>
      </c>
      <c r="K47" s="178" t="s">
        <v>95</v>
      </c>
      <c r="L47" s="179">
        <v>3451.0</v>
      </c>
      <c r="M47" s="177" t="s">
        <v>260</v>
      </c>
      <c r="N47" s="161"/>
      <c r="O47" s="118"/>
      <c r="P47" s="118"/>
      <c r="Q47" s="117"/>
      <c r="R47" s="117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75" t="s">
        <v>259</v>
      </c>
      <c r="K48" s="176" t="s">
        <v>261</v>
      </c>
      <c r="L48" s="177">
        <v>3446.0</v>
      </c>
      <c r="M48" s="177" t="s">
        <v>260</v>
      </c>
      <c r="N48" s="161"/>
      <c r="O48" s="118"/>
      <c r="P48" s="118"/>
      <c r="Q48" s="117"/>
      <c r="R48" s="117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64"/>
      <c r="O49" s="161"/>
      <c r="P49" s="118"/>
      <c r="Q49" s="118"/>
      <c r="R49" s="117"/>
      <c r="S49" s="117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80" t="s">
        <v>128</v>
      </c>
      <c r="L50" s="180" t="s">
        <v>129</v>
      </c>
      <c r="M50" s="118"/>
      <c r="N50" s="164"/>
      <c r="O50" s="161"/>
      <c r="P50" s="118"/>
      <c r="Q50" s="118"/>
      <c r="R50" s="117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80" t="s">
        <v>139</v>
      </c>
      <c r="M51" s="118"/>
      <c r="N51" s="164"/>
      <c r="O51" s="161"/>
      <c r="P51" s="118"/>
      <c r="Q51" s="118"/>
      <c r="R51" s="117"/>
      <c r="S51" s="117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64"/>
      <c r="O52" s="161"/>
      <c r="P52" s="118"/>
      <c r="Q52" s="118"/>
      <c r="R52" s="117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64"/>
      <c r="O53" s="161"/>
      <c r="P53" s="118"/>
      <c r="Q53" s="118"/>
      <c r="R53" s="117"/>
      <c r="S53" s="117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64"/>
      <c r="O54" s="161"/>
      <c r="P54" s="118"/>
      <c r="Q54" s="118"/>
      <c r="R54" s="117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64"/>
      <c r="O55" s="161"/>
      <c r="P55" s="118"/>
      <c r="Q55" s="118"/>
      <c r="R55" s="117"/>
      <c r="S55" s="117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64"/>
      <c r="O56" s="161"/>
      <c r="P56" s="118"/>
      <c r="Q56" s="118"/>
      <c r="R56" s="117"/>
      <c r="S56" s="117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64"/>
      <c r="O57" s="161"/>
      <c r="P57" s="118"/>
      <c r="Q57" s="118"/>
      <c r="R57" s="117"/>
      <c r="S57" s="117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64"/>
      <c r="O58" s="161"/>
      <c r="P58" s="118"/>
      <c r="Q58" s="118"/>
      <c r="R58" s="117"/>
      <c r="S58" s="117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64"/>
      <c r="O59" s="161"/>
      <c r="P59" s="118"/>
      <c r="Q59" s="118"/>
      <c r="R59" s="117"/>
      <c r="S59" s="117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64"/>
      <c r="O60" s="161"/>
      <c r="P60" s="118"/>
      <c r="Q60" s="118"/>
      <c r="R60" s="117"/>
      <c r="S60" s="117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64"/>
      <c r="O61" s="161"/>
      <c r="P61" s="118"/>
      <c r="Q61" s="118"/>
      <c r="R61" s="117"/>
      <c r="S61" s="117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64"/>
      <c r="O62" s="161"/>
      <c r="P62" s="118"/>
      <c r="Q62" s="118"/>
      <c r="R62" s="117"/>
      <c r="S62" s="117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64"/>
      <c r="O63" s="161"/>
      <c r="P63" s="118"/>
      <c r="Q63" s="118"/>
      <c r="R63" s="117"/>
      <c r="S63" s="117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64"/>
      <c r="O64" s="161"/>
      <c r="P64" s="118"/>
      <c r="Q64" s="118"/>
      <c r="R64" s="117"/>
      <c r="S64" s="117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64"/>
      <c r="O65" s="161"/>
      <c r="P65" s="118"/>
      <c r="Q65" s="118"/>
      <c r="R65" s="117"/>
      <c r="S65" s="117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64"/>
      <c r="O66" s="161"/>
      <c r="P66" s="118"/>
      <c r="Q66" s="118"/>
      <c r="R66" s="117"/>
      <c r="S66" s="117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64"/>
      <c r="O67" s="161"/>
      <c r="P67" s="118"/>
      <c r="Q67" s="118"/>
      <c r="R67" s="117"/>
      <c r="S67" s="117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64"/>
      <c r="O68" s="161"/>
      <c r="P68" s="118"/>
      <c r="Q68" s="118"/>
      <c r="R68" s="117"/>
      <c r="S68" s="117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64"/>
      <c r="O69" s="161"/>
      <c r="P69" s="118"/>
      <c r="Q69" s="118"/>
      <c r="R69" s="117"/>
      <c r="S69" s="117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64"/>
      <c r="O70" s="161"/>
      <c r="P70" s="118"/>
      <c r="Q70" s="118"/>
      <c r="R70" s="117"/>
      <c r="S70" s="117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64"/>
      <c r="O71" s="161"/>
      <c r="P71" s="118"/>
      <c r="Q71" s="118"/>
      <c r="R71" s="117"/>
      <c r="S71" s="117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64"/>
      <c r="O72" s="161"/>
      <c r="P72" s="118"/>
      <c r="Q72" s="118"/>
      <c r="R72" s="117"/>
      <c r="S72" s="117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64"/>
      <c r="O73" s="161"/>
      <c r="P73" s="118"/>
      <c r="Q73" s="118"/>
      <c r="R73" s="117"/>
      <c r="S73" s="117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64"/>
      <c r="O74" s="161"/>
      <c r="P74" s="118"/>
      <c r="Q74" s="118"/>
      <c r="R74" s="117"/>
      <c r="S74" s="117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64"/>
      <c r="O75" s="161"/>
      <c r="P75" s="118"/>
      <c r="Q75" s="118"/>
      <c r="R75" s="117"/>
      <c r="S75" s="117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64"/>
      <c r="O76" s="161"/>
      <c r="P76" s="118"/>
      <c r="Q76" s="118"/>
      <c r="R76" s="117"/>
      <c r="S76" s="117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64"/>
      <c r="O77" s="161"/>
      <c r="P77" s="118"/>
      <c r="Q77" s="118"/>
      <c r="R77" s="117"/>
      <c r="S77" s="117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64"/>
      <c r="O78" s="161"/>
      <c r="P78" s="118"/>
      <c r="Q78" s="118"/>
      <c r="R78" s="117"/>
      <c r="S78" s="117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64"/>
      <c r="O79" s="161"/>
      <c r="P79" s="118"/>
      <c r="Q79" s="118"/>
      <c r="R79" s="117"/>
      <c r="S79" s="117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64"/>
      <c r="O80" s="161"/>
      <c r="P80" s="118"/>
      <c r="Q80" s="118"/>
      <c r="R80" s="117"/>
      <c r="S80" s="117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64"/>
      <c r="O81" s="161"/>
      <c r="P81" s="118"/>
      <c r="Q81" s="118"/>
      <c r="R81" s="117"/>
      <c r="S81" s="117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64"/>
      <c r="O82" s="161"/>
      <c r="P82" s="118"/>
      <c r="Q82" s="118"/>
      <c r="R82" s="117"/>
      <c r="S82" s="117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64"/>
      <c r="O83" s="161"/>
      <c r="P83" s="118"/>
      <c r="Q83" s="118"/>
      <c r="R83" s="117"/>
      <c r="S83" s="117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64"/>
      <c r="O84" s="161"/>
      <c r="P84" s="118"/>
      <c r="Q84" s="118"/>
      <c r="R84" s="117"/>
      <c r="S84" s="117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64"/>
      <c r="O85" s="161"/>
      <c r="P85" s="118"/>
      <c r="Q85" s="118"/>
      <c r="R85" s="117"/>
      <c r="S85" s="117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64"/>
      <c r="O86" s="161"/>
      <c r="P86" s="118"/>
      <c r="Q86" s="118"/>
      <c r="R86" s="117"/>
      <c r="S86" s="117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64"/>
      <c r="O87" s="161"/>
      <c r="P87" s="118"/>
      <c r="Q87" s="118"/>
      <c r="R87" s="117"/>
      <c r="S87" s="117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64"/>
      <c r="O88" s="161"/>
      <c r="P88" s="118"/>
      <c r="Q88" s="118"/>
      <c r="R88" s="117"/>
      <c r="S88" s="117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64"/>
      <c r="O89" s="161"/>
      <c r="P89" s="118"/>
      <c r="Q89" s="118"/>
      <c r="R89" s="117"/>
      <c r="S89" s="117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64"/>
      <c r="O90" s="161"/>
      <c r="P90" s="118"/>
      <c r="Q90" s="118"/>
      <c r="R90" s="117"/>
      <c r="S90" s="117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64"/>
      <c r="O91" s="161"/>
      <c r="P91" s="118"/>
      <c r="Q91" s="118"/>
      <c r="R91" s="117"/>
      <c r="S91" s="117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64"/>
      <c r="O92" s="161"/>
      <c r="P92" s="118"/>
      <c r="Q92" s="118"/>
      <c r="R92" s="117"/>
      <c r="S92" s="117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64"/>
      <c r="O93" s="161"/>
      <c r="P93" s="118"/>
      <c r="Q93" s="118"/>
      <c r="R93" s="117"/>
      <c r="S93" s="117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64"/>
      <c r="O94" s="161"/>
      <c r="P94" s="118"/>
      <c r="Q94" s="118"/>
      <c r="R94" s="117"/>
      <c r="S94" s="117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64"/>
      <c r="O95" s="161"/>
      <c r="P95" s="118"/>
      <c r="Q95" s="118"/>
      <c r="R95" s="117"/>
      <c r="S95" s="117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64"/>
      <c r="O96" s="161"/>
      <c r="P96" s="118"/>
      <c r="Q96" s="118"/>
      <c r="R96" s="117"/>
      <c r="S96" s="117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64"/>
      <c r="O97" s="161"/>
      <c r="P97" s="118"/>
      <c r="Q97" s="118"/>
      <c r="R97" s="117"/>
      <c r="S97" s="117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64"/>
      <c r="O98" s="161"/>
      <c r="P98" s="118"/>
      <c r="Q98" s="118"/>
      <c r="R98" s="117"/>
      <c r="S98" s="117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64"/>
      <c r="O99" s="161"/>
      <c r="P99" s="118"/>
      <c r="Q99" s="118"/>
      <c r="R99" s="117"/>
      <c r="S99" s="117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64"/>
      <c r="O100" s="161"/>
      <c r="P100" s="118"/>
      <c r="Q100" s="118"/>
      <c r="R100" s="117"/>
      <c r="S100" s="117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64"/>
      <c r="O101" s="161"/>
      <c r="P101" s="118"/>
      <c r="Q101" s="118"/>
      <c r="R101" s="117"/>
      <c r="S101" s="117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64"/>
      <c r="O102" s="161"/>
      <c r="P102" s="118"/>
      <c r="Q102" s="118"/>
      <c r="R102" s="117"/>
      <c r="S102" s="117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64"/>
      <c r="O103" s="161"/>
      <c r="P103" s="118"/>
      <c r="Q103" s="118"/>
      <c r="R103" s="117"/>
      <c r="S103" s="117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64"/>
      <c r="O104" s="161"/>
      <c r="P104" s="118"/>
      <c r="Q104" s="118"/>
      <c r="R104" s="117"/>
      <c r="S104" s="117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64"/>
      <c r="O105" s="161"/>
      <c r="P105" s="118"/>
      <c r="Q105" s="118"/>
      <c r="R105" s="117"/>
      <c r="S105" s="117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64"/>
      <c r="O106" s="161"/>
      <c r="P106" s="118"/>
      <c r="Q106" s="118"/>
      <c r="R106" s="117"/>
      <c r="S106" s="117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64"/>
      <c r="O107" s="161"/>
      <c r="P107" s="118"/>
      <c r="Q107" s="118"/>
      <c r="R107" s="117"/>
      <c r="S107" s="117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64"/>
      <c r="O108" s="161"/>
      <c r="P108" s="118"/>
      <c r="Q108" s="118"/>
      <c r="R108" s="117"/>
      <c r="S108" s="117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64"/>
      <c r="O109" s="161"/>
      <c r="P109" s="118"/>
      <c r="Q109" s="118"/>
      <c r="R109" s="117"/>
      <c r="S109" s="117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64"/>
      <c r="O110" s="161"/>
      <c r="P110" s="118"/>
      <c r="Q110" s="118"/>
      <c r="R110" s="117"/>
      <c r="S110" s="117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64"/>
      <c r="O111" s="161"/>
      <c r="P111" s="118"/>
      <c r="Q111" s="118"/>
      <c r="R111" s="117"/>
      <c r="S111" s="117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64"/>
      <c r="O112" s="161"/>
      <c r="P112" s="118"/>
      <c r="Q112" s="118"/>
      <c r="R112" s="117"/>
      <c r="S112" s="117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64"/>
      <c r="O113" s="161"/>
      <c r="P113" s="118"/>
      <c r="Q113" s="118"/>
      <c r="R113" s="117"/>
      <c r="S113" s="117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64"/>
      <c r="O114" s="161"/>
      <c r="P114" s="118"/>
      <c r="Q114" s="118"/>
      <c r="R114" s="117"/>
      <c r="S114" s="117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64"/>
      <c r="O115" s="161"/>
      <c r="P115" s="118"/>
      <c r="Q115" s="118"/>
      <c r="R115" s="117"/>
      <c r="S115" s="117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64"/>
      <c r="O116" s="161"/>
      <c r="P116" s="118"/>
      <c r="Q116" s="118"/>
      <c r="R116" s="117"/>
      <c r="S116" s="117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64"/>
      <c r="O117" s="161"/>
      <c r="P117" s="118"/>
      <c r="Q117" s="118"/>
      <c r="R117" s="117"/>
      <c r="S117" s="117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64"/>
      <c r="O118" s="161"/>
      <c r="P118" s="118"/>
      <c r="Q118" s="118"/>
      <c r="R118" s="117"/>
      <c r="S118" s="117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64"/>
      <c r="O119" s="161"/>
      <c r="P119" s="118"/>
      <c r="Q119" s="118"/>
      <c r="R119" s="117"/>
      <c r="S119" s="117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64"/>
      <c r="O120" s="161"/>
      <c r="P120" s="118"/>
      <c r="Q120" s="118"/>
      <c r="R120" s="117"/>
      <c r="S120" s="117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64"/>
      <c r="O121" s="161"/>
      <c r="P121" s="118"/>
      <c r="Q121" s="118"/>
      <c r="R121" s="117"/>
      <c r="S121" s="117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64"/>
      <c r="O122" s="161"/>
      <c r="P122" s="118"/>
      <c r="Q122" s="118"/>
      <c r="R122" s="117"/>
      <c r="S122" s="117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64"/>
      <c r="O123" s="161"/>
      <c r="P123" s="118"/>
      <c r="Q123" s="118"/>
      <c r="R123" s="117"/>
      <c r="S123" s="117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64"/>
      <c r="O124" s="161"/>
      <c r="P124" s="118"/>
      <c r="Q124" s="118"/>
      <c r="R124" s="117"/>
      <c r="S124" s="117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64"/>
      <c r="O125" s="161"/>
      <c r="P125" s="118"/>
      <c r="Q125" s="118"/>
      <c r="R125" s="117"/>
      <c r="S125" s="117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64"/>
      <c r="O126" s="161"/>
      <c r="P126" s="118"/>
      <c r="Q126" s="118"/>
      <c r="R126" s="117"/>
      <c r="S126" s="117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64"/>
      <c r="O127" s="161"/>
      <c r="P127" s="118"/>
      <c r="Q127" s="118"/>
      <c r="R127" s="117"/>
      <c r="S127" s="117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64"/>
      <c r="O128" s="161"/>
      <c r="P128" s="118"/>
      <c r="Q128" s="118"/>
      <c r="R128" s="117"/>
      <c r="S128" s="117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64"/>
      <c r="O129" s="161"/>
      <c r="P129" s="118"/>
      <c r="Q129" s="118"/>
      <c r="R129" s="117"/>
      <c r="S129" s="117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64"/>
      <c r="O130" s="161"/>
      <c r="P130" s="118"/>
      <c r="Q130" s="118"/>
      <c r="R130" s="117"/>
      <c r="S130" s="117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64"/>
      <c r="O131" s="161"/>
      <c r="P131" s="118"/>
      <c r="Q131" s="118"/>
      <c r="R131" s="117"/>
      <c r="S131" s="117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64"/>
      <c r="O132" s="161"/>
      <c r="P132" s="118"/>
      <c r="Q132" s="118"/>
      <c r="R132" s="117"/>
      <c r="S132" s="117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64"/>
      <c r="O133" s="161"/>
      <c r="P133" s="118"/>
      <c r="Q133" s="118"/>
      <c r="R133" s="117"/>
      <c r="S133" s="117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64"/>
      <c r="O134" s="161"/>
      <c r="P134" s="118"/>
      <c r="Q134" s="118"/>
      <c r="R134" s="117"/>
      <c r="S134" s="117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64"/>
      <c r="O135" s="161"/>
      <c r="P135" s="118"/>
      <c r="Q135" s="118"/>
      <c r="R135" s="117"/>
      <c r="S135" s="117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64"/>
      <c r="O136" s="161"/>
      <c r="P136" s="118"/>
      <c r="Q136" s="118"/>
      <c r="R136" s="117"/>
      <c r="S136" s="117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64"/>
      <c r="O137" s="161"/>
      <c r="P137" s="118"/>
      <c r="Q137" s="118"/>
      <c r="R137" s="117"/>
      <c r="S137" s="117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64"/>
      <c r="O138" s="161"/>
      <c r="P138" s="118"/>
      <c r="Q138" s="118"/>
      <c r="R138" s="117"/>
      <c r="S138" s="117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64"/>
      <c r="O139" s="161"/>
      <c r="P139" s="118"/>
      <c r="Q139" s="118"/>
      <c r="R139" s="117"/>
      <c r="S139" s="117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64"/>
      <c r="O140" s="161"/>
      <c r="P140" s="118"/>
      <c r="Q140" s="118"/>
      <c r="R140" s="117"/>
      <c r="S140" s="117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64"/>
      <c r="O141" s="161"/>
      <c r="P141" s="118"/>
      <c r="Q141" s="118"/>
      <c r="R141" s="117"/>
      <c r="S141" s="117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64"/>
      <c r="O142" s="161"/>
      <c r="P142" s="118"/>
      <c r="Q142" s="118"/>
      <c r="R142" s="117"/>
      <c r="S142" s="117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64"/>
      <c r="O143" s="161"/>
      <c r="P143" s="118"/>
      <c r="Q143" s="118"/>
      <c r="R143" s="117"/>
      <c r="S143" s="117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64"/>
      <c r="O144" s="161"/>
      <c r="P144" s="118"/>
      <c r="Q144" s="118"/>
      <c r="R144" s="117"/>
      <c r="S144" s="117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64"/>
      <c r="O145" s="161"/>
      <c r="P145" s="118"/>
      <c r="Q145" s="118"/>
      <c r="R145" s="117"/>
      <c r="S145" s="117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64"/>
      <c r="O146" s="161"/>
      <c r="P146" s="118"/>
      <c r="Q146" s="118"/>
      <c r="R146" s="117"/>
      <c r="S146" s="117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64"/>
      <c r="O147" s="161"/>
      <c r="P147" s="118"/>
      <c r="Q147" s="118"/>
      <c r="R147" s="117"/>
      <c r="S147" s="117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64"/>
      <c r="O148" s="161"/>
      <c r="P148" s="118"/>
      <c r="Q148" s="118"/>
      <c r="R148" s="117"/>
      <c r="S148" s="117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64"/>
      <c r="O149" s="161"/>
      <c r="P149" s="118"/>
      <c r="Q149" s="118"/>
      <c r="R149" s="117"/>
      <c r="S149" s="117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64"/>
      <c r="O150" s="161"/>
      <c r="P150" s="118"/>
      <c r="Q150" s="118"/>
      <c r="R150" s="117"/>
      <c r="S150" s="117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64"/>
      <c r="O151" s="161"/>
      <c r="P151" s="118"/>
      <c r="Q151" s="118"/>
      <c r="R151" s="117"/>
      <c r="S151" s="117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64"/>
      <c r="O152" s="161"/>
      <c r="P152" s="118"/>
      <c r="Q152" s="118"/>
      <c r="R152" s="117"/>
      <c r="S152" s="117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64"/>
      <c r="O153" s="161"/>
      <c r="P153" s="118"/>
      <c r="Q153" s="118"/>
      <c r="R153" s="117"/>
      <c r="S153" s="117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64"/>
      <c r="O154" s="161"/>
      <c r="P154" s="118"/>
      <c r="Q154" s="118"/>
      <c r="R154" s="117"/>
      <c r="S154" s="117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64"/>
      <c r="O155" s="161"/>
      <c r="P155" s="118"/>
      <c r="Q155" s="118"/>
      <c r="R155" s="117"/>
      <c r="S155" s="117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64"/>
      <c r="O156" s="161"/>
      <c r="P156" s="118"/>
      <c r="Q156" s="118"/>
      <c r="R156" s="117"/>
      <c r="S156" s="117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64"/>
      <c r="O157" s="161"/>
      <c r="P157" s="118"/>
      <c r="Q157" s="118"/>
      <c r="R157" s="117"/>
      <c r="S157" s="117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64"/>
      <c r="O158" s="161"/>
      <c r="P158" s="118"/>
      <c r="Q158" s="118"/>
      <c r="R158" s="117"/>
      <c r="S158" s="117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64"/>
      <c r="O159" s="161"/>
      <c r="P159" s="118"/>
      <c r="Q159" s="118"/>
      <c r="R159" s="117"/>
      <c r="S159" s="117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64"/>
      <c r="O160" s="161"/>
      <c r="P160" s="118"/>
      <c r="Q160" s="118"/>
      <c r="R160" s="117"/>
      <c r="S160" s="117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64"/>
      <c r="O161" s="161"/>
      <c r="P161" s="118"/>
      <c r="Q161" s="118"/>
      <c r="R161" s="117"/>
      <c r="S161" s="117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64"/>
      <c r="O162" s="161"/>
      <c r="P162" s="118"/>
      <c r="Q162" s="118"/>
      <c r="R162" s="117"/>
      <c r="S162" s="117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64"/>
      <c r="O163" s="161"/>
      <c r="P163" s="118"/>
      <c r="Q163" s="118"/>
      <c r="R163" s="117"/>
      <c r="S163" s="117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64"/>
      <c r="O164" s="161"/>
      <c r="P164" s="118"/>
      <c r="Q164" s="118"/>
      <c r="R164" s="117"/>
      <c r="S164" s="117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64"/>
      <c r="O165" s="161"/>
      <c r="P165" s="118"/>
      <c r="Q165" s="118"/>
      <c r="R165" s="117"/>
      <c r="S165" s="117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64"/>
      <c r="O166" s="161"/>
      <c r="P166" s="118"/>
      <c r="Q166" s="118"/>
      <c r="R166" s="117"/>
      <c r="S166" s="117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64"/>
      <c r="O167" s="161"/>
      <c r="P167" s="118"/>
      <c r="Q167" s="118"/>
      <c r="R167" s="117"/>
      <c r="S167" s="117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64"/>
      <c r="O168" s="161"/>
      <c r="P168" s="118"/>
      <c r="Q168" s="118"/>
      <c r="R168" s="117"/>
      <c r="S168" s="117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64"/>
      <c r="O169" s="161"/>
      <c r="P169" s="118"/>
      <c r="Q169" s="118"/>
      <c r="R169" s="117"/>
      <c r="S169" s="117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64"/>
      <c r="O170" s="161"/>
      <c r="P170" s="118"/>
      <c r="Q170" s="118"/>
      <c r="R170" s="117"/>
      <c r="S170" s="117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64"/>
      <c r="O171" s="161"/>
      <c r="P171" s="118"/>
      <c r="Q171" s="118"/>
      <c r="R171" s="117"/>
      <c r="S171" s="117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64"/>
      <c r="O172" s="161"/>
      <c r="P172" s="118"/>
      <c r="Q172" s="118"/>
      <c r="R172" s="117"/>
      <c r="S172" s="117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64"/>
      <c r="O173" s="161"/>
      <c r="P173" s="118"/>
      <c r="Q173" s="118"/>
      <c r="R173" s="117"/>
      <c r="S173" s="117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64"/>
      <c r="O174" s="161"/>
      <c r="P174" s="118"/>
      <c r="Q174" s="118"/>
      <c r="R174" s="117"/>
      <c r="S174" s="117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64"/>
      <c r="O175" s="161"/>
      <c r="P175" s="118"/>
      <c r="Q175" s="118"/>
      <c r="R175" s="117"/>
      <c r="S175" s="117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64"/>
      <c r="O176" s="161"/>
      <c r="P176" s="118"/>
      <c r="Q176" s="118"/>
      <c r="R176" s="117"/>
      <c r="S176" s="117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64"/>
      <c r="O177" s="161"/>
      <c r="P177" s="118"/>
      <c r="Q177" s="118"/>
      <c r="R177" s="117"/>
      <c r="S177" s="117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64"/>
      <c r="O178" s="161"/>
      <c r="P178" s="118"/>
      <c r="Q178" s="118"/>
      <c r="R178" s="117"/>
      <c r="S178" s="117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64"/>
      <c r="O179" s="161"/>
      <c r="P179" s="118"/>
      <c r="Q179" s="118"/>
      <c r="R179" s="117"/>
      <c r="S179" s="117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64"/>
      <c r="O180" s="161"/>
      <c r="P180" s="118"/>
      <c r="Q180" s="118"/>
      <c r="R180" s="117"/>
      <c r="S180" s="117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64"/>
      <c r="O181" s="161"/>
      <c r="P181" s="118"/>
      <c r="Q181" s="118"/>
      <c r="R181" s="117"/>
      <c r="S181" s="117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64"/>
      <c r="O182" s="161"/>
      <c r="P182" s="118"/>
      <c r="Q182" s="118"/>
      <c r="R182" s="117"/>
      <c r="S182" s="117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64"/>
      <c r="O183" s="161"/>
      <c r="P183" s="118"/>
      <c r="Q183" s="118"/>
      <c r="R183" s="117"/>
      <c r="S183" s="117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64"/>
      <c r="O184" s="161"/>
      <c r="P184" s="118"/>
      <c r="Q184" s="118"/>
      <c r="R184" s="117"/>
      <c r="S184" s="117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64"/>
      <c r="O185" s="161"/>
      <c r="P185" s="118"/>
      <c r="Q185" s="118"/>
      <c r="R185" s="117"/>
      <c r="S185" s="117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64"/>
      <c r="O186" s="161"/>
      <c r="P186" s="118"/>
      <c r="Q186" s="118"/>
      <c r="R186" s="117"/>
      <c r="S186" s="117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64"/>
      <c r="O187" s="161"/>
      <c r="P187" s="118"/>
      <c r="Q187" s="118"/>
      <c r="R187" s="117"/>
      <c r="S187" s="117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64"/>
      <c r="O188" s="161"/>
      <c r="P188" s="118"/>
      <c r="Q188" s="118"/>
      <c r="R188" s="117"/>
      <c r="S188" s="117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64"/>
      <c r="O189" s="161"/>
      <c r="P189" s="118"/>
      <c r="Q189" s="118"/>
      <c r="R189" s="117"/>
      <c r="S189" s="117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64"/>
      <c r="O190" s="161"/>
      <c r="P190" s="118"/>
      <c r="Q190" s="118"/>
      <c r="R190" s="117"/>
      <c r="S190" s="117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64"/>
      <c r="O191" s="161"/>
      <c r="P191" s="118"/>
      <c r="Q191" s="118"/>
      <c r="R191" s="117"/>
      <c r="S191" s="117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64"/>
      <c r="O192" s="161"/>
      <c r="P192" s="118"/>
      <c r="Q192" s="118"/>
      <c r="R192" s="117"/>
      <c r="S192" s="117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64"/>
      <c r="O193" s="161"/>
      <c r="P193" s="118"/>
      <c r="Q193" s="118"/>
      <c r="R193" s="117"/>
      <c r="S193" s="117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64"/>
      <c r="O194" s="161"/>
      <c r="P194" s="118"/>
      <c r="Q194" s="118"/>
      <c r="R194" s="117"/>
      <c r="S194" s="117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64"/>
      <c r="O195" s="161"/>
      <c r="P195" s="118"/>
      <c r="Q195" s="118"/>
      <c r="R195" s="117"/>
      <c r="S195" s="117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64"/>
      <c r="O196" s="161"/>
      <c r="P196" s="118"/>
      <c r="Q196" s="118"/>
      <c r="R196" s="117"/>
      <c r="S196" s="117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64"/>
      <c r="O197" s="161"/>
      <c r="P197" s="118"/>
      <c r="Q197" s="118"/>
      <c r="R197" s="117"/>
      <c r="S197" s="117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64"/>
      <c r="O198" s="161"/>
      <c r="P198" s="118"/>
      <c r="Q198" s="118"/>
      <c r="R198" s="117"/>
      <c r="S198" s="117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64"/>
      <c r="O199" s="161"/>
      <c r="P199" s="118"/>
      <c r="Q199" s="118"/>
      <c r="R199" s="117"/>
      <c r="S199" s="117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64"/>
      <c r="O200" s="161"/>
      <c r="P200" s="118"/>
      <c r="Q200" s="118"/>
      <c r="R200" s="117"/>
      <c r="S200" s="117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64"/>
      <c r="O201" s="161"/>
      <c r="P201" s="118"/>
      <c r="Q201" s="118"/>
      <c r="R201" s="117"/>
      <c r="S201" s="117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64"/>
      <c r="O202" s="161"/>
      <c r="P202" s="118"/>
      <c r="Q202" s="118"/>
      <c r="R202" s="117"/>
      <c r="S202" s="117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64"/>
      <c r="O203" s="161"/>
      <c r="P203" s="118"/>
      <c r="Q203" s="118"/>
      <c r="R203" s="117"/>
      <c r="S203" s="117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64"/>
      <c r="O204" s="161"/>
      <c r="P204" s="118"/>
      <c r="Q204" s="118"/>
      <c r="R204" s="117"/>
      <c r="S204" s="117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64"/>
      <c r="O205" s="161"/>
      <c r="P205" s="118"/>
      <c r="Q205" s="118"/>
      <c r="R205" s="117"/>
      <c r="S205" s="117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64"/>
      <c r="O206" s="161"/>
      <c r="P206" s="118"/>
      <c r="Q206" s="118"/>
      <c r="R206" s="117"/>
      <c r="S206" s="117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64"/>
      <c r="O207" s="161"/>
      <c r="P207" s="118"/>
      <c r="Q207" s="118"/>
      <c r="R207" s="117"/>
      <c r="S207" s="117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64"/>
      <c r="O208" s="161"/>
      <c r="P208" s="118"/>
      <c r="Q208" s="118"/>
      <c r="R208" s="117"/>
      <c r="S208" s="117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64"/>
      <c r="O209" s="161"/>
      <c r="P209" s="118"/>
      <c r="Q209" s="118"/>
      <c r="R209" s="117"/>
      <c r="S209" s="117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64"/>
      <c r="O210" s="161"/>
      <c r="P210" s="118"/>
      <c r="Q210" s="118"/>
      <c r="R210" s="117"/>
      <c r="S210" s="117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64"/>
      <c r="O211" s="161"/>
      <c r="P211" s="118"/>
      <c r="Q211" s="118"/>
      <c r="R211" s="117"/>
      <c r="S211" s="117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64"/>
      <c r="O212" s="161"/>
      <c r="P212" s="118"/>
      <c r="Q212" s="118"/>
      <c r="R212" s="117"/>
      <c r="S212" s="117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64"/>
      <c r="O213" s="161"/>
      <c r="P213" s="118"/>
      <c r="Q213" s="118"/>
      <c r="R213" s="117"/>
      <c r="S213" s="117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64"/>
      <c r="O214" s="161"/>
      <c r="P214" s="118"/>
      <c r="Q214" s="118"/>
      <c r="R214" s="117"/>
      <c r="S214" s="117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64"/>
      <c r="O215" s="161"/>
      <c r="P215" s="118"/>
      <c r="Q215" s="118"/>
      <c r="R215" s="117"/>
      <c r="S215" s="117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64"/>
      <c r="O216" s="161"/>
      <c r="P216" s="118"/>
      <c r="Q216" s="118"/>
      <c r="R216" s="117"/>
      <c r="S216" s="117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64"/>
      <c r="O217" s="161"/>
      <c r="P217" s="118"/>
      <c r="Q217" s="118"/>
      <c r="R217" s="117"/>
      <c r="S217" s="117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64"/>
      <c r="O218" s="161"/>
      <c r="P218" s="118"/>
      <c r="Q218" s="118"/>
      <c r="R218" s="117"/>
      <c r="S218" s="117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64"/>
      <c r="O219" s="161"/>
      <c r="P219" s="118"/>
      <c r="Q219" s="118"/>
      <c r="R219" s="117"/>
      <c r="S219" s="117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64"/>
      <c r="O220" s="161"/>
      <c r="P220" s="118"/>
      <c r="Q220" s="118"/>
      <c r="R220" s="117"/>
      <c r="S220" s="117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64"/>
      <c r="O221" s="161"/>
      <c r="P221" s="118"/>
      <c r="Q221" s="118"/>
      <c r="R221" s="117"/>
      <c r="S221" s="117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64"/>
      <c r="O222" s="161"/>
      <c r="P222" s="118"/>
      <c r="Q222" s="118"/>
      <c r="R222" s="117"/>
      <c r="S222" s="117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64"/>
      <c r="O223" s="161"/>
      <c r="P223" s="118"/>
      <c r="Q223" s="118"/>
      <c r="R223" s="117"/>
      <c r="S223" s="117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64"/>
      <c r="O224" s="161"/>
      <c r="P224" s="118"/>
      <c r="Q224" s="118"/>
      <c r="R224" s="117"/>
      <c r="S224" s="117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64"/>
      <c r="O225" s="161"/>
      <c r="P225" s="118"/>
      <c r="Q225" s="118"/>
      <c r="R225" s="117"/>
      <c r="S225" s="117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64"/>
      <c r="O226" s="161"/>
      <c r="P226" s="118"/>
      <c r="Q226" s="118"/>
      <c r="R226" s="117"/>
      <c r="S226" s="117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64"/>
      <c r="O227" s="161"/>
      <c r="P227" s="118"/>
      <c r="Q227" s="118"/>
      <c r="R227" s="117"/>
      <c r="S227" s="117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64"/>
      <c r="O228" s="161"/>
      <c r="P228" s="118"/>
      <c r="Q228" s="118"/>
      <c r="R228" s="117"/>
      <c r="S228" s="117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64"/>
      <c r="O229" s="161"/>
      <c r="P229" s="118"/>
      <c r="Q229" s="118"/>
      <c r="R229" s="117"/>
      <c r="S229" s="117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64"/>
      <c r="O230" s="161"/>
      <c r="P230" s="118"/>
      <c r="Q230" s="118"/>
      <c r="R230" s="117"/>
      <c r="S230" s="117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64"/>
      <c r="O231" s="161"/>
      <c r="P231" s="118"/>
      <c r="Q231" s="118"/>
      <c r="R231" s="117"/>
      <c r="S231" s="117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64"/>
      <c r="O232" s="161"/>
      <c r="P232" s="118"/>
      <c r="Q232" s="118"/>
      <c r="R232" s="117"/>
      <c r="S232" s="117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64"/>
      <c r="O233" s="161"/>
      <c r="P233" s="118"/>
      <c r="Q233" s="118"/>
      <c r="R233" s="117"/>
      <c r="S233" s="117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64"/>
      <c r="O234" s="161"/>
      <c r="P234" s="118"/>
      <c r="Q234" s="118"/>
      <c r="R234" s="117"/>
      <c r="S234" s="117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64"/>
      <c r="O235" s="161"/>
      <c r="P235" s="118"/>
      <c r="Q235" s="118"/>
      <c r="R235" s="117"/>
      <c r="S235" s="117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64"/>
      <c r="O236" s="161"/>
      <c r="P236" s="118"/>
      <c r="Q236" s="118"/>
      <c r="R236" s="117"/>
      <c r="S236" s="117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64"/>
      <c r="O237" s="161"/>
      <c r="P237" s="118"/>
      <c r="Q237" s="118"/>
      <c r="R237" s="117"/>
      <c r="S237" s="117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64"/>
      <c r="O238" s="161"/>
      <c r="P238" s="118"/>
      <c r="Q238" s="118"/>
      <c r="R238" s="117"/>
      <c r="S238" s="117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64"/>
      <c r="O239" s="161"/>
      <c r="P239" s="118"/>
      <c r="Q239" s="118"/>
      <c r="R239" s="117"/>
      <c r="S239" s="117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64"/>
      <c r="O240" s="161"/>
      <c r="P240" s="118"/>
      <c r="Q240" s="118"/>
      <c r="R240" s="117"/>
      <c r="S240" s="117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64"/>
      <c r="O241" s="161"/>
      <c r="P241" s="118"/>
      <c r="Q241" s="118"/>
      <c r="R241" s="117"/>
      <c r="S241" s="117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64"/>
      <c r="O242" s="161"/>
      <c r="P242" s="118"/>
      <c r="Q242" s="118"/>
      <c r="R242" s="117"/>
      <c r="S242" s="117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64"/>
      <c r="O243" s="161"/>
      <c r="P243" s="118"/>
      <c r="Q243" s="118"/>
      <c r="R243" s="117"/>
      <c r="S243" s="117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64"/>
      <c r="O244" s="161"/>
      <c r="P244" s="118"/>
      <c r="Q244" s="118"/>
      <c r="R244" s="117"/>
      <c r="S244" s="117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64"/>
      <c r="O245" s="161"/>
      <c r="P245" s="118"/>
      <c r="Q245" s="118"/>
      <c r="R245" s="117"/>
      <c r="S245" s="117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/>
      <c r="AR245" s="118"/>
      <c r="AS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64"/>
      <c r="O246" s="161"/>
      <c r="P246" s="118"/>
      <c r="Q246" s="118"/>
      <c r="R246" s="117"/>
      <c r="S246" s="117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64"/>
      <c r="O247" s="161"/>
      <c r="P247" s="118"/>
      <c r="Q247" s="118"/>
      <c r="R247" s="117"/>
      <c r="S247" s="117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64"/>
      <c r="O248" s="161"/>
      <c r="P248" s="118"/>
      <c r="Q248" s="118"/>
      <c r="R248" s="117"/>
      <c r="S248" s="117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64"/>
      <c r="O249" s="161"/>
      <c r="P249" s="118"/>
      <c r="Q249" s="118"/>
      <c r="R249" s="117"/>
      <c r="S249" s="117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AQ249" s="118"/>
      <c r="AR249" s="118"/>
      <c r="AS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64"/>
      <c r="O250" s="161"/>
      <c r="P250" s="118"/>
      <c r="Q250" s="118"/>
      <c r="R250" s="117"/>
      <c r="S250" s="117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64"/>
      <c r="O251" s="161"/>
      <c r="P251" s="118"/>
      <c r="Q251" s="118"/>
      <c r="R251" s="117"/>
      <c r="S251" s="117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/>
      <c r="AS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64"/>
      <c r="O252" s="161"/>
      <c r="P252" s="118"/>
      <c r="Q252" s="118"/>
      <c r="R252" s="117"/>
      <c r="S252" s="117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AQ252" s="118"/>
      <c r="AR252" s="118"/>
      <c r="AS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64"/>
      <c r="O253" s="161"/>
      <c r="P253" s="118"/>
      <c r="Q253" s="118"/>
      <c r="R253" s="117"/>
      <c r="S253" s="117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64"/>
      <c r="O254" s="161"/>
      <c r="P254" s="118"/>
      <c r="Q254" s="118"/>
      <c r="R254" s="117"/>
      <c r="S254" s="117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64"/>
      <c r="O255" s="161"/>
      <c r="P255" s="118"/>
      <c r="Q255" s="118"/>
      <c r="R255" s="117"/>
      <c r="S255" s="117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64"/>
      <c r="O256" s="161"/>
      <c r="P256" s="118"/>
      <c r="Q256" s="118"/>
      <c r="R256" s="117"/>
      <c r="S256" s="117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64"/>
      <c r="O257" s="161"/>
      <c r="P257" s="118"/>
      <c r="Q257" s="118"/>
      <c r="R257" s="117"/>
      <c r="S257" s="117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64"/>
      <c r="O258" s="161"/>
      <c r="P258" s="118"/>
      <c r="Q258" s="118"/>
      <c r="R258" s="117"/>
      <c r="S258" s="117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64"/>
      <c r="O259" s="161"/>
      <c r="P259" s="118"/>
      <c r="Q259" s="118"/>
      <c r="R259" s="117"/>
      <c r="S259" s="117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/>
      <c r="AR259" s="118"/>
      <c r="AS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64"/>
      <c r="O260" s="161"/>
      <c r="P260" s="118"/>
      <c r="Q260" s="118"/>
      <c r="R260" s="117"/>
      <c r="S260" s="117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64"/>
      <c r="O261" s="161"/>
      <c r="P261" s="118"/>
      <c r="Q261" s="118"/>
      <c r="R261" s="117"/>
      <c r="S261" s="117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AQ261" s="118"/>
      <c r="AR261" s="118"/>
      <c r="AS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64"/>
      <c r="O262" s="161"/>
      <c r="P262" s="118"/>
      <c r="Q262" s="118"/>
      <c r="R262" s="117"/>
      <c r="S262" s="117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118"/>
      <c r="AQ262" s="118"/>
      <c r="AR262" s="118"/>
      <c r="AS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64"/>
      <c r="O263" s="161"/>
      <c r="P263" s="118"/>
      <c r="Q263" s="118"/>
      <c r="R263" s="117"/>
      <c r="S263" s="117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  <c r="AL263" s="118"/>
      <c r="AM263" s="118"/>
      <c r="AN263" s="118"/>
      <c r="AO263" s="118"/>
      <c r="AP263" s="118"/>
      <c r="AQ263" s="118"/>
      <c r="AR263" s="118"/>
      <c r="AS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64"/>
      <c r="O264" s="161"/>
      <c r="P264" s="118"/>
      <c r="Q264" s="118"/>
      <c r="R264" s="117"/>
      <c r="S264" s="117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AQ264" s="118"/>
      <c r="AR264" s="118"/>
      <c r="AS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64"/>
      <c r="O265" s="161"/>
      <c r="P265" s="118"/>
      <c r="Q265" s="118"/>
      <c r="R265" s="117"/>
      <c r="S265" s="117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AQ265" s="118"/>
      <c r="AR265" s="118"/>
      <c r="AS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64"/>
      <c r="O266" s="161"/>
      <c r="P266" s="118"/>
      <c r="Q266" s="118"/>
      <c r="R266" s="117"/>
      <c r="S266" s="117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AQ266" s="118"/>
      <c r="AR266" s="118"/>
      <c r="AS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64"/>
      <c r="O267" s="161"/>
      <c r="P267" s="118"/>
      <c r="Q267" s="118"/>
      <c r="R267" s="117"/>
      <c r="S267" s="117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AQ267" s="118"/>
      <c r="AR267" s="118"/>
      <c r="AS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64"/>
      <c r="O268" s="161"/>
      <c r="P268" s="118"/>
      <c r="Q268" s="118"/>
      <c r="R268" s="117"/>
      <c r="S268" s="117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AQ268" s="118"/>
      <c r="AR268" s="118"/>
      <c r="AS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64"/>
      <c r="O269" s="161"/>
      <c r="P269" s="118"/>
      <c r="Q269" s="118"/>
      <c r="R269" s="117"/>
      <c r="S269" s="117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64"/>
      <c r="O270" s="161"/>
      <c r="P270" s="118"/>
      <c r="Q270" s="118"/>
      <c r="R270" s="117"/>
      <c r="S270" s="117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AQ270" s="118"/>
      <c r="AR270" s="118"/>
      <c r="AS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64"/>
      <c r="O271" s="161"/>
      <c r="P271" s="118"/>
      <c r="Q271" s="118"/>
      <c r="R271" s="117"/>
      <c r="S271" s="117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64"/>
      <c r="O272" s="161"/>
      <c r="P272" s="118"/>
      <c r="Q272" s="118"/>
      <c r="R272" s="117"/>
      <c r="S272" s="117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  <c r="AK272" s="118"/>
      <c r="AL272" s="118"/>
      <c r="AM272" s="118"/>
      <c r="AN272" s="118"/>
      <c r="AO272" s="118"/>
      <c r="AP272" s="118"/>
      <c r="AQ272" s="118"/>
      <c r="AR272" s="118"/>
      <c r="AS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64"/>
      <c r="O273" s="161"/>
      <c r="P273" s="118"/>
      <c r="Q273" s="118"/>
      <c r="R273" s="117"/>
      <c r="S273" s="117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64"/>
      <c r="O274" s="161"/>
      <c r="P274" s="118"/>
      <c r="Q274" s="118"/>
      <c r="R274" s="117"/>
      <c r="S274" s="117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  <c r="AL274" s="118"/>
      <c r="AM274" s="118"/>
      <c r="AN274" s="118"/>
      <c r="AO274" s="118"/>
      <c r="AP274" s="118"/>
      <c r="AQ274" s="118"/>
      <c r="AR274" s="118"/>
      <c r="AS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64"/>
      <c r="O275" s="161"/>
      <c r="P275" s="118"/>
      <c r="Q275" s="118"/>
      <c r="R275" s="117"/>
      <c r="S275" s="117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  <c r="AL275" s="118"/>
      <c r="AM275" s="118"/>
      <c r="AN275" s="118"/>
      <c r="AO275" s="118"/>
      <c r="AP275" s="118"/>
      <c r="AQ275" s="118"/>
      <c r="AR275" s="118"/>
      <c r="AS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64"/>
      <c r="O276" s="161"/>
      <c r="P276" s="118"/>
      <c r="Q276" s="118"/>
      <c r="R276" s="117"/>
      <c r="S276" s="117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64"/>
      <c r="O277" s="161"/>
      <c r="P277" s="118"/>
      <c r="Q277" s="118"/>
      <c r="R277" s="117"/>
      <c r="S277" s="117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  <c r="AL277" s="118"/>
      <c r="AM277" s="118"/>
      <c r="AN277" s="118"/>
      <c r="AO277" s="118"/>
      <c r="AP277" s="118"/>
      <c r="AQ277" s="118"/>
      <c r="AR277" s="118"/>
      <c r="AS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64"/>
      <c r="O278" s="161"/>
      <c r="P278" s="118"/>
      <c r="Q278" s="118"/>
      <c r="R278" s="117"/>
      <c r="S278" s="117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64"/>
      <c r="O279" s="161"/>
      <c r="P279" s="118"/>
      <c r="Q279" s="118"/>
      <c r="R279" s="117"/>
      <c r="S279" s="117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64"/>
      <c r="O280" s="161"/>
      <c r="P280" s="118"/>
      <c r="Q280" s="118"/>
      <c r="R280" s="117"/>
      <c r="S280" s="117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64"/>
      <c r="O281" s="161"/>
      <c r="P281" s="118"/>
      <c r="Q281" s="118"/>
      <c r="R281" s="117"/>
      <c r="S281" s="117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64"/>
      <c r="O282" s="161"/>
      <c r="P282" s="118"/>
      <c r="Q282" s="118"/>
      <c r="R282" s="117"/>
      <c r="S282" s="117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64"/>
      <c r="O283" s="161"/>
      <c r="P283" s="118"/>
      <c r="Q283" s="118"/>
      <c r="R283" s="117"/>
      <c r="S283" s="117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64"/>
      <c r="O284" s="161"/>
      <c r="P284" s="118"/>
      <c r="Q284" s="118"/>
      <c r="R284" s="117"/>
      <c r="S284" s="117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64"/>
      <c r="O285" s="161"/>
      <c r="P285" s="118"/>
      <c r="Q285" s="118"/>
      <c r="R285" s="117"/>
      <c r="S285" s="117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64"/>
      <c r="O286" s="161"/>
      <c r="P286" s="118"/>
      <c r="Q286" s="118"/>
      <c r="R286" s="117"/>
      <c r="S286" s="117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64"/>
      <c r="O287" s="161"/>
      <c r="P287" s="118"/>
      <c r="Q287" s="118"/>
      <c r="R287" s="117"/>
      <c r="S287" s="117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64"/>
      <c r="O288" s="161"/>
      <c r="P288" s="118"/>
      <c r="Q288" s="118"/>
      <c r="R288" s="117"/>
      <c r="S288" s="117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64"/>
      <c r="O289" s="161"/>
      <c r="P289" s="118"/>
      <c r="Q289" s="118"/>
      <c r="R289" s="117"/>
      <c r="S289" s="117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64"/>
      <c r="O290" s="161"/>
      <c r="P290" s="118"/>
      <c r="Q290" s="118"/>
      <c r="R290" s="117"/>
      <c r="S290" s="117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64"/>
      <c r="O291" s="161"/>
      <c r="P291" s="118"/>
      <c r="Q291" s="118"/>
      <c r="R291" s="117"/>
      <c r="S291" s="117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64"/>
      <c r="O292" s="161"/>
      <c r="P292" s="118"/>
      <c r="Q292" s="118"/>
      <c r="R292" s="117"/>
      <c r="S292" s="117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64"/>
      <c r="O293" s="161"/>
      <c r="P293" s="118"/>
      <c r="Q293" s="118"/>
      <c r="R293" s="117"/>
      <c r="S293" s="117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64"/>
      <c r="O294" s="161"/>
      <c r="P294" s="118"/>
      <c r="Q294" s="118"/>
      <c r="R294" s="117"/>
      <c r="S294" s="117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64"/>
      <c r="O295" s="161"/>
      <c r="P295" s="118"/>
      <c r="Q295" s="118"/>
      <c r="R295" s="117"/>
      <c r="S295" s="117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64"/>
      <c r="O296" s="161"/>
      <c r="P296" s="118"/>
      <c r="Q296" s="118"/>
      <c r="R296" s="117"/>
      <c r="S296" s="117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64"/>
      <c r="O297" s="161"/>
      <c r="P297" s="118"/>
      <c r="Q297" s="118"/>
      <c r="R297" s="117"/>
      <c r="S297" s="117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64"/>
      <c r="O298" s="161"/>
      <c r="P298" s="118"/>
      <c r="Q298" s="118"/>
      <c r="R298" s="117"/>
      <c r="S298" s="117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  <c r="AL298" s="118"/>
      <c r="AM298" s="118"/>
      <c r="AN298" s="118"/>
      <c r="AO298" s="118"/>
      <c r="AP298" s="118"/>
      <c r="AQ298" s="118"/>
      <c r="AR298" s="118"/>
      <c r="AS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64"/>
      <c r="O299" s="161"/>
      <c r="P299" s="118"/>
      <c r="Q299" s="118"/>
      <c r="R299" s="117"/>
      <c r="S299" s="117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  <c r="AL299" s="118"/>
      <c r="AM299" s="118"/>
      <c r="AN299" s="118"/>
      <c r="AO299" s="118"/>
      <c r="AP299" s="118"/>
      <c r="AQ299" s="118"/>
      <c r="AR299" s="118"/>
      <c r="AS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64"/>
      <c r="O300" s="161"/>
      <c r="P300" s="118"/>
      <c r="Q300" s="118"/>
      <c r="R300" s="117"/>
      <c r="S300" s="117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  <c r="AL300" s="118"/>
      <c r="AM300" s="118"/>
      <c r="AN300" s="118"/>
      <c r="AO300" s="118"/>
      <c r="AP300" s="118"/>
      <c r="AQ300" s="118"/>
      <c r="AR300" s="118"/>
      <c r="AS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64"/>
      <c r="O301" s="161"/>
      <c r="P301" s="118"/>
      <c r="Q301" s="118"/>
      <c r="R301" s="117"/>
      <c r="S301" s="117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/>
      <c r="AO301" s="118"/>
      <c r="AP301" s="118"/>
      <c r="AQ301" s="118"/>
      <c r="AR301" s="118"/>
      <c r="AS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64"/>
      <c r="O302" s="161"/>
      <c r="P302" s="118"/>
      <c r="Q302" s="118"/>
      <c r="R302" s="117"/>
      <c r="S302" s="117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  <c r="AL302" s="118"/>
      <c r="AM302" s="118"/>
      <c r="AN302" s="118"/>
      <c r="AO302" s="118"/>
      <c r="AP302" s="118"/>
      <c r="AQ302" s="118"/>
      <c r="AR302" s="118"/>
      <c r="AS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64"/>
      <c r="O303" s="161"/>
      <c r="P303" s="118"/>
      <c r="Q303" s="118"/>
      <c r="R303" s="117"/>
      <c r="S303" s="117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64"/>
      <c r="O304" s="161"/>
      <c r="P304" s="118"/>
      <c r="Q304" s="118"/>
      <c r="R304" s="117"/>
      <c r="S304" s="117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  <c r="AO304" s="118"/>
      <c r="AP304" s="118"/>
      <c r="AQ304" s="118"/>
      <c r="AR304" s="118"/>
      <c r="AS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64"/>
      <c r="O305" s="161"/>
      <c r="P305" s="118"/>
      <c r="Q305" s="118"/>
      <c r="R305" s="117"/>
      <c r="S305" s="117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64"/>
      <c r="O306" s="161"/>
      <c r="P306" s="118"/>
      <c r="Q306" s="118"/>
      <c r="R306" s="117"/>
      <c r="S306" s="117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64"/>
      <c r="O307" s="161"/>
      <c r="P307" s="118"/>
      <c r="Q307" s="118"/>
      <c r="R307" s="117"/>
      <c r="S307" s="117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64"/>
      <c r="O308" s="161"/>
      <c r="P308" s="118"/>
      <c r="Q308" s="118"/>
      <c r="R308" s="117"/>
      <c r="S308" s="117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64"/>
      <c r="O309" s="161"/>
      <c r="P309" s="118"/>
      <c r="Q309" s="118"/>
      <c r="R309" s="117"/>
      <c r="S309" s="117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64"/>
      <c r="O310" s="161"/>
      <c r="P310" s="118"/>
      <c r="Q310" s="118"/>
      <c r="R310" s="117"/>
      <c r="S310" s="117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64"/>
      <c r="O311" s="161"/>
      <c r="P311" s="118"/>
      <c r="Q311" s="118"/>
      <c r="R311" s="117"/>
      <c r="S311" s="117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64"/>
      <c r="O312" s="161"/>
      <c r="P312" s="118"/>
      <c r="Q312" s="118"/>
      <c r="R312" s="117"/>
      <c r="S312" s="117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64"/>
      <c r="O313" s="161"/>
      <c r="P313" s="118"/>
      <c r="Q313" s="118"/>
      <c r="R313" s="117"/>
      <c r="S313" s="117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64"/>
      <c r="O314" s="161"/>
      <c r="P314" s="118"/>
      <c r="Q314" s="118"/>
      <c r="R314" s="117"/>
      <c r="S314" s="117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64"/>
      <c r="O315" s="161"/>
      <c r="P315" s="118"/>
      <c r="Q315" s="118"/>
      <c r="R315" s="117"/>
      <c r="S315" s="117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64"/>
      <c r="O316" s="161"/>
      <c r="P316" s="118"/>
      <c r="Q316" s="118"/>
      <c r="R316" s="117"/>
      <c r="S316" s="117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64"/>
      <c r="O317" s="161"/>
      <c r="P317" s="118"/>
      <c r="Q317" s="118"/>
      <c r="R317" s="117"/>
      <c r="S317" s="117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64"/>
      <c r="O318" s="161"/>
      <c r="P318" s="118"/>
      <c r="Q318" s="118"/>
      <c r="R318" s="117"/>
      <c r="S318" s="117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64"/>
      <c r="O319" s="161"/>
      <c r="P319" s="118"/>
      <c r="Q319" s="118"/>
      <c r="R319" s="117"/>
      <c r="S319" s="117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64"/>
      <c r="O320" s="161"/>
      <c r="P320" s="118"/>
      <c r="Q320" s="118"/>
      <c r="R320" s="117"/>
      <c r="S320" s="117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64"/>
      <c r="O321" s="161"/>
      <c r="P321" s="118"/>
      <c r="Q321" s="118"/>
      <c r="R321" s="117"/>
      <c r="S321" s="117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  <c r="AL321" s="118"/>
      <c r="AM321" s="118"/>
      <c r="AN321" s="118"/>
      <c r="AO321" s="118"/>
      <c r="AP321" s="118"/>
      <c r="AQ321" s="118"/>
      <c r="AR321" s="118"/>
      <c r="AS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64"/>
      <c r="O322" s="161"/>
      <c r="P322" s="118"/>
      <c r="Q322" s="118"/>
      <c r="R322" s="117"/>
      <c r="S322" s="117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  <c r="AL322" s="118"/>
      <c r="AM322" s="118"/>
      <c r="AN322" s="118"/>
      <c r="AO322" s="118"/>
      <c r="AP322" s="118"/>
      <c r="AQ322" s="118"/>
      <c r="AR322" s="118"/>
      <c r="AS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64"/>
      <c r="O323" s="161"/>
      <c r="P323" s="118"/>
      <c r="Q323" s="118"/>
      <c r="R323" s="117"/>
      <c r="S323" s="117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8"/>
      <c r="AJ323" s="118"/>
      <c r="AK323" s="118"/>
      <c r="AL323" s="118"/>
      <c r="AM323" s="118"/>
      <c r="AN323" s="118"/>
      <c r="AO323" s="118"/>
      <c r="AP323" s="118"/>
      <c r="AQ323" s="118"/>
      <c r="AR323" s="118"/>
      <c r="AS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64"/>
      <c r="O324" s="161"/>
      <c r="P324" s="118"/>
      <c r="Q324" s="118"/>
      <c r="R324" s="117"/>
      <c r="S324" s="117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64"/>
      <c r="O325" s="161"/>
      <c r="P325" s="118"/>
      <c r="Q325" s="118"/>
      <c r="R325" s="117"/>
      <c r="S325" s="117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64"/>
      <c r="O326" s="161"/>
      <c r="P326" s="118"/>
      <c r="Q326" s="118"/>
      <c r="R326" s="117"/>
      <c r="S326" s="117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64"/>
      <c r="O327" s="161"/>
      <c r="P327" s="118"/>
      <c r="Q327" s="118"/>
      <c r="R327" s="117"/>
      <c r="S327" s="117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8"/>
      <c r="AJ327" s="118"/>
      <c r="AK327" s="118"/>
      <c r="AL327" s="118"/>
      <c r="AM327" s="118"/>
      <c r="AN327" s="118"/>
      <c r="AO327" s="118"/>
      <c r="AP327" s="118"/>
      <c r="AQ327" s="118"/>
      <c r="AR327" s="118"/>
      <c r="AS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64"/>
      <c r="O328" s="161"/>
      <c r="P328" s="118"/>
      <c r="Q328" s="118"/>
      <c r="R328" s="117"/>
      <c r="S328" s="117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8"/>
      <c r="AN328" s="118"/>
      <c r="AO328" s="118"/>
      <c r="AP328" s="118"/>
      <c r="AQ328" s="118"/>
      <c r="AR328" s="118"/>
      <c r="AS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64"/>
      <c r="O329" s="161"/>
      <c r="P329" s="118"/>
      <c r="Q329" s="118"/>
      <c r="R329" s="117"/>
      <c r="S329" s="117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64"/>
      <c r="O330" s="161"/>
      <c r="P330" s="118"/>
      <c r="Q330" s="118"/>
      <c r="R330" s="117"/>
      <c r="S330" s="117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64"/>
      <c r="O331" s="161"/>
      <c r="P331" s="118"/>
      <c r="Q331" s="118"/>
      <c r="R331" s="117"/>
      <c r="S331" s="117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64"/>
      <c r="O332" s="161"/>
      <c r="P332" s="118"/>
      <c r="Q332" s="118"/>
      <c r="R332" s="117"/>
      <c r="S332" s="117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  <c r="AL332" s="118"/>
      <c r="AM332" s="118"/>
      <c r="AN332" s="118"/>
      <c r="AO332" s="118"/>
      <c r="AP332" s="118"/>
      <c r="AQ332" s="118"/>
      <c r="AR332" s="118"/>
      <c r="AS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64"/>
      <c r="O333" s="161"/>
      <c r="P333" s="118"/>
      <c r="Q333" s="118"/>
      <c r="R333" s="117"/>
      <c r="S333" s="117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  <c r="AL333" s="118"/>
      <c r="AM333" s="118"/>
      <c r="AN333" s="118"/>
      <c r="AO333" s="118"/>
      <c r="AP333" s="118"/>
      <c r="AQ333" s="118"/>
      <c r="AR333" s="118"/>
      <c r="AS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64"/>
      <c r="O334" s="161"/>
      <c r="P334" s="118"/>
      <c r="Q334" s="118"/>
      <c r="R334" s="117"/>
      <c r="S334" s="117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8"/>
      <c r="AJ334" s="118"/>
      <c r="AK334" s="118"/>
      <c r="AL334" s="118"/>
      <c r="AM334" s="118"/>
      <c r="AN334" s="118"/>
      <c r="AO334" s="118"/>
      <c r="AP334" s="118"/>
      <c r="AQ334" s="118"/>
      <c r="AR334" s="118"/>
      <c r="AS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64"/>
      <c r="O335" s="161"/>
      <c r="P335" s="118"/>
      <c r="Q335" s="118"/>
      <c r="R335" s="117"/>
      <c r="S335" s="117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8"/>
      <c r="AJ335" s="118"/>
      <c r="AK335" s="118"/>
      <c r="AL335" s="118"/>
      <c r="AM335" s="118"/>
      <c r="AN335" s="118"/>
      <c r="AO335" s="118"/>
      <c r="AP335" s="118"/>
      <c r="AQ335" s="118"/>
      <c r="AR335" s="118"/>
      <c r="AS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64"/>
      <c r="O336" s="161"/>
      <c r="P336" s="118"/>
      <c r="Q336" s="118"/>
      <c r="R336" s="117"/>
      <c r="S336" s="117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8"/>
      <c r="AJ336" s="118"/>
      <c r="AK336" s="118"/>
      <c r="AL336" s="118"/>
      <c r="AM336" s="118"/>
      <c r="AN336" s="118"/>
      <c r="AO336" s="118"/>
      <c r="AP336" s="118"/>
      <c r="AQ336" s="118"/>
      <c r="AR336" s="118"/>
      <c r="AS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64"/>
      <c r="O337" s="161"/>
      <c r="P337" s="118"/>
      <c r="Q337" s="118"/>
      <c r="R337" s="117"/>
      <c r="S337" s="117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  <c r="AI337" s="118"/>
      <c r="AJ337" s="118"/>
      <c r="AK337" s="118"/>
      <c r="AL337" s="118"/>
      <c r="AM337" s="118"/>
      <c r="AN337" s="118"/>
      <c r="AO337" s="118"/>
      <c r="AP337" s="118"/>
      <c r="AQ337" s="118"/>
      <c r="AR337" s="118"/>
      <c r="AS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64"/>
      <c r="O338" s="161"/>
      <c r="P338" s="118"/>
      <c r="Q338" s="118"/>
      <c r="R338" s="117"/>
      <c r="S338" s="117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64"/>
      <c r="O339" s="161"/>
      <c r="P339" s="118"/>
      <c r="Q339" s="118"/>
      <c r="R339" s="117"/>
      <c r="S339" s="117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64"/>
      <c r="O340" s="161"/>
      <c r="P340" s="118"/>
      <c r="Q340" s="118"/>
      <c r="R340" s="117"/>
      <c r="S340" s="117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64"/>
      <c r="O341" s="161"/>
      <c r="P341" s="118"/>
      <c r="Q341" s="118"/>
      <c r="R341" s="117"/>
      <c r="S341" s="117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18"/>
      <c r="AS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64"/>
      <c r="O342" s="161"/>
      <c r="P342" s="118"/>
      <c r="Q342" s="118"/>
      <c r="R342" s="117"/>
      <c r="S342" s="117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18"/>
      <c r="AS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64"/>
      <c r="O343" s="161"/>
      <c r="P343" s="118"/>
      <c r="Q343" s="118"/>
      <c r="R343" s="117"/>
      <c r="S343" s="117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18"/>
      <c r="AS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64"/>
      <c r="O344" s="161"/>
      <c r="P344" s="118"/>
      <c r="Q344" s="118"/>
      <c r="R344" s="117"/>
      <c r="S344" s="117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18"/>
      <c r="AS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64"/>
      <c r="O345" s="161"/>
      <c r="P345" s="118"/>
      <c r="Q345" s="118"/>
      <c r="R345" s="117"/>
      <c r="S345" s="117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64"/>
      <c r="O346" s="161"/>
      <c r="P346" s="118"/>
      <c r="Q346" s="118"/>
      <c r="R346" s="117"/>
      <c r="S346" s="117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64"/>
      <c r="O347" s="161"/>
      <c r="P347" s="118"/>
      <c r="Q347" s="118"/>
      <c r="R347" s="117"/>
      <c r="S347" s="117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64"/>
      <c r="O348" s="161"/>
      <c r="P348" s="118"/>
      <c r="Q348" s="118"/>
      <c r="R348" s="117"/>
      <c r="S348" s="117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64"/>
      <c r="O349" s="161"/>
      <c r="P349" s="118"/>
      <c r="Q349" s="118"/>
      <c r="R349" s="117"/>
      <c r="S349" s="117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64"/>
      <c r="O350" s="161"/>
      <c r="P350" s="118"/>
      <c r="Q350" s="118"/>
      <c r="R350" s="117"/>
      <c r="S350" s="117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  <c r="AL350" s="118"/>
      <c r="AM350" s="118"/>
      <c r="AN350" s="118"/>
      <c r="AO350" s="118"/>
      <c r="AP350" s="118"/>
      <c r="AQ350" s="118"/>
      <c r="AR350" s="118"/>
      <c r="AS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64"/>
      <c r="O351" s="161"/>
      <c r="P351" s="118"/>
      <c r="Q351" s="118"/>
      <c r="R351" s="117"/>
      <c r="S351" s="117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64"/>
      <c r="O352" s="161"/>
      <c r="P352" s="118"/>
      <c r="Q352" s="118"/>
      <c r="R352" s="117"/>
      <c r="S352" s="117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64"/>
      <c r="O353" s="161"/>
      <c r="P353" s="118"/>
      <c r="Q353" s="118"/>
      <c r="R353" s="117"/>
      <c r="S353" s="117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64"/>
      <c r="O354" s="161"/>
      <c r="P354" s="118"/>
      <c r="Q354" s="118"/>
      <c r="R354" s="117"/>
      <c r="S354" s="117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64"/>
      <c r="O355" s="161"/>
      <c r="P355" s="118"/>
      <c r="Q355" s="118"/>
      <c r="R355" s="117"/>
      <c r="S355" s="117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  <c r="AL355" s="118"/>
      <c r="AM355" s="118"/>
      <c r="AN355" s="118"/>
      <c r="AO355" s="118"/>
      <c r="AP355" s="118"/>
      <c r="AQ355" s="118"/>
      <c r="AR355" s="118"/>
      <c r="AS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64"/>
      <c r="O356" s="161"/>
      <c r="P356" s="118"/>
      <c r="Q356" s="118"/>
      <c r="R356" s="117"/>
      <c r="S356" s="117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118"/>
      <c r="AN356" s="118"/>
      <c r="AO356" s="118"/>
      <c r="AP356" s="118"/>
      <c r="AQ356" s="118"/>
      <c r="AR356" s="118"/>
      <c r="AS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64"/>
      <c r="O357" s="161"/>
      <c r="P357" s="118"/>
      <c r="Q357" s="118"/>
      <c r="R357" s="117"/>
      <c r="S357" s="117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118"/>
      <c r="AN357" s="118"/>
      <c r="AO357" s="118"/>
      <c r="AP357" s="118"/>
      <c r="AQ357" s="118"/>
      <c r="AR357" s="118"/>
      <c r="AS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64"/>
      <c r="O358" s="161"/>
      <c r="P358" s="118"/>
      <c r="Q358" s="118"/>
      <c r="R358" s="117"/>
      <c r="S358" s="117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64"/>
      <c r="O359" s="161"/>
      <c r="P359" s="118"/>
      <c r="Q359" s="118"/>
      <c r="R359" s="117"/>
      <c r="S359" s="117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64"/>
      <c r="O360" s="161"/>
      <c r="P360" s="118"/>
      <c r="Q360" s="118"/>
      <c r="R360" s="117"/>
      <c r="S360" s="117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64"/>
      <c r="O361" s="161"/>
      <c r="P361" s="118"/>
      <c r="Q361" s="118"/>
      <c r="R361" s="117"/>
      <c r="S361" s="117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64"/>
      <c r="O362" s="161"/>
      <c r="P362" s="118"/>
      <c r="Q362" s="118"/>
      <c r="R362" s="117"/>
      <c r="S362" s="117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64"/>
      <c r="O363" s="161"/>
      <c r="P363" s="118"/>
      <c r="Q363" s="118"/>
      <c r="R363" s="117"/>
      <c r="S363" s="117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64"/>
      <c r="O364" s="161"/>
      <c r="P364" s="118"/>
      <c r="Q364" s="118"/>
      <c r="R364" s="117"/>
      <c r="S364" s="117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64"/>
      <c r="O365" s="161"/>
      <c r="P365" s="118"/>
      <c r="Q365" s="118"/>
      <c r="R365" s="117"/>
      <c r="S365" s="117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64"/>
      <c r="O366" s="161"/>
      <c r="P366" s="118"/>
      <c r="Q366" s="118"/>
      <c r="R366" s="117"/>
      <c r="S366" s="117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64"/>
      <c r="O367" s="161"/>
      <c r="P367" s="118"/>
      <c r="Q367" s="118"/>
      <c r="R367" s="117"/>
      <c r="S367" s="117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64"/>
      <c r="O368" s="161"/>
      <c r="P368" s="118"/>
      <c r="Q368" s="118"/>
      <c r="R368" s="117"/>
      <c r="S368" s="117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64"/>
      <c r="O369" s="161"/>
      <c r="P369" s="118"/>
      <c r="Q369" s="118"/>
      <c r="R369" s="117"/>
      <c r="S369" s="117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64"/>
      <c r="O370" s="161"/>
      <c r="P370" s="118"/>
      <c r="Q370" s="118"/>
      <c r="R370" s="117"/>
      <c r="S370" s="117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64"/>
      <c r="O371" s="161"/>
      <c r="P371" s="118"/>
      <c r="Q371" s="118"/>
      <c r="R371" s="117"/>
      <c r="S371" s="117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64"/>
      <c r="O372" s="161"/>
      <c r="P372" s="118"/>
      <c r="Q372" s="118"/>
      <c r="R372" s="117"/>
      <c r="S372" s="117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64"/>
      <c r="O373" s="161"/>
      <c r="P373" s="118"/>
      <c r="Q373" s="118"/>
      <c r="R373" s="117"/>
      <c r="S373" s="117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64"/>
      <c r="O374" s="161"/>
      <c r="P374" s="118"/>
      <c r="Q374" s="118"/>
      <c r="R374" s="117"/>
      <c r="S374" s="117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64"/>
      <c r="O375" s="161"/>
      <c r="P375" s="118"/>
      <c r="Q375" s="118"/>
      <c r="R375" s="117"/>
      <c r="S375" s="117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64"/>
      <c r="O376" s="161"/>
      <c r="P376" s="118"/>
      <c r="Q376" s="118"/>
      <c r="R376" s="117"/>
      <c r="S376" s="117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64"/>
      <c r="O377" s="161"/>
      <c r="P377" s="118"/>
      <c r="Q377" s="118"/>
      <c r="R377" s="117"/>
      <c r="S377" s="117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  <c r="AI377" s="118"/>
      <c r="AJ377" s="118"/>
      <c r="AK377" s="118"/>
      <c r="AL377" s="118"/>
      <c r="AM377" s="118"/>
      <c r="AN377" s="118"/>
      <c r="AO377" s="118"/>
      <c r="AP377" s="118"/>
      <c r="AQ377" s="118"/>
      <c r="AR377" s="118"/>
      <c r="AS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64"/>
      <c r="O378" s="161"/>
      <c r="P378" s="118"/>
      <c r="Q378" s="118"/>
      <c r="R378" s="117"/>
      <c r="S378" s="117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64"/>
      <c r="O379" s="161"/>
      <c r="P379" s="118"/>
      <c r="Q379" s="118"/>
      <c r="R379" s="117"/>
      <c r="S379" s="117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  <c r="AI379" s="118"/>
      <c r="AJ379" s="118"/>
      <c r="AK379" s="118"/>
      <c r="AL379" s="118"/>
      <c r="AM379" s="118"/>
      <c r="AN379" s="118"/>
      <c r="AO379" s="118"/>
      <c r="AP379" s="118"/>
      <c r="AQ379" s="118"/>
      <c r="AR379" s="118"/>
      <c r="AS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64"/>
      <c r="O380" s="161"/>
      <c r="P380" s="118"/>
      <c r="Q380" s="118"/>
      <c r="R380" s="117"/>
      <c r="S380" s="117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  <c r="AI380" s="118"/>
      <c r="AJ380" s="118"/>
      <c r="AK380" s="118"/>
      <c r="AL380" s="118"/>
      <c r="AM380" s="118"/>
      <c r="AN380" s="118"/>
      <c r="AO380" s="118"/>
      <c r="AP380" s="118"/>
      <c r="AQ380" s="118"/>
      <c r="AR380" s="118"/>
      <c r="AS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64"/>
      <c r="O381" s="161"/>
      <c r="P381" s="118"/>
      <c r="Q381" s="118"/>
      <c r="R381" s="117"/>
      <c r="S381" s="117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64"/>
      <c r="O382" s="161"/>
      <c r="P382" s="118"/>
      <c r="Q382" s="118"/>
      <c r="R382" s="117"/>
      <c r="S382" s="117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64"/>
      <c r="O383" s="161"/>
      <c r="P383" s="118"/>
      <c r="Q383" s="118"/>
      <c r="R383" s="117"/>
      <c r="S383" s="117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64"/>
      <c r="O384" s="161"/>
      <c r="P384" s="118"/>
      <c r="Q384" s="118"/>
      <c r="R384" s="117"/>
      <c r="S384" s="117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64"/>
      <c r="O385" s="161"/>
      <c r="P385" s="118"/>
      <c r="Q385" s="118"/>
      <c r="R385" s="117"/>
      <c r="S385" s="117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64"/>
      <c r="O386" s="161"/>
      <c r="P386" s="118"/>
      <c r="Q386" s="118"/>
      <c r="R386" s="117"/>
      <c r="S386" s="117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  <c r="AI386" s="118"/>
      <c r="AJ386" s="118"/>
      <c r="AK386" s="118"/>
      <c r="AL386" s="118"/>
      <c r="AM386" s="118"/>
      <c r="AN386" s="118"/>
      <c r="AO386" s="118"/>
      <c r="AP386" s="118"/>
      <c r="AQ386" s="118"/>
      <c r="AR386" s="118"/>
      <c r="AS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64"/>
      <c r="O387" s="161"/>
      <c r="P387" s="118"/>
      <c r="Q387" s="118"/>
      <c r="R387" s="117"/>
      <c r="S387" s="117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64"/>
      <c r="O388" s="161"/>
      <c r="P388" s="118"/>
      <c r="Q388" s="118"/>
      <c r="R388" s="117"/>
      <c r="S388" s="117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  <c r="AI388" s="118"/>
      <c r="AJ388" s="118"/>
      <c r="AK388" s="118"/>
      <c r="AL388" s="118"/>
      <c r="AM388" s="118"/>
      <c r="AN388" s="118"/>
      <c r="AO388" s="118"/>
      <c r="AP388" s="118"/>
      <c r="AQ388" s="118"/>
      <c r="AR388" s="118"/>
      <c r="AS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64"/>
      <c r="O389" s="161"/>
      <c r="P389" s="118"/>
      <c r="Q389" s="118"/>
      <c r="R389" s="117"/>
      <c r="S389" s="117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  <c r="AI389" s="118"/>
      <c r="AJ389" s="118"/>
      <c r="AK389" s="118"/>
      <c r="AL389" s="118"/>
      <c r="AM389" s="118"/>
      <c r="AN389" s="118"/>
      <c r="AO389" s="118"/>
      <c r="AP389" s="118"/>
      <c r="AQ389" s="118"/>
      <c r="AR389" s="118"/>
      <c r="AS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64"/>
      <c r="O390" s="161"/>
      <c r="P390" s="118"/>
      <c r="Q390" s="118"/>
      <c r="R390" s="117"/>
      <c r="S390" s="117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64"/>
      <c r="O391" s="161"/>
      <c r="P391" s="118"/>
      <c r="Q391" s="118"/>
      <c r="R391" s="117"/>
      <c r="S391" s="117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64"/>
      <c r="O392" s="161"/>
      <c r="P392" s="118"/>
      <c r="Q392" s="118"/>
      <c r="R392" s="117"/>
      <c r="S392" s="117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64"/>
      <c r="O393" s="161"/>
      <c r="P393" s="118"/>
      <c r="Q393" s="118"/>
      <c r="R393" s="117"/>
      <c r="S393" s="117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64"/>
      <c r="O394" s="161"/>
      <c r="P394" s="118"/>
      <c r="Q394" s="118"/>
      <c r="R394" s="117"/>
      <c r="S394" s="117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64"/>
      <c r="O395" s="161"/>
      <c r="P395" s="118"/>
      <c r="Q395" s="118"/>
      <c r="R395" s="117"/>
      <c r="S395" s="117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64"/>
      <c r="O396" s="161"/>
      <c r="P396" s="118"/>
      <c r="Q396" s="118"/>
      <c r="R396" s="117"/>
      <c r="S396" s="117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64"/>
      <c r="O397" s="161"/>
      <c r="P397" s="118"/>
      <c r="Q397" s="118"/>
      <c r="R397" s="117"/>
      <c r="S397" s="117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64"/>
      <c r="O398" s="161"/>
      <c r="P398" s="118"/>
      <c r="Q398" s="118"/>
      <c r="R398" s="117"/>
      <c r="S398" s="117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64"/>
      <c r="O399" s="161"/>
      <c r="P399" s="118"/>
      <c r="Q399" s="118"/>
      <c r="R399" s="117"/>
      <c r="S399" s="117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64"/>
      <c r="O400" s="161"/>
      <c r="P400" s="118"/>
      <c r="Q400" s="118"/>
      <c r="R400" s="117"/>
      <c r="S400" s="117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64"/>
      <c r="O401" s="161"/>
      <c r="P401" s="118"/>
      <c r="Q401" s="118"/>
      <c r="R401" s="117"/>
      <c r="S401" s="117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64"/>
      <c r="O402" s="161"/>
      <c r="P402" s="118"/>
      <c r="Q402" s="118"/>
      <c r="R402" s="117"/>
      <c r="S402" s="117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64"/>
      <c r="O403" s="161"/>
      <c r="P403" s="118"/>
      <c r="Q403" s="118"/>
      <c r="R403" s="117"/>
      <c r="S403" s="117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  <c r="AL403" s="118"/>
      <c r="AM403" s="118"/>
      <c r="AN403" s="118"/>
      <c r="AO403" s="118"/>
      <c r="AP403" s="118"/>
      <c r="AQ403" s="118"/>
      <c r="AR403" s="118"/>
      <c r="AS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64"/>
      <c r="O404" s="161"/>
      <c r="P404" s="118"/>
      <c r="Q404" s="118"/>
      <c r="R404" s="117"/>
      <c r="S404" s="117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64"/>
      <c r="O405" s="161"/>
      <c r="P405" s="118"/>
      <c r="Q405" s="118"/>
      <c r="R405" s="117"/>
      <c r="S405" s="117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64"/>
      <c r="O406" s="161"/>
      <c r="P406" s="118"/>
      <c r="Q406" s="118"/>
      <c r="R406" s="117"/>
      <c r="S406" s="117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64"/>
      <c r="O407" s="161"/>
      <c r="P407" s="118"/>
      <c r="Q407" s="118"/>
      <c r="R407" s="117"/>
      <c r="S407" s="117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64"/>
      <c r="O408" s="161"/>
      <c r="P408" s="118"/>
      <c r="Q408" s="118"/>
      <c r="R408" s="117"/>
      <c r="S408" s="117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/>
      <c r="AO408" s="118"/>
      <c r="AP408" s="118"/>
      <c r="AQ408" s="118"/>
      <c r="AR408" s="118"/>
      <c r="AS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64"/>
      <c r="O409" s="161"/>
      <c r="P409" s="118"/>
      <c r="Q409" s="118"/>
      <c r="R409" s="117"/>
      <c r="S409" s="117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64"/>
      <c r="O410" s="161"/>
      <c r="P410" s="118"/>
      <c r="Q410" s="118"/>
      <c r="R410" s="117"/>
      <c r="S410" s="117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  <c r="AL410" s="118"/>
      <c r="AM410" s="118"/>
      <c r="AN410" s="118"/>
      <c r="AO410" s="118"/>
      <c r="AP410" s="118"/>
      <c r="AQ410" s="118"/>
      <c r="AR410" s="118"/>
      <c r="AS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64"/>
      <c r="O411" s="161"/>
      <c r="P411" s="118"/>
      <c r="Q411" s="118"/>
      <c r="R411" s="117"/>
      <c r="S411" s="117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  <c r="AL411" s="118"/>
      <c r="AM411" s="118"/>
      <c r="AN411" s="118"/>
      <c r="AO411" s="118"/>
      <c r="AP411" s="118"/>
      <c r="AQ411" s="118"/>
      <c r="AR411" s="118"/>
      <c r="AS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64"/>
      <c r="O412" s="161"/>
      <c r="P412" s="118"/>
      <c r="Q412" s="118"/>
      <c r="R412" s="117"/>
      <c r="S412" s="117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64"/>
      <c r="O413" s="161"/>
      <c r="P413" s="118"/>
      <c r="Q413" s="118"/>
      <c r="R413" s="117"/>
      <c r="S413" s="117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64"/>
      <c r="O414" s="161"/>
      <c r="P414" s="118"/>
      <c r="Q414" s="118"/>
      <c r="R414" s="117"/>
      <c r="S414" s="117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  <c r="AL414" s="118"/>
      <c r="AM414" s="118"/>
      <c r="AN414" s="118"/>
      <c r="AO414" s="118"/>
      <c r="AP414" s="118"/>
      <c r="AQ414" s="118"/>
      <c r="AR414" s="118"/>
      <c r="AS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64"/>
      <c r="O415" s="161"/>
      <c r="P415" s="118"/>
      <c r="Q415" s="118"/>
      <c r="R415" s="117"/>
      <c r="S415" s="117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18"/>
      <c r="AN415" s="118"/>
      <c r="AO415" s="118"/>
      <c r="AP415" s="118"/>
      <c r="AQ415" s="118"/>
      <c r="AR415" s="118"/>
      <c r="AS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64"/>
      <c r="O416" s="161"/>
      <c r="P416" s="118"/>
      <c r="Q416" s="118"/>
      <c r="R416" s="117"/>
      <c r="S416" s="117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18"/>
      <c r="AK416" s="118"/>
      <c r="AL416" s="118"/>
      <c r="AM416" s="118"/>
      <c r="AN416" s="118"/>
      <c r="AO416" s="118"/>
      <c r="AP416" s="118"/>
      <c r="AQ416" s="118"/>
      <c r="AR416" s="118"/>
      <c r="AS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64"/>
      <c r="O417" s="161"/>
      <c r="P417" s="118"/>
      <c r="Q417" s="118"/>
      <c r="R417" s="117"/>
      <c r="S417" s="117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  <c r="AI417" s="118"/>
      <c r="AJ417" s="118"/>
      <c r="AK417" s="118"/>
      <c r="AL417" s="118"/>
      <c r="AM417" s="118"/>
      <c r="AN417" s="118"/>
      <c r="AO417" s="118"/>
      <c r="AP417" s="118"/>
      <c r="AQ417" s="118"/>
      <c r="AR417" s="118"/>
      <c r="AS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64"/>
      <c r="O418" s="161"/>
      <c r="P418" s="118"/>
      <c r="Q418" s="118"/>
      <c r="R418" s="117"/>
      <c r="S418" s="117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64"/>
      <c r="O419" s="161"/>
      <c r="P419" s="118"/>
      <c r="Q419" s="118"/>
      <c r="R419" s="117"/>
      <c r="S419" s="117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64"/>
      <c r="O420" s="161"/>
      <c r="P420" s="118"/>
      <c r="Q420" s="118"/>
      <c r="R420" s="117"/>
      <c r="S420" s="117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64"/>
      <c r="O421" s="161"/>
      <c r="P421" s="118"/>
      <c r="Q421" s="118"/>
      <c r="R421" s="117"/>
      <c r="S421" s="117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  <c r="AK421" s="118"/>
      <c r="AL421" s="118"/>
      <c r="AM421" s="118"/>
      <c r="AN421" s="118"/>
      <c r="AO421" s="118"/>
      <c r="AP421" s="118"/>
      <c r="AQ421" s="118"/>
      <c r="AR421" s="118"/>
      <c r="AS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64"/>
      <c r="O422" s="161"/>
      <c r="P422" s="118"/>
      <c r="Q422" s="118"/>
      <c r="R422" s="117"/>
      <c r="S422" s="117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  <c r="AK422" s="118"/>
      <c r="AL422" s="118"/>
      <c r="AM422" s="118"/>
      <c r="AN422" s="118"/>
      <c r="AO422" s="118"/>
      <c r="AP422" s="118"/>
      <c r="AQ422" s="118"/>
      <c r="AR422" s="118"/>
      <c r="AS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64"/>
      <c r="O423" s="161"/>
      <c r="P423" s="118"/>
      <c r="Q423" s="118"/>
      <c r="R423" s="117"/>
      <c r="S423" s="117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  <c r="AK423" s="118"/>
      <c r="AL423" s="118"/>
      <c r="AM423" s="118"/>
      <c r="AN423" s="118"/>
      <c r="AO423" s="118"/>
      <c r="AP423" s="118"/>
      <c r="AQ423" s="118"/>
      <c r="AR423" s="118"/>
      <c r="AS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64"/>
      <c r="O424" s="161"/>
      <c r="P424" s="118"/>
      <c r="Q424" s="118"/>
      <c r="R424" s="117"/>
      <c r="S424" s="117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  <c r="AK424" s="118"/>
      <c r="AL424" s="118"/>
      <c r="AM424" s="118"/>
      <c r="AN424" s="118"/>
      <c r="AO424" s="118"/>
      <c r="AP424" s="118"/>
      <c r="AQ424" s="118"/>
      <c r="AR424" s="118"/>
      <c r="AS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64"/>
      <c r="O425" s="161"/>
      <c r="P425" s="118"/>
      <c r="Q425" s="118"/>
      <c r="R425" s="117"/>
      <c r="S425" s="117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64"/>
      <c r="O426" s="161"/>
      <c r="P426" s="118"/>
      <c r="Q426" s="118"/>
      <c r="R426" s="117"/>
      <c r="S426" s="117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64"/>
      <c r="O427" s="161"/>
      <c r="P427" s="118"/>
      <c r="Q427" s="118"/>
      <c r="R427" s="117"/>
      <c r="S427" s="117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64"/>
      <c r="O428" s="161"/>
      <c r="P428" s="118"/>
      <c r="Q428" s="118"/>
      <c r="R428" s="117"/>
      <c r="S428" s="117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  <c r="AK428" s="118"/>
      <c r="AL428" s="118"/>
      <c r="AM428" s="118"/>
      <c r="AN428" s="118"/>
      <c r="AO428" s="118"/>
      <c r="AP428" s="118"/>
      <c r="AQ428" s="118"/>
      <c r="AR428" s="118"/>
      <c r="AS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64"/>
      <c r="O429" s="161"/>
      <c r="P429" s="118"/>
      <c r="Q429" s="118"/>
      <c r="R429" s="117"/>
      <c r="S429" s="117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  <c r="AK429" s="118"/>
      <c r="AL429" s="118"/>
      <c r="AM429" s="118"/>
      <c r="AN429" s="118"/>
      <c r="AO429" s="118"/>
      <c r="AP429" s="118"/>
      <c r="AQ429" s="118"/>
      <c r="AR429" s="118"/>
      <c r="AS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64"/>
      <c r="O430" s="161"/>
      <c r="P430" s="118"/>
      <c r="Q430" s="118"/>
      <c r="R430" s="117"/>
      <c r="S430" s="117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  <c r="AL430" s="118"/>
      <c r="AM430" s="118"/>
      <c r="AN430" s="118"/>
      <c r="AO430" s="118"/>
      <c r="AP430" s="118"/>
      <c r="AQ430" s="118"/>
      <c r="AR430" s="118"/>
      <c r="AS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64"/>
      <c r="O431" s="161"/>
      <c r="P431" s="118"/>
      <c r="Q431" s="118"/>
      <c r="R431" s="117"/>
      <c r="S431" s="117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  <c r="AL431" s="118"/>
      <c r="AM431" s="118"/>
      <c r="AN431" s="118"/>
      <c r="AO431" s="118"/>
      <c r="AP431" s="118"/>
      <c r="AQ431" s="118"/>
      <c r="AR431" s="118"/>
      <c r="AS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64"/>
      <c r="O432" s="161"/>
      <c r="P432" s="118"/>
      <c r="Q432" s="118"/>
      <c r="R432" s="117"/>
      <c r="S432" s="117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64"/>
      <c r="O433" s="161"/>
      <c r="P433" s="118"/>
      <c r="Q433" s="118"/>
      <c r="R433" s="117"/>
      <c r="S433" s="117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64"/>
      <c r="O434" s="161"/>
      <c r="P434" s="118"/>
      <c r="Q434" s="118"/>
      <c r="R434" s="117"/>
      <c r="S434" s="117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  <c r="AK434" s="118"/>
      <c r="AL434" s="118"/>
      <c r="AM434" s="118"/>
      <c r="AN434" s="118"/>
      <c r="AO434" s="118"/>
      <c r="AP434" s="118"/>
      <c r="AQ434" s="118"/>
      <c r="AR434" s="118"/>
      <c r="AS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64"/>
      <c r="O435" s="161"/>
      <c r="P435" s="118"/>
      <c r="Q435" s="118"/>
      <c r="R435" s="117"/>
      <c r="S435" s="117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  <c r="AK435" s="118"/>
      <c r="AL435" s="118"/>
      <c r="AM435" s="118"/>
      <c r="AN435" s="118"/>
      <c r="AO435" s="118"/>
      <c r="AP435" s="118"/>
      <c r="AQ435" s="118"/>
      <c r="AR435" s="118"/>
      <c r="AS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64"/>
      <c r="O436" s="161"/>
      <c r="P436" s="118"/>
      <c r="Q436" s="118"/>
      <c r="R436" s="117"/>
      <c r="S436" s="117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  <c r="AK436" s="118"/>
      <c r="AL436" s="118"/>
      <c r="AM436" s="118"/>
      <c r="AN436" s="118"/>
      <c r="AO436" s="118"/>
      <c r="AP436" s="118"/>
      <c r="AQ436" s="118"/>
      <c r="AR436" s="118"/>
      <c r="AS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64"/>
      <c r="O437" s="161"/>
      <c r="P437" s="118"/>
      <c r="Q437" s="118"/>
      <c r="R437" s="117"/>
      <c r="S437" s="117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  <c r="AK437" s="118"/>
      <c r="AL437" s="118"/>
      <c r="AM437" s="118"/>
      <c r="AN437" s="118"/>
      <c r="AO437" s="118"/>
      <c r="AP437" s="118"/>
      <c r="AQ437" s="118"/>
      <c r="AR437" s="118"/>
      <c r="AS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64"/>
      <c r="O438" s="161"/>
      <c r="P438" s="118"/>
      <c r="Q438" s="118"/>
      <c r="R438" s="117"/>
      <c r="S438" s="117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  <c r="AL438" s="118"/>
      <c r="AM438" s="118"/>
      <c r="AN438" s="118"/>
      <c r="AO438" s="118"/>
      <c r="AP438" s="118"/>
      <c r="AQ438" s="118"/>
      <c r="AR438" s="118"/>
      <c r="AS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64"/>
      <c r="O439" s="161"/>
      <c r="P439" s="118"/>
      <c r="Q439" s="118"/>
      <c r="R439" s="117"/>
      <c r="S439" s="117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  <c r="AL439" s="118"/>
      <c r="AM439" s="118"/>
      <c r="AN439" s="118"/>
      <c r="AO439" s="118"/>
      <c r="AP439" s="118"/>
      <c r="AQ439" s="118"/>
      <c r="AR439" s="118"/>
      <c r="AS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64"/>
      <c r="O440" s="161"/>
      <c r="P440" s="118"/>
      <c r="Q440" s="118"/>
      <c r="R440" s="117"/>
      <c r="S440" s="117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64"/>
      <c r="O441" s="161"/>
      <c r="P441" s="118"/>
      <c r="Q441" s="118"/>
      <c r="R441" s="117"/>
      <c r="S441" s="117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  <c r="AL441" s="118"/>
      <c r="AM441" s="118"/>
      <c r="AN441" s="118"/>
      <c r="AO441" s="118"/>
      <c r="AP441" s="118"/>
      <c r="AQ441" s="118"/>
      <c r="AR441" s="118"/>
      <c r="AS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64"/>
      <c r="O442" s="161"/>
      <c r="P442" s="118"/>
      <c r="Q442" s="118"/>
      <c r="R442" s="117"/>
      <c r="S442" s="117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8"/>
      <c r="AN442" s="118"/>
      <c r="AO442" s="118"/>
      <c r="AP442" s="118"/>
      <c r="AQ442" s="118"/>
      <c r="AR442" s="118"/>
      <c r="AS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64"/>
      <c r="O443" s="161"/>
      <c r="P443" s="118"/>
      <c r="Q443" s="118"/>
      <c r="R443" s="117"/>
      <c r="S443" s="117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  <c r="AL443" s="118"/>
      <c r="AM443" s="118"/>
      <c r="AN443" s="118"/>
      <c r="AO443" s="118"/>
      <c r="AP443" s="118"/>
      <c r="AQ443" s="118"/>
      <c r="AR443" s="118"/>
      <c r="AS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64"/>
      <c r="O444" s="161"/>
      <c r="P444" s="118"/>
      <c r="Q444" s="118"/>
      <c r="R444" s="117"/>
      <c r="S444" s="117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64"/>
      <c r="O445" s="161"/>
      <c r="P445" s="118"/>
      <c r="Q445" s="118"/>
      <c r="R445" s="117"/>
      <c r="S445" s="117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64"/>
      <c r="O446" s="161"/>
      <c r="P446" s="118"/>
      <c r="Q446" s="118"/>
      <c r="R446" s="117"/>
      <c r="S446" s="117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64"/>
      <c r="O447" s="161"/>
      <c r="P447" s="118"/>
      <c r="Q447" s="118"/>
      <c r="R447" s="117"/>
      <c r="S447" s="117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  <c r="AL447" s="118"/>
      <c r="AM447" s="118"/>
      <c r="AN447" s="118"/>
      <c r="AO447" s="118"/>
      <c r="AP447" s="118"/>
      <c r="AQ447" s="118"/>
      <c r="AR447" s="118"/>
      <c r="AS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64"/>
      <c r="O448" s="161"/>
      <c r="P448" s="118"/>
      <c r="Q448" s="118"/>
      <c r="R448" s="117"/>
      <c r="S448" s="117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  <c r="AL448" s="118"/>
      <c r="AM448" s="118"/>
      <c r="AN448" s="118"/>
      <c r="AO448" s="118"/>
      <c r="AP448" s="118"/>
      <c r="AQ448" s="118"/>
      <c r="AR448" s="118"/>
      <c r="AS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64"/>
      <c r="O449" s="161"/>
      <c r="P449" s="118"/>
      <c r="Q449" s="118"/>
      <c r="R449" s="117"/>
      <c r="S449" s="117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64"/>
      <c r="O450" s="161"/>
      <c r="P450" s="118"/>
      <c r="Q450" s="118"/>
      <c r="R450" s="117"/>
      <c r="S450" s="117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64"/>
      <c r="O451" s="161"/>
      <c r="P451" s="118"/>
      <c r="Q451" s="118"/>
      <c r="R451" s="117"/>
      <c r="S451" s="117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64"/>
      <c r="O452" s="161"/>
      <c r="P452" s="118"/>
      <c r="Q452" s="118"/>
      <c r="R452" s="117"/>
      <c r="S452" s="117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  <c r="AL452" s="118"/>
      <c r="AM452" s="118"/>
      <c r="AN452" s="118"/>
      <c r="AO452" s="118"/>
      <c r="AP452" s="118"/>
      <c r="AQ452" s="118"/>
      <c r="AR452" s="118"/>
      <c r="AS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64"/>
      <c r="O453" s="161"/>
      <c r="P453" s="118"/>
      <c r="Q453" s="118"/>
      <c r="R453" s="117"/>
      <c r="S453" s="117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  <c r="AL453" s="118"/>
      <c r="AM453" s="118"/>
      <c r="AN453" s="118"/>
      <c r="AO453" s="118"/>
      <c r="AP453" s="118"/>
      <c r="AQ453" s="118"/>
      <c r="AR453" s="118"/>
      <c r="AS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64"/>
      <c r="O454" s="161"/>
      <c r="P454" s="118"/>
      <c r="Q454" s="118"/>
      <c r="R454" s="117"/>
      <c r="S454" s="117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  <c r="AL454" s="118"/>
      <c r="AM454" s="118"/>
      <c r="AN454" s="118"/>
      <c r="AO454" s="118"/>
      <c r="AP454" s="118"/>
      <c r="AQ454" s="118"/>
      <c r="AR454" s="118"/>
      <c r="AS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64"/>
      <c r="O455" s="161"/>
      <c r="P455" s="118"/>
      <c r="Q455" s="118"/>
      <c r="R455" s="117"/>
      <c r="S455" s="117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  <c r="AL455" s="118"/>
      <c r="AM455" s="118"/>
      <c r="AN455" s="118"/>
      <c r="AO455" s="118"/>
      <c r="AP455" s="118"/>
      <c r="AQ455" s="118"/>
      <c r="AR455" s="118"/>
      <c r="AS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64"/>
      <c r="O456" s="161"/>
      <c r="P456" s="118"/>
      <c r="Q456" s="118"/>
      <c r="R456" s="117"/>
      <c r="S456" s="117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64"/>
      <c r="O457" s="161"/>
      <c r="P457" s="118"/>
      <c r="Q457" s="118"/>
      <c r="R457" s="117"/>
      <c r="S457" s="117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64"/>
      <c r="O458" s="161"/>
      <c r="P458" s="118"/>
      <c r="Q458" s="118"/>
      <c r="R458" s="117"/>
      <c r="S458" s="117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64"/>
      <c r="O459" s="161"/>
      <c r="P459" s="118"/>
      <c r="Q459" s="118"/>
      <c r="R459" s="117"/>
      <c r="S459" s="117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  <c r="AL459" s="118"/>
      <c r="AM459" s="118"/>
      <c r="AN459" s="118"/>
      <c r="AO459" s="118"/>
      <c r="AP459" s="118"/>
      <c r="AQ459" s="118"/>
      <c r="AR459" s="118"/>
      <c r="AS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64"/>
      <c r="O460" s="161"/>
      <c r="P460" s="118"/>
      <c r="Q460" s="118"/>
      <c r="R460" s="117"/>
      <c r="S460" s="117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  <c r="AL460" s="118"/>
      <c r="AM460" s="118"/>
      <c r="AN460" s="118"/>
      <c r="AO460" s="118"/>
      <c r="AP460" s="118"/>
      <c r="AQ460" s="118"/>
      <c r="AR460" s="118"/>
      <c r="AS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64"/>
      <c r="O461" s="161"/>
      <c r="P461" s="118"/>
      <c r="Q461" s="118"/>
      <c r="R461" s="117"/>
      <c r="S461" s="117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  <c r="AL461" s="118"/>
      <c r="AM461" s="118"/>
      <c r="AN461" s="118"/>
      <c r="AO461" s="118"/>
      <c r="AP461" s="118"/>
      <c r="AQ461" s="118"/>
      <c r="AR461" s="118"/>
      <c r="AS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64"/>
      <c r="O462" s="161"/>
      <c r="P462" s="118"/>
      <c r="Q462" s="118"/>
      <c r="R462" s="117"/>
      <c r="S462" s="117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  <c r="AL462" s="118"/>
      <c r="AM462" s="118"/>
      <c r="AN462" s="118"/>
      <c r="AO462" s="118"/>
      <c r="AP462" s="118"/>
      <c r="AQ462" s="118"/>
      <c r="AR462" s="118"/>
      <c r="AS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64"/>
      <c r="O463" s="161"/>
      <c r="P463" s="118"/>
      <c r="Q463" s="118"/>
      <c r="R463" s="117"/>
      <c r="S463" s="117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64"/>
      <c r="O464" s="161"/>
      <c r="P464" s="118"/>
      <c r="Q464" s="118"/>
      <c r="R464" s="117"/>
      <c r="S464" s="117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64"/>
      <c r="O465" s="161"/>
      <c r="P465" s="118"/>
      <c r="Q465" s="118"/>
      <c r="R465" s="117"/>
      <c r="S465" s="117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  <c r="AI465" s="118"/>
      <c r="AJ465" s="118"/>
      <c r="AK465" s="118"/>
      <c r="AL465" s="118"/>
      <c r="AM465" s="118"/>
      <c r="AN465" s="118"/>
      <c r="AO465" s="118"/>
      <c r="AP465" s="118"/>
      <c r="AQ465" s="118"/>
      <c r="AR465" s="118"/>
      <c r="AS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64"/>
      <c r="O466" s="161"/>
      <c r="P466" s="118"/>
      <c r="Q466" s="118"/>
      <c r="R466" s="117"/>
      <c r="S466" s="117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  <c r="AI466" s="118"/>
      <c r="AJ466" s="118"/>
      <c r="AK466" s="118"/>
      <c r="AL466" s="118"/>
      <c r="AM466" s="118"/>
      <c r="AN466" s="118"/>
      <c r="AO466" s="118"/>
      <c r="AP466" s="118"/>
      <c r="AQ466" s="118"/>
      <c r="AR466" s="118"/>
      <c r="AS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64"/>
      <c r="O467" s="161"/>
      <c r="P467" s="118"/>
      <c r="Q467" s="118"/>
      <c r="R467" s="117"/>
      <c r="S467" s="117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  <c r="AI467" s="118"/>
      <c r="AJ467" s="118"/>
      <c r="AK467" s="118"/>
      <c r="AL467" s="118"/>
      <c r="AM467" s="118"/>
      <c r="AN467" s="118"/>
      <c r="AO467" s="118"/>
      <c r="AP467" s="118"/>
      <c r="AQ467" s="118"/>
      <c r="AR467" s="118"/>
      <c r="AS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64"/>
      <c r="O468" s="161"/>
      <c r="P468" s="118"/>
      <c r="Q468" s="118"/>
      <c r="R468" s="117"/>
      <c r="S468" s="117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  <c r="AI468" s="118"/>
      <c r="AJ468" s="118"/>
      <c r="AK468" s="118"/>
      <c r="AL468" s="118"/>
      <c r="AM468" s="118"/>
      <c r="AN468" s="118"/>
      <c r="AO468" s="118"/>
      <c r="AP468" s="118"/>
      <c r="AQ468" s="118"/>
      <c r="AR468" s="118"/>
      <c r="AS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64"/>
      <c r="O469" s="161"/>
      <c r="P469" s="118"/>
      <c r="Q469" s="118"/>
      <c r="R469" s="117"/>
      <c r="S469" s="117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  <c r="AI469" s="118"/>
      <c r="AJ469" s="118"/>
      <c r="AK469" s="118"/>
      <c r="AL469" s="118"/>
      <c r="AM469" s="118"/>
      <c r="AN469" s="118"/>
      <c r="AO469" s="118"/>
      <c r="AP469" s="118"/>
      <c r="AQ469" s="118"/>
      <c r="AR469" s="118"/>
      <c r="AS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64"/>
      <c r="O470" s="161"/>
      <c r="P470" s="118"/>
      <c r="Q470" s="118"/>
      <c r="R470" s="117"/>
      <c r="S470" s="117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  <c r="AI470" s="118"/>
      <c r="AJ470" s="118"/>
      <c r="AK470" s="118"/>
      <c r="AL470" s="118"/>
      <c r="AM470" s="118"/>
      <c r="AN470" s="118"/>
      <c r="AO470" s="118"/>
      <c r="AP470" s="118"/>
      <c r="AQ470" s="118"/>
      <c r="AR470" s="118"/>
      <c r="AS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64"/>
      <c r="O471" s="161"/>
      <c r="P471" s="118"/>
      <c r="Q471" s="118"/>
      <c r="R471" s="117"/>
      <c r="S471" s="117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  <c r="AI471" s="118"/>
      <c r="AJ471" s="118"/>
      <c r="AK471" s="118"/>
      <c r="AL471" s="118"/>
      <c r="AM471" s="118"/>
      <c r="AN471" s="118"/>
      <c r="AO471" s="118"/>
      <c r="AP471" s="118"/>
      <c r="AQ471" s="118"/>
      <c r="AR471" s="118"/>
      <c r="AS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64"/>
      <c r="O472" s="161"/>
      <c r="P472" s="118"/>
      <c r="Q472" s="118"/>
      <c r="R472" s="117"/>
      <c r="S472" s="117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  <c r="AI472" s="118"/>
      <c r="AJ472" s="118"/>
      <c r="AK472" s="118"/>
      <c r="AL472" s="118"/>
      <c r="AM472" s="118"/>
      <c r="AN472" s="118"/>
      <c r="AO472" s="118"/>
      <c r="AP472" s="118"/>
      <c r="AQ472" s="118"/>
      <c r="AR472" s="118"/>
      <c r="AS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64"/>
      <c r="O473" s="161"/>
      <c r="P473" s="118"/>
      <c r="Q473" s="118"/>
      <c r="R473" s="117"/>
      <c r="S473" s="117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  <c r="AI473" s="118"/>
      <c r="AJ473" s="118"/>
      <c r="AK473" s="118"/>
      <c r="AL473" s="118"/>
      <c r="AM473" s="118"/>
      <c r="AN473" s="118"/>
      <c r="AO473" s="118"/>
      <c r="AP473" s="118"/>
      <c r="AQ473" s="118"/>
      <c r="AR473" s="118"/>
      <c r="AS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64"/>
      <c r="O474" s="161"/>
      <c r="P474" s="118"/>
      <c r="Q474" s="118"/>
      <c r="R474" s="117"/>
      <c r="S474" s="117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64"/>
      <c r="O475" s="161"/>
      <c r="P475" s="118"/>
      <c r="Q475" s="118"/>
      <c r="R475" s="117"/>
      <c r="S475" s="117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  <c r="AL475" s="118"/>
      <c r="AM475" s="118"/>
      <c r="AN475" s="118"/>
      <c r="AO475" s="118"/>
      <c r="AP475" s="118"/>
      <c r="AQ475" s="118"/>
      <c r="AR475" s="118"/>
      <c r="AS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64"/>
      <c r="O476" s="161"/>
      <c r="P476" s="118"/>
      <c r="Q476" s="118"/>
      <c r="R476" s="117"/>
      <c r="S476" s="117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  <c r="AL476" s="118"/>
      <c r="AM476" s="118"/>
      <c r="AN476" s="118"/>
      <c r="AO476" s="118"/>
      <c r="AP476" s="118"/>
      <c r="AQ476" s="118"/>
      <c r="AR476" s="118"/>
      <c r="AS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64"/>
      <c r="O477" s="161"/>
      <c r="P477" s="118"/>
      <c r="Q477" s="118"/>
      <c r="R477" s="117"/>
      <c r="S477" s="117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  <c r="AL477" s="118"/>
      <c r="AM477" s="118"/>
      <c r="AN477" s="118"/>
      <c r="AO477" s="118"/>
      <c r="AP477" s="118"/>
      <c r="AQ477" s="118"/>
      <c r="AR477" s="118"/>
      <c r="AS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64"/>
      <c r="O478" s="161"/>
      <c r="P478" s="118"/>
      <c r="Q478" s="118"/>
      <c r="R478" s="117"/>
      <c r="S478" s="117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  <c r="AL478" s="118"/>
      <c r="AM478" s="118"/>
      <c r="AN478" s="118"/>
      <c r="AO478" s="118"/>
      <c r="AP478" s="118"/>
      <c r="AQ478" s="118"/>
      <c r="AR478" s="118"/>
      <c r="AS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64"/>
      <c r="O479" s="161"/>
      <c r="P479" s="118"/>
      <c r="Q479" s="118"/>
      <c r="R479" s="117"/>
      <c r="S479" s="117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64"/>
      <c r="O480" s="161"/>
      <c r="P480" s="118"/>
      <c r="Q480" s="118"/>
      <c r="R480" s="117"/>
      <c r="S480" s="117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64"/>
      <c r="O481" s="161"/>
      <c r="P481" s="118"/>
      <c r="Q481" s="118"/>
      <c r="R481" s="117"/>
      <c r="S481" s="117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64"/>
      <c r="O482" s="161"/>
      <c r="P482" s="118"/>
      <c r="Q482" s="118"/>
      <c r="R482" s="117"/>
      <c r="S482" s="117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  <c r="AL482" s="118"/>
      <c r="AM482" s="118"/>
      <c r="AN482" s="118"/>
      <c r="AO482" s="118"/>
      <c r="AP482" s="118"/>
      <c r="AQ482" s="118"/>
      <c r="AR482" s="118"/>
      <c r="AS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64"/>
      <c r="O483" s="161"/>
      <c r="P483" s="118"/>
      <c r="Q483" s="118"/>
      <c r="R483" s="117"/>
      <c r="S483" s="117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  <c r="AL483" s="118"/>
      <c r="AM483" s="118"/>
      <c r="AN483" s="118"/>
      <c r="AO483" s="118"/>
      <c r="AP483" s="118"/>
      <c r="AQ483" s="118"/>
      <c r="AR483" s="118"/>
      <c r="AS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64"/>
      <c r="O484" s="161"/>
      <c r="P484" s="118"/>
      <c r="Q484" s="118"/>
      <c r="R484" s="117"/>
      <c r="S484" s="117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  <c r="AL484" s="118"/>
      <c r="AM484" s="118"/>
      <c r="AN484" s="118"/>
      <c r="AO484" s="118"/>
      <c r="AP484" s="118"/>
      <c r="AQ484" s="118"/>
      <c r="AR484" s="118"/>
      <c r="AS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64"/>
      <c r="O485" s="161"/>
      <c r="P485" s="118"/>
      <c r="Q485" s="118"/>
      <c r="R485" s="117"/>
      <c r="S485" s="117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  <c r="AL485" s="118"/>
      <c r="AM485" s="118"/>
      <c r="AN485" s="118"/>
      <c r="AO485" s="118"/>
      <c r="AP485" s="118"/>
      <c r="AQ485" s="118"/>
      <c r="AR485" s="118"/>
      <c r="AS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64"/>
      <c r="O486" s="161"/>
      <c r="P486" s="118"/>
      <c r="Q486" s="118"/>
      <c r="R486" s="117"/>
      <c r="S486" s="117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64"/>
      <c r="O487" s="161"/>
      <c r="P487" s="118"/>
      <c r="Q487" s="118"/>
      <c r="R487" s="117"/>
      <c r="S487" s="117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64"/>
      <c r="O488" s="161"/>
      <c r="P488" s="118"/>
      <c r="Q488" s="118"/>
      <c r="R488" s="117"/>
      <c r="S488" s="117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64"/>
      <c r="O489" s="161"/>
      <c r="P489" s="118"/>
      <c r="Q489" s="118"/>
      <c r="R489" s="117"/>
      <c r="S489" s="117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  <c r="AL489" s="118"/>
      <c r="AM489" s="118"/>
      <c r="AN489" s="118"/>
      <c r="AO489" s="118"/>
      <c r="AP489" s="118"/>
      <c r="AQ489" s="118"/>
      <c r="AR489" s="118"/>
      <c r="AS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64"/>
      <c r="O490" s="161"/>
      <c r="P490" s="118"/>
      <c r="Q490" s="118"/>
      <c r="R490" s="117"/>
      <c r="S490" s="117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64"/>
      <c r="O491" s="161"/>
      <c r="P491" s="118"/>
      <c r="Q491" s="118"/>
      <c r="R491" s="117"/>
      <c r="S491" s="117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  <c r="AL491" s="118"/>
      <c r="AM491" s="118"/>
      <c r="AN491" s="118"/>
      <c r="AO491" s="118"/>
      <c r="AP491" s="118"/>
      <c r="AQ491" s="118"/>
      <c r="AR491" s="118"/>
      <c r="AS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64"/>
      <c r="O492" s="161"/>
      <c r="P492" s="118"/>
      <c r="Q492" s="118"/>
      <c r="R492" s="117"/>
      <c r="S492" s="117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  <c r="AL492" s="118"/>
      <c r="AM492" s="118"/>
      <c r="AN492" s="118"/>
      <c r="AO492" s="118"/>
      <c r="AP492" s="118"/>
      <c r="AQ492" s="118"/>
      <c r="AR492" s="118"/>
      <c r="AS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64"/>
      <c r="O493" s="161"/>
      <c r="P493" s="118"/>
      <c r="Q493" s="118"/>
      <c r="R493" s="117"/>
      <c r="S493" s="117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64"/>
      <c r="O494" s="161"/>
      <c r="P494" s="118"/>
      <c r="Q494" s="118"/>
      <c r="R494" s="117"/>
      <c r="S494" s="117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64"/>
      <c r="O495" s="161"/>
      <c r="P495" s="118"/>
      <c r="Q495" s="118"/>
      <c r="R495" s="117"/>
      <c r="S495" s="117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  <c r="AL495" s="118"/>
      <c r="AM495" s="118"/>
      <c r="AN495" s="118"/>
      <c r="AO495" s="118"/>
      <c r="AP495" s="118"/>
      <c r="AQ495" s="118"/>
      <c r="AR495" s="118"/>
      <c r="AS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64"/>
      <c r="O496" s="161"/>
      <c r="P496" s="118"/>
      <c r="Q496" s="118"/>
      <c r="R496" s="117"/>
      <c r="S496" s="117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  <c r="AL496" s="118"/>
      <c r="AM496" s="118"/>
      <c r="AN496" s="118"/>
      <c r="AO496" s="118"/>
      <c r="AP496" s="118"/>
      <c r="AQ496" s="118"/>
      <c r="AR496" s="118"/>
      <c r="AS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64"/>
      <c r="O497" s="161"/>
      <c r="P497" s="118"/>
      <c r="Q497" s="118"/>
      <c r="R497" s="117"/>
      <c r="S497" s="117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  <c r="AL497" s="118"/>
      <c r="AM497" s="118"/>
      <c r="AN497" s="118"/>
      <c r="AO497" s="118"/>
      <c r="AP497" s="118"/>
      <c r="AQ497" s="118"/>
      <c r="AR497" s="118"/>
      <c r="AS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64"/>
      <c r="O498" s="161"/>
      <c r="P498" s="118"/>
      <c r="Q498" s="118"/>
      <c r="R498" s="117"/>
      <c r="S498" s="117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64"/>
      <c r="O499" s="161"/>
      <c r="P499" s="118"/>
      <c r="Q499" s="118"/>
      <c r="R499" s="117"/>
      <c r="S499" s="117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  <c r="AL499" s="118"/>
      <c r="AM499" s="118"/>
      <c r="AN499" s="118"/>
      <c r="AO499" s="118"/>
      <c r="AP499" s="118"/>
      <c r="AQ499" s="118"/>
      <c r="AR499" s="118"/>
      <c r="AS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64"/>
      <c r="O500" s="161"/>
      <c r="P500" s="118"/>
      <c r="Q500" s="118"/>
      <c r="R500" s="117"/>
      <c r="S500" s="117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  <c r="AL500" s="118"/>
      <c r="AM500" s="118"/>
      <c r="AN500" s="118"/>
      <c r="AO500" s="118"/>
      <c r="AP500" s="118"/>
      <c r="AQ500" s="118"/>
      <c r="AR500" s="118"/>
      <c r="AS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64"/>
      <c r="O501" s="161"/>
      <c r="P501" s="118"/>
      <c r="Q501" s="118"/>
      <c r="R501" s="117"/>
      <c r="S501" s="117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  <c r="AL501" s="118"/>
      <c r="AM501" s="118"/>
      <c r="AN501" s="118"/>
      <c r="AO501" s="118"/>
      <c r="AP501" s="118"/>
      <c r="AQ501" s="118"/>
      <c r="AR501" s="118"/>
      <c r="AS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64"/>
      <c r="O502" s="161"/>
      <c r="P502" s="118"/>
      <c r="Q502" s="118"/>
      <c r="R502" s="117"/>
      <c r="S502" s="117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64"/>
      <c r="O503" s="161"/>
      <c r="P503" s="118"/>
      <c r="Q503" s="118"/>
      <c r="R503" s="117"/>
      <c r="S503" s="117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  <c r="AL503" s="118"/>
      <c r="AM503" s="118"/>
      <c r="AN503" s="118"/>
      <c r="AO503" s="118"/>
      <c r="AP503" s="118"/>
      <c r="AQ503" s="118"/>
      <c r="AR503" s="118"/>
      <c r="AS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64"/>
      <c r="O504" s="161"/>
      <c r="P504" s="118"/>
      <c r="Q504" s="118"/>
      <c r="R504" s="117"/>
      <c r="S504" s="117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  <c r="AL504" s="118"/>
      <c r="AM504" s="118"/>
      <c r="AN504" s="118"/>
      <c r="AO504" s="118"/>
      <c r="AP504" s="118"/>
      <c r="AQ504" s="118"/>
      <c r="AR504" s="118"/>
      <c r="AS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64"/>
      <c r="O505" s="161"/>
      <c r="P505" s="118"/>
      <c r="Q505" s="118"/>
      <c r="R505" s="117"/>
      <c r="S505" s="117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  <c r="AL505" s="118"/>
      <c r="AM505" s="118"/>
      <c r="AN505" s="118"/>
      <c r="AO505" s="118"/>
      <c r="AP505" s="118"/>
      <c r="AQ505" s="118"/>
      <c r="AR505" s="118"/>
      <c r="AS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64"/>
      <c r="O506" s="161"/>
      <c r="P506" s="118"/>
      <c r="Q506" s="118"/>
      <c r="R506" s="117"/>
      <c r="S506" s="117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  <c r="AL506" s="118"/>
      <c r="AM506" s="118"/>
      <c r="AN506" s="118"/>
      <c r="AO506" s="118"/>
      <c r="AP506" s="118"/>
      <c r="AQ506" s="118"/>
      <c r="AR506" s="118"/>
      <c r="AS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64"/>
      <c r="O507" s="161"/>
      <c r="P507" s="118"/>
      <c r="Q507" s="118"/>
      <c r="R507" s="117"/>
      <c r="S507" s="117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  <c r="AL507" s="118"/>
      <c r="AM507" s="118"/>
      <c r="AN507" s="118"/>
      <c r="AO507" s="118"/>
      <c r="AP507" s="118"/>
      <c r="AQ507" s="118"/>
      <c r="AR507" s="118"/>
      <c r="AS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64"/>
      <c r="O508" s="161"/>
      <c r="P508" s="118"/>
      <c r="Q508" s="118"/>
      <c r="R508" s="117"/>
      <c r="S508" s="117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  <c r="AL508" s="118"/>
      <c r="AM508" s="118"/>
      <c r="AN508" s="118"/>
      <c r="AO508" s="118"/>
      <c r="AP508" s="118"/>
      <c r="AQ508" s="118"/>
      <c r="AR508" s="118"/>
      <c r="AS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64"/>
      <c r="O509" s="161"/>
      <c r="P509" s="118"/>
      <c r="Q509" s="118"/>
      <c r="R509" s="117"/>
      <c r="S509" s="117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  <c r="AL509" s="118"/>
      <c r="AM509" s="118"/>
      <c r="AN509" s="118"/>
      <c r="AO509" s="118"/>
      <c r="AP509" s="118"/>
      <c r="AQ509" s="118"/>
      <c r="AR509" s="118"/>
      <c r="AS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64"/>
      <c r="O510" s="161"/>
      <c r="P510" s="118"/>
      <c r="Q510" s="118"/>
      <c r="R510" s="117"/>
      <c r="S510" s="117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  <c r="AL510" s="118"/>
      <c r="AM510" s="118"/>
      <c r="AN510" s="118"/>
      <c r="AO510" s="118"/>
      <c r="AP510" s="118"/>
      <c r="AQ510" s="118"/>
      <c r="AR510" s="118"/>
      <c r="AS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64"/>
      <c r="O511" s="161"/>
      <c r="P511" s="118"/>
      <c r="Q511" s="118"/>
      <c r="R511" s="117"/>
      <c r="S511" s="117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  <c r="AL511" s="118"/>
      <c r="AM511" s="118"/>
      <c r="AN511" s="118"/>
      <c r="AO511" s="118"/>
      <c r="AP511" s="118"/>
      <c r="AQ511" s="118"/>
      <c r="AR511" s="118"/>
      <c r="AS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64"/>
      <c r="O512" s="161"/>
      <c r="P512" s="118"/>
      <c r="Q512" s="118"/>
      <c r="R512" s="117"/>
      <c r="S512" s="117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64"/>
      <c r="O513" s="161"/>
      <c r="P513" s="118"/>
      <c r="Q513" s="118"/>
      <c r="R513" s="117"/>
      <c r="S513" s="117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  <c r="AL513" s="118"/>
      <c r="AM513" s="118"/>
      <c r="AN513" s="118"/>
      <c r="AO513" s="118"/>
      <c r="AP513" s="118"/>
      <c r="AQ513" s="118"/>
      <c r="AR513" s="118"/>
      <c r="AS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64"/>
      <c r="O514" s="161"/>
      <c r="P514" s="118"/>
      <c r="Q514" s="118"/>
      <c r="R514" s="117"/>
      <c r="S514" s="117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  <c r="AL514" s="118"/>
      <c r="AM514" s="118"/>
      <c r="AN514" s="118"/>
      <c r="AO514" s="118"/>
      <c r="AP514" s="118"/>
      <c r="AQ514" s="118"/>
      <c r="AR514" s="118"/>
      <c r="AS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64"/>
      <c r="O515" s="161"/>
      <c r="P515" s="118"/>
      <c r="Q515" s="118"/>
      <c r="R515" s="117"/>
      <c r="S515" s="117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  <c r="AL515" s="118"/>
      <c r="AM515" s="118"/>
      <c r="AN515" s="118"/>
      <c r="AO515" s="118"/>
      <c r="AP515" s="118"/>
      <c r="AQ515" s="118"/>
      <c r="AR515" s="118"/>
      <c r="AS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64"/>
      <c r="O516" s="161"/>
      <c r="P516" s="118"/>
      <c r="Q516" s="118"/>
      <c r="R516" s="117"/>
      <c r="S516" s="117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  <c r="AL516" s="118"/>
      <c r="AM516" s="118"/>
      <c r="AN516" s="118"/>
      <c r="AO516" s="118"/>
      <c r="AP516" s="118"/>
      <c r="AQ516" s="118"/>
      <c r="AR516" s="118"/>
      <c r="AS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64"/>
      <c r="O517" s="161"/>
      <c r="P517" s="118"/>
      <c r="Q517" s="118"/>
      <c r="R517" s="117"/>
      <c r="S517" s="117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  <c r="AL517" s="118"/>
      <c r="AM517" s="118"/>
      <c r="AN517" s="118"/>
      <c r="AO517" s="118"/>
      <c r="AP517" s="118"/>
      <c r="AQ517" s="118"/>
      <c r="AR517" s="118"/>
      <c r="AS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64"/>
      <c r="O518" s="161"/>
      <c r="P518" s="118"/>
      <c r="Q518" s="118"/>
      <c r="R518" s="117"/>
      <c r="S518" s="117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8"/>
      <c r="AN518" s="118"/>
      <c r="AO518" s="118"/>
      <c r="AP518" s="118"/>
      <c r="AQ518" s="118"/>
      <c r="AR518" s="118"/>
      <c r="AS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64"/>
      <c r="O519" s="161"/>
      <c r="P519" s="118"/>
      <c r="Q519" s="118"/>
      <c r="R519" s="117"/>
      <c r="S519" s="117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  <c r="AL519" s="118"/>
      <c r="AM519" s="118"/>
      <c r="AN519" s="118"/>
      <c r="AO519" s="118"/>
      <c r="AP519" s="118"/>
      <c r="AQ519" s="118"/>
      <c r="AR519" s="118"/>
      <c r="AS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64"/>
      <c r="O520" s="161"/>
      <c r="P520" s="118"/>
      <c r="Q520" s="118"/>
      <c r="R520" s="117"/>
      <c r="S520" s="117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  <c r="AL520" s="118"/>
      <c r="AM520" s="118"/>
      <c r="AN520" s="118"/>
      <c r="AO520" s="118"/>
      <c r="AP520" s="118"/>
      <c r="AQ520" s="118"/>
      <c r="AR520" s="118"/>
      <c r="AS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64"/>
      <c r="O521" s="161"/>
      <c r="P521" s="118"/>
      <c r="Q521" s="118"/>
      <c r="R521" s="117"/>
      <c r="S521" s="117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AK521" s="118"/>
      <c r="AL521" s="118"/>
      <c r="AM521" s="118"/>
      <c r="AN521" s="118"/>
      <c r="AO521" s="118"/>
      <c r="AP521" s="118"/>
      <c r="AQ521" s="118"/>
      <c r="AR521" s="118"/>
      <c r="AS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64"/>
      <c r="O522" s="161"/>
      <c r="P522" s="118"/>
      <c r="Q522" s="118"/>
      <c r="R522" s="117"/>
      <c r="S522" s="117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  <c r="AL522" s="118"/>
      <c r="AM522" s="118"/>
      <c r="AN522" s="118"/>
      <c r="AO522" s="118"/>
      <c r="AP522" s="118"/>
      <c r="AQ522" s="118"/>
      <c r="AR522" s="118"/>
      <c r="AS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64"/>
      <c r="O523" s="161"/>
      <c r="P523" s="118"/>
      <c r="Q523" s="118"/>
      <c r="R523" s="117"/>
      <c r="S523" s="117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  <c r="AL523" s="118"/>
      <c r="AM523" s="118"/>
      <c r="AN523" s="118"/>
      <c r="AO523" s="118"/>
      <c r="AP523" s="118"/>
      <c r="AQ523" s="118"/>
      <c r="AR523" s="118"/>
      <c r="AS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64"/>
      <c r="O524" s="161"/>
      <c r="P524" s="118"/>
      <c r="Q524" s="118"/>
      <c r="R524" s="117"/>
      <c r="S524" s="117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  <c r="AL524" s="118"/>
      <c r="AM524" s="118"/>
      <c r="AN524" s="118"/>
      <c r="AO524" s="118"/>
      <c r="AP524" s="118"/>
      <c r="AQ524" s="118"/>
      <c r="AR524" s="118"/>
      <c r="AS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64"/>
      <c r="O525" s="161"/>
      <c r="P525" s="118"/>
      <c r="Q525" s="118"/>
      <c r="R525" s="117"/>
      <c r="S525" s="117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  <c r="AL525" s="118"/>
      <c r="AM525" s="118"/>
      <c r="AN525" s="118"/>
      <c r="AO525" s="118"/>
      <c r="AP525" s="118"/>
      <c r="AQ525" s="118"/>
      <c r="AR525" s="118"/>
      <c r="AS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64"/>
      <c r="O526" s="161"/>
      <c r="P526" s="118"/>
      <c r="Q526" s="118"/>
      <c r="R526" s="117"/>
      <c r="S526" s="117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  <c r="AL526" s="118"/>
      <c r="AM526" s="118"/>
      <c r="AN526" s="118"/>
      <c r="AO526" s="118"/>
      <c r="AP526" s="118"/>
      <c r="AQ526" s="118"/>
      <c r="AR526" s="118"/>
      <c r="AS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64"/>
      <c r="O527" s="161"/>
      <c r="P527" s="118"/>
      <c r="Q527" s="118"/>
      <c r="R527" s="117"/>
      <c r="S527" s="117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  <c r="AL527" s="118"/>
      <c r="AM527" s="118"/>
      <c r="AN527" s="118"/>
      <c r="AO527" s="118"/>
      <c r="AP527" s="118"/>
      <c r="AQ527" s="118"/>
      <c r="AR527" s="118"/>
      <c r="AS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64"/>
      <c r="O528" s="161"/>
      <c r="P528" s="118"/>
      <c r="Q528" s="118"/>
      <c r="R528" s="117"/>
      <c r="S528" s="117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  <c r="AL528" s="118"/>
      <c r="AM528" s="118"/>
      <c r="AN528" s="118"/>
      <c r="AO528" s="118"/>
      <c r="AP528" s="118"/>
      <c r="AQ528" s="118"/>
      <c r="AR528" s="118"/>
      <c r="AS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64"/>
      <c r="O529" s="161"/>
      <c r="P529" s="118"/>
      <c r="Q529" s="118"/>
      <c r="R529" s="117"/>
      <c r="S529" s="117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  <c r="AI529" s="118"/>
      <c r="AJ529" s="118"/>
      <c r="AK529" s="118"/>
      <c r="AL529" s="118"/>
      <c r="AM529" s="118"/>
      <c r="AN529" s="118"/>
      <c r="AO529" s="118"/>
      <c r="AP529" s="118"/>
      <c r="AQ529" s="118"/>
      <c r="AR529" s="118"/>
      <c r="AS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64"/>
      <c r="O530" s="161"/>
      <c r="P530" s="118"/>
      <c r="Q530" s="118"/>
      <c r="R530" s="117"/>
      <c r="S530" s="117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  <c r="AI530" s="118"/>
      <c r="AJ530" s="118"/>
      <c r="AK530" s="118"/>
      <c r="AL530" s="118"/>
      <c r="AM530" s="118"/>
      <c r="AN530" s="118"/>
      <c r="AO530" s="118"/>
      <c r="AP530" s="118"/>
      <c r="AQ530" s="118"/>
      <c r="AR530" s="118"/>
      <c r="AS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64"/>
      <c r="O531" s="161"/>
      <c r="P531" s="118"/>
      <c r="Q531" s="118"/>
      <c r="R531" s="117"/>
      <c r="S531" s="117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  <c r="AI531" s="118"/>
      <c r="AJ531" s="118"/>
      <c r="AK531" s="118"/>
      <c r="AL531" s="118"/>
      <c r="AM531" s="118"/>
      <c r="AN531" s="118"/>
      <c r="AO531" s="118"/>
      <c r="AP531" s="118"/>
      <c r="AQ531" s="118"/>
      <c r="AR531" s="118"/>
      <c r="AS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64"/>
      <c r="O532" s="161"/>
      <c r="P532" s="118"/>
      <c r="Q532" s="118"/>
      <c r="R532" s="117"/>
      <c r="S532" s="117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  <c r="AI532" s="118"/>
      <c r="AJ532" s="118"/>
      <c r="AK532" s="118"/>
      <c r="AL532" s="118"/>
      <c r="AM532" s="118"/>
      <c r="AN532" s="118"/>
      <c r="AO532" s="118"/>
      <c r="AP532" s="118"/>
      <c r="AQ532" s="118"/>
      <c r="AR532" s="118"/>
      <c r="AS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64"/>
      <c r="O533" s="161"/>
      <c r="P533" s="118"/>
      <c r="Q533" s="118"/>
      <c r="R533" s="117"/>
      <c r="S533" s="117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  <c r="AI533" s="118"/>
      <c r="AJ533" s="118"/>
      <c r="AK533" s="118"/>
      <c r="AL533" s="118"/>
      <c r="AM533" s="118"/>
      <c r="AN533" s="118"/>
      <c r="AO533" s="118"/>
      <c r="AP533" s="118"/>
      <c r="AQ533" s="118"/>
      <c r="AR533" s="118"/>
      <c r="AS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64"/>
      <c r="O534" s="161"/>
      <c r="P534" s="118"/>
      <c r="Q534" s="118"/>
      <c r="R534" s="117"/>
      <c r="S534" s="117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64"/>
      <c r="O535" s="161"/>
      <c r="P535" s="118"/>
      <c r="Q535" s="118"/>
      <c r="R535" s="117"/>
      <c r="S535" s="117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  <c r="AL535" s="118"/>
      <c r="AM535" s="118"/>
      <c r="AN535" s="118"/>
      <c r="AO535" s="118"/>
      <c r="AP535" s="118"/>
      <c r="AQ535" s="118"/>
      <c r="AR535" s="118"/>
      <c r="AS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64"/>
      <c r="O536" s="161"/>
      <c r="P536" s="118"/>
      <c r="Q536" s="118"/>
      <c r="R536" s="117"/>
      <c r="S536" s="117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  <c r="AL536" s="118"/>
      <c r="AM536" s="118"/>
      <c r="AN536" s="118"/>
      <c r="AO536" s="118"/>
      <c r="AP536" s="118"/>
      <c r="AQ536" s="118"/>
      <c r="AR536" s="118"/>
      <c r="AS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64"/>
      <c r="O537" s="161"/>
      <c r="P537" s="118"/>
      <c r="Q537" s="118"/>
      <c r="R537" s="117"/>
      <c r="S537" s="117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  <c r="AL537" s="118"/>
      <c r="AM537" s="118"/>
      <c r="AN537" s="118"/>
      <c r="AO537" s="118"/>
      <c r="AP537" s="118"/>
      <c r="AQ537" s="118"/>
      <c r="AR537" s="118"/>
      <c r="AS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64"/>
      <c r="O538" s="161"/>
      <c r="P538" s="118"/>
      <c r="Q538" s="118"/>
      <c r="R538" s="117"/>
      <c r="S538" s="117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  <c r="AL538" s="118"/>
      <c r="AM538" s="118"/>
      <c r="AN538" s="118"/>
      <c r="AO538" s="118"/>
      <c r="AP538" s="118"/>
      <c r="AQ538" s="118"/>
      <c r="AR538" s="118"/>
      <c r="AS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64"/>
      <c r="O539" s="161"/>
      <c r="P539" s="118"/>
      <c r="Q539" s="118"/>
      <c r="R539" s="117"/>
      <c r="S539" s="117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  <c r="AL539" s="118"/>
      <c r="AM539" s="118"/>
      <c r="AN539" s="118"/>
      <c r="AO539" s="118"/>
      <c r="AP539" s="118"/>
      <c r="AQ539" s="118"/>
      <c r="AR539" s="118"/>
      <c r="AS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64"/>
      <c r="O540" s="161"/>
      <c r="P540" s="118"/>
      <c r="Q540" s="118"/>
      <c r="R540" s="117"/>
      <c r="S540" s="117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  <c r="AL540" s="118"/>
      <c r="AM540" s="118"/>
      <c r="AN540" s="118"/>
      <c r="AO540" s="118"/>
      <c r="AP540" s="118"/>
      <c r="AQ540" s="118"/>
      <c r="AR540" s="118"/>
      <c r="AS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64"/>
      <c r="O541" s="161"/>
      <c r="P541" s="118"/>
      <c r="Q541" s="118"/>
      <c r="R541" s="117"/>
      <c r="S541" s="117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  <c r="AL541" s="118"/>
      <c r="AM541" s="118"/>
      <c r="AN541" s="118"/>
      <c r="AO541" s="118"/>
      <c r="AP541" s="118"/>
      <c r="AQ541" s="118"/>
      <c r="AR541" s="118"/>
      <c r="AS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64"/>
      <c r="O542" s="161"/>
      <c r="P542" s="118"/>
      <c r="Q542" s="118"/>
      <c r="R542" s="117"/>
      <c r="S542" s="117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  <c r="AL542" s="118"/>
      <c r="AM542" s="118"/>
      <c r="AN542" s="118"/>
      <c r="AO542" s="118"/>
      <c r="AP542" s="118"/>
      <c r="AQ542" s="118"/>
      <c r="AR542" s="118"/>
      <c r="AS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64"/>
      <c r="O543" s="161"/>
      <c r="P543" s="118"/>
      <c r="Q543" s="118"/>
      <c r="R543" s="117"/>
      <c r="S543" s="117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  <c r="AL543" s="118"/>
      <c r="AM543" s="118"/>
      <c r="AN543" s="118"/>
      <c r="AO543" s="118"/>
      <c r="AP543" s="118"/>
      <c r="AQ543" s="118"/>
      <c r="AR543" s="118"/>
      <c r="AS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64"/>
      <c r="O544" s="161"/>
      <c r="P544" s="118"/>
      <c r="Q544" s="118"/>
      <c r="R544" s="117"/>
      <c r="S544" s="117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64"/>
      <c r="O545" s="161"/>
      <c r="P545" s="118"/>
      <c r="Q545" s="118"/>
      <c r="R545" s="117"/>
      <c r="S545" s="117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  <c r="AL545" s="118"/>
      <c r="AM545" s="118"/>
      <c r="AN545" s="118"/>
      <c r="AO545" s="118"/>
      <c r="AP545" s="118"/>
      <c r="AQ545" s="118"/>
      <c r="AR545" s="118"/>
      <c r="AS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64"/>
      <c r="O546" s="161"/>
      <c r="P546" s="118"/>
      <c r="Q546" s="118"/>
      <c r="R546" s="117"/>
      <c r="S546" s="117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  <c r="AL546" s="118"/>
      <c r="AM546" s="118"/>
      <c r="AN546" s="118"/>
      <c r="AO546" s="118"/>
      <c r="AP546" s="118"/>
      <c r="AQ546" s="118"/>
      <c r="AR546" s="118"/>
      <c r="AS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64"/>
      <c r="O547" s="161"/>
      <c r="P547" s="118"/>
      <c r="Q547" s="118"/>
      <c r="R547" s="117"/>
      <c r="S547" s="117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  <c r="AL547" s="118"/>
      <c r="AM547" s="118"/>
      <c r="AN547" s="118"/>
      <c r="AO547" s="118"/>
      <c r="AP547" s="118"/>
      <c r="AQ547" s="118"/>
      <c r="AR547" s="118"/>
      <c r="AS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64"/>
      <c r="O548" s="161"/>
      <c r="P548" s="118"/>
      <c r="Q548" s="118"/>
      <c r="R548" s="117"/>
      <c r="S548" s="117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  <c r="AO548" s="118"/>
      <c r="AP548" s="118"/>
      <c r="AQ548" s="118"/>
      <c r="AR548" s="118"/>
      <c r="AS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64"/>
      <c r="O549" s="161"/>
      <c r="P549" s="118"/>
      <c r="Q549" s="118"/>
      <c r="R549" s="117"/>
      <c r="S549" s="117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  <c r="AL549" s="118"/>
      <c r="AM549" s="118"/>
      <c r="AN549" s="118"/>
      <c r="AO549" s="118"/>
      <c r="AP549" s="118"/>
      <c r="AQ549" s="118"/>
      <c r="AR549" s="118"/>
      <c r="AS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64"/>
      <c r="O550" s="161"/>
      <c r="P550" s="118"/>
      <c r="Q550" s="118"/>
      <c r="R550" s="117"/>
      <c r="S550" s="117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8"/>
      <c r="AM550" s="118"/>
      <c r="AN550" s="118"/>
      <c r="AO550" s="118"/>
      <c r="AP550" s="118"/>
      <c r="AQ550" s="118"/>
      <c r="AR550" s="118"/>
      <c r="AS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64"/>
      <c r="O551" s="161"/>
      <c r="P551" s="118"/>
      <c r="Q551" s="118"/>
      <c r="R551" s="117"/>
      <c r="S551" s="117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64"/>
      <c r="O552" s="161"/>
      <c r="P552" s="118"/>
      <c r="Q552" s="118"/>
      <c r="R552" s="117"/>
      <c r="S552" s="117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8"/>
      <c r="AM552" s="118"/>
      <c r="AN552" s="118"/>
      <c r="AO552" s="118"/>
      <c r="AP552" s="118"/>
      <c r="AQ552" s="118"/>
      <c r="AR552" s="118"/>
      <c r="AS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64"/>
      <c r="O553" s="161"/>
      <c r="P553" s="118"/>
      <c r="Q553" s="118"/>
      <c r="R553" s="117"/>
      <c r="S553" s="117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  <c r="AL553" s="118"/>
      <c r="AM553" s="118"/>
      <c r="AN553" s="118"/>
      <c r="AO553" s="118"/>
      <c r="AP553" s="118"/>
      <c r="AQ553" s="118"/>
      <c r="AR553" s="118"/>
      <c r="AS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64"/>
      <c r="O554" s="161"/>
      <c r="P554" s="118"/>
      <c r="Q554" s="118"/>
      <c r="R554" s="117"/>
      <c r="S554" s="117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  <c r="AL554" s="118"/>
      <c r="AM554" s="118"/>
      <c r="AN554" s="118"/>
      <c r="AO554" s="118"/>
      <c r="AP554" s="118"/>
      <c r="AQ554" s="118"/>
      <c r="AR554" s="118"/>
      <c r="AS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64"/>
      <c r="O555" s="161"/>
      <c r="P555" s="118"/>
      <c r="Q555" s="118"/>
      <c r="R555" s="117"/>
      <c r="S555" s="117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  <c r="AL555" s="118"/>
      <c r="AM555" s="118"/>
      <c r="AN555" s="118"/>
      <c r="AO555" s="118"/>
      <c r="AP555" s="118"/>
      <c r="AQ555" s="118"/>
      <c r="AR555" s="118"/>
      <c r="AS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64"/>
      <c r="O556" s="161"/>
      <c r="P556" s="118"/>
      <c r="Q556" s="118"/>
      <c r="R556" s="117"/>
      <c r="S556" s="117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8"/>
      <c r="AN556" s="118"/>
      <c r="AO556" s="118"/>
      <c r="AP556" s="118"/>
      <c r="AQ556" s="118"/>
      <c r="AR556" s="118"/>
      <c r="AS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64"/>
      <c r="O557" s="161"/>
      <c r="P557" s="118"/>
      <c r="Q557" s="118"/>
      <c r="R557" s="117"/>
      <c r="S557" s="117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  <c r="AL557" s="118"/>
      <c r="AM557" s="118"/>
      <c r="AN557" s="118"/>
      <c r="AO557" s="118"/>
      <c r="AP557" s="118"/>
      <c r="AQ557" s="118"/>
      <c r="AR557" s="118"/>
      <c r="AS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64"/>
      <c r="O558" s="161"/>
      <c r="P558" s="118"/>
      <c r="Q558" s="118"/>
      <c r="R558" s="117"/>
      <c r="S558" s="117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  <c r="AL558" s="118"/>
      <c r="AM558" s="118"/>
      <c r="AN558" s="118"/>
      <c r="AO558" s="118"/>
      <c r="AP558" s="118"/>
      <c r="AQ558" s="118"/>
      <c r="AR558" s="118"/>
      <c r="AS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64"/>
      <c r="O559" s="161"/>
      <c r="P559" s="118"/>
      <c r="Q559" s="118"/>
      <c r="R559" s="117"/>
      <c r="S559" s="117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  <c r="AL559" s="118"/>
      <c r="AM559" s="118"/>
      <c r="AN559" s="118"/>
      <c r="AO559" s="118"/>
      <c r="AP559" s="118"/>
      <c r="AQ559" s="118"/>
      <c r="AR559" s="118"/>
      <c r="AS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64"/>
      <c r="O560" s="161"/>
      <c r="P560" s="118"/>
      <c r="Q560" s="118"/>
      <c r="R560" s="117"/>
      <c r="S560" s="117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  <c r="AI560" s="118"/>
      <c r="AJ560" s="118"/>
      <c r="AK560" s="118"/>
      <c r="AL560" s="118"/>
      <c r="AM560" s="118"/>
      <c r="AN560" s="118"/>
      <c r="AO560" s="118"/>
      <c r="AP560" s="118"/>
      <c r="AQ560" s="118"/>
      <c r="AR560" s="118"/>
      <c r="AS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64"/>
      <c r="O561" s="161"/>
      <c r="P561" s="118"/>
      <c r="Q561" s="118"/>
      <c r="R561" s="117"/>
      <c r="S561" s="117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  <c r="AI561" s="118"/>
      <c r="AJ561" s="118"/>
      <c r="AK561" s="118"/>
      <c r="AL561" s="118"/>
      <c r="AM561" s="118"/>
      <c r="AN561" s="118"/>
      <c r="AO561" s="118"/>
      <c r="AP561" s="118"/>
      <c r="AQ561" s="118"/>
      <c r="AR561" s="118"/>
      <c r="AS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64"/>
      <c r="O562" s="161"/>
      <c r="P562" s="118"/>
      <c r="Q562" s="118"/>
      <c r="R562" s="117"/>
      <c r="S562" s="117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  <c r="AI562" s="118"/>
      <c r="AJ562" s="118"/>
      <c r="AK562" s="118"/>
      <c r="AL562" s="118"/>
      <c r="AM562" s="118"/>
      <c r="AN562" s="118"/>
      <c r="AO562" s="118"/>
      <c r="AP562" s="118"/>
      <c r="AQ562" s="118"/>
      <c r="AR562" s="118"/>
      <c r="AS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64"/>
      <c r="O563" s="161"/>
      <c r="P563" s="118"/>
      <c r="Q563" s="118"/>
      <c r="R563" s="117"/>
      <c r="S563" s="117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  <c r="AI563" s="118"/>
      <c r="AJ563" s="118"/>
      <c r="AK563" s="118"/>
      <c r="AL563" s="118"/>
      <c r="AM563" s="118"/>
      <c r="AN563" s="118"/>
      <c r="AO563" s="118"/>
      <c r="AP563" s="118"/>
      <c r="AQ563" s="118"/>
      <c r="AR563" s="118"/>
      <c r="AS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64"/>
      <c r="O564" s="161"/>
      <c r="P564" s="118"/>
      <c r="Q564" s="118"/>
      <c r="R564" s="117"/>
      <c r="S564" s="117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64"/>
      <c r="O565" s="161"/>
      <c r="P565" s="118"/>
      <c r="Q565" s="118"/>
      <c r="R565" s="117"/>
      <c r="S565" s="117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  <c r="AI565" s="118"/>
      <c r="AJ565" s="118"/>
      <c r="AK565" s="118"/>
      <c r="AL565" s="118"/>
      <c r="AM565" s="118"/>
      <c r="AN565" s="118"/>
      <c r="AO565" s="118"/>
      <c r="AP565" s="118"/>
      <c r="AQ565" s="118"/>
      <c r="AR565" s="118"/>
      <c r="AS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64"/>
      <c r="O566" s="161"/>
      <c r="P566" s="118"/>
      <c r="Q566" s="118"/>
      <c r="R566" s="117"/>
      <c r="S566" s="117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  <c r="AI566" s="118"/>
      <c r="AJ566" s="118"/>
      <c r="AK566" s="118"/>
      <c r="AL566" s="118"/>
      <c r="AM566" s="118"/>
      <c r="AN566" s="118"/>
      <c r="AO566" s="118"/>
      <c r="AP566" s="118"/>
      <c r="AQ566" s="118"/>
      <c r="AR566" s="118"/>
      <c r="AS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64"/>
      <c r="O567" s="161"/>
      <c r="P567" s="118"/>
      <c r="Q567" s="118"/>
      <c r="R567" s="117"/>
      <c r="S567" s="117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  <c r="AI567" s="118"/>
      <c r="AJ567" s="118"/>
      <c r="AK567" s="118"/>
      <c r="AL567" s="118"/>
      <c r="AM567" s="118"/>
      <c r="AN567" s="118"/>
      <c r="AO567" s="118"/>
      <c r="AP567" s="118"/>
      <c r="AQ567" s="118"/>
      <c r="AR567" s="118"/>
      <c r="AS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64"/>
      <c r="O568" s="161"/>
      <c r="P568" s="118"/>
      <c r="Q568" s="118"/>
      <c r="R568" s="117"/>
      <c r="S568" s="117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  <c r="AI568" s="118"/>
      <c r="AJ568" s="118"/>
      <c r="AK568" s="118"/>
      <c r="AL568" s="118"/>
      <c r="AM568" s="118"/>
      <c r="AN568" s="118"/>
      <c r="AO568" s="118"/>
      <c r="AP568" s="118"/>
      <c r="AQ568" s="118"/>
      <c r="AR568" s="118"/>
      <c r="AS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64"/>
      <c r="O569" s="161"/>
      <c r="P569" s="118"/>
      <c r="Q569" s="118"/>
      <c r="R569" s="117"/>
      <c r="S569" s="117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  <c r="AI569" s="118"/>
      <c r="AJ569" s="118"/>
      <c r="AK569" s="118"/>
      <c r="AL569" s="118"/>
      <c r="AM569" s="118"/>
      <c r="AN569" s="118"/>
      <c r="AO569" s="118"/>
      <c r="AP569" s="118"/>
      <c r="AQ569" s="118"/>
      <c r="AR569" s="118"/>
      <c r="AS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64"/>
      <c r="O570" s="161"/>
      <c r="P570" s="118"/>
      <c r="Q570" s="118"/>
      <c r="R570" s="117"/>
      <c r="S570" s="117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  <c r="AI570" s="118"/>
      <c r="AJ570" s="118"/>
      <c r="AK570" s="118"/>
      <c r="AL570" s="118"/>
      <c r="AM570" s="118"/>
      <c r="AN570" s="118"/>
      <c r="AO570" s="118"/>
      <c r="AP570" s="118"/>
      <c r="AQ570" s="118"/>
      <c r="AR570" s="118"/>
      <c r="AS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64"/>
      <c r="O571" s="161"/>
      <c r="P571" s="118"/>
      <c r="Q571" s="118"/>
      <c r="R571" s="117"/>
      <c r="S571" s="117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  <c r="AI571" s="118"/>
      <c r="AJ571" s="118"/>
      <c r="AK571" s="118"/>
      <c r="AL571" s="118"/>
      <c r="AM571" s="118"/>
      <c r="AN571" s="118"/>
      <c r="AO571" s="118"/>
      <c r="AP571" s="118"/>
      <c r="AQ571" s="118"/>
      <c r="AR571" s="118"/>
      <c r="AS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64"/>
      <c r="O572" s="161"/>
      <c r="P572" s="118"/>
      <c r="Q572" s="118"/>
      <c r="R572" s="117"/>
      <c r="S572" s="117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  <c r="AI572" s="118"/>
      <c r="AJ572" s="118"/>
      <c r="AK572" s="118"/>
      <c r="AL572" s="118"/>
      <c r="AM572" s="118"/>
      <c r="AN572" s="118"/>
      <c r="AO572" s="118"/>
      <c r="AP572" s="118"/>
      <c r="AQ572" s="118"/>
      <c r="AR572" s="118"/>
      <c r="AS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64"/>
      <c r="O573" s="161"/>
      <c r="P573" s="118"/>
      <c r="Q573" s="118"/>
      <c r="R573" s="117"/>
      <c r="S573" s="117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  <c r="AI573" s="118"/>
      <c r="AJ573" s="118"/>
      <c r="AK573" s="118"/>
      <c r="AL573" s="118"/>
      <c r="AM573" s="118"/>
      <c r="AN573" s="118"/>
      <c r="AO573" s="118"/>
      <c r="AP573" s="118"/>
      <c r="AQ573" s="118"/>
      <c r="AR573" s="118"/>
      <c r="AS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64"/>
      <c r="O574" s="161"/>
      <c r="P574" s="118"/>
      <c r="Q574" s="118"/>
      <c r="R574" s="117"/>
      <c r="S574" s="117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  <c r="AL574" s="118"/>
      <c r="AM574" s="118"/>
      <c r="AN574" s="118"/>
      <c r="AO574" s="118"/>
      <c r="AP574" s="118"/>
      <c r="AQ574" s="118"/>
      <c r="AR574" s="118"/>
      <c r="AS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64"/>
      <c r="O575" s="161"/>
      <c r="P575" s="118"/>
      <c r="Q575" s="118"/>
      <c r="R575" s="117"/>
      <c r="S575" s="117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  <c r="AL575" s="118"/>
      <c r="AM575" s="118"/>
      <c r="AN575" s="118"/>
      <c r="AO575" s="118"/>
      <c r="AP575" s="118"/>
      <c r="AQ575" s="118"/>
      <c r="AR575" s="118"/>
      <c r="AS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64"/>
      <c r="O576" s="161"/>
      <c r="P576" s="118"/>
      <c r="Q576" s="118"/>
      <c r="R576" s="117"/>
      <c r="S576" s="117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  <c r="AL576" s="118"/>
      <c r="AM576" s="118"/>
      <c r="AN576" s="118"/>
      <c r="AO576" s="118"/>
      <c r="AP576" s="118"/>
      <c r="AQ576" s="118"/>
      <c r="AR576" s="118"/>
      <c r="AS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64"/>
      <c r="O577" s="161"/>
      <c r="P577" s="118"/>
      <c r="Q577" s="118"/>
      <c r="R577" s="117"/>
      <c r="S577" s="117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  <c r="AI577" s="118"/>
      <c r="AJ577" s="118"/>
      <c r="AK577" s="118"/>
      <c r="AL577" s="118"/>
      <c r="AM577" s="118"/>
      <c r="AN577" s="118"/>
      <c r="AO577" s="118"/>
      <c r="AP577" s="118"/>
      <c r="AQ577" s="118"/>
      <c r="AR577" s="118"/>
      <c r="AS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64"/>
      <c r="O578" s="161"/>
      <c r="P578" s="118"/>
      <c r="Q578" s="118"/>
      <c r="R578" s="117"/>
      <c r="S578" s="117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64"/>
      <c r="O579" s="161"/>
      <c r="P579" s="118"/>
      <c r="Q579" s="118"/>
      <c r="R579" s="117"/>
      <c r="S579" s="117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  <c r="AI579" s="118"/>
      <c r="AJ579" s="118"/>
      <c r="AK579" s="118"/>
      <c r="AL579" s="118"/>
      <c r="AM579" s="118"/>
      <c r="AN579" s="118"/>
      <c r="AO579" s="118"/>
      <c r="AP579" s="118"/>
      <c r="AQ579" s="118"/>
      <c r="AR579" s="118"/>
      <c r="AS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64"/>
      <c r="O580" s="161"/>
      <c r="P580" s="118"/>
      <c r="Q580" s="118"/>
      <c r="R580" s="117"/>
      <c r="S580" s="117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  <c r="AI580" s="118"/>
      <c r="AJ580" s="118"/>
      <c r="AK580" s="118"/>
      <c r="AL580" s="118"/>
      <c r="AM580" s="118"/>
      <c r="AN580" s="118"/>
      <c r="AO580" s="118"/>
      <c r="AP580" s="118"/>
      <c r="AQ580" s="118"/>
      <c r="AR580" s="118"/>
      <c r="AS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64"/>
      <c r="O581" s="161"/>
      <c r="P581" s="118"/>
      <c r="Q581" s="118"/>
      <c r="R581" s="117"/>
      <c r="S581" s="117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118"/>
      <c r="AN581" s="118"/>
      <c r="AO581" s="118"/>
      <c r="AP581" s="118"/>
      <c r="AQ581" s="118"/>
      <c r="AR581" s="118"/>
      <c r="AS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64"/>
      <c r="O582" s="161"/>
      <c r="P582" s="118"/>
      <c r="Q582" s="118"/>
      <c r="R582" s="117"/>
      <c r="S582" s="117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118"/>
      <c r="AN582" s="118"/>
      <c r="AO582" s="118"/>
      <c r="AP582" s="118"/>
      <c r="AQ582" s="118"/>
      <c r="AR582" s="118"/>
      <c r="AS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64"/>
      <c r="O583" s="161"/>
      <c r="P583" s="118"/>
      <c r="Q583" s="118"/>
      <c r="R583" s="117"/>
      <c r="S583" s="117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  <c r="AL583" s="118"/>
      <c r="AM583" s="118"/>
      <c r="AN583" s="118"/>
      <c r="AO583" s="118"/>
      <c r="AP583" s="118"/>
      <c r="AQ583" s="118"/>
      <c r="AR583" s="118"/>
      <c r="AS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64"/>
      <c r="O584" s="161"/>
      <c r="P584" s="118"/>
      <c r="Q584" s="118"/>
      <c r="R584" s="117"/>
      <c r="S584" s="117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  <c r="AL584" s="118"/>
      <c r="AM584" s="118"/>
      <c r="AN584" s="118"/>
      <c r="AO584" s="118"/>
      <c r="AP584" s="118"/>
      <c r="AQ584" s="118"/>
      <c r="AR584" s="118"/>
      <c r="AS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64"/>
      <c r="O585" s="161"/>
      <c r="P585" s="118"/>
      <c r="Q585" s="118"/>
      <c r="R585" s="117"/>
      <c r="S585" s="117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  <c r="AL585" s="118"/>
      <c r="AM585" s="118"/>
      <c r="AN585" s="118"/>
      <c r="AO585" s="118"/>
      <c r="AP585" s="118"/>
      <c r="AQ585" s="118"/>
      <c r="AR585" s="118"/>
      <c r="AS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64"/>
      <c r="O586" s="161"/>
      <c r="P586" s="118"/>
      <c r="Q586" s="118"/>
      <c r="R586" s="117"/>
      <c r="S586" s="117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64"/>
      <c r="O587" s="161"/>
      <c r="P587" s="118"/>
      <c r="Q587" s="118"/>
      <c r="R587" s="117"/>
      <c r="S587" s="117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  <c r="AL587" s="118"/>
      <c r="AM587" s="118"/>
      <c r="AN587" s="118"/>
      <c r="AO587" s="118"/>
      <c r="AP587" s="118"/>
      <c r="AQ587" s="118"/>
      <c r="AR587" s="118"/>
      <c r="AS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64"/>
      <c r="O588" s="161"/>
      <c r="P588" s="118"/>
      <c r="Q588" s="118"/>
      <c r="R588" s="117"/>
      <c r="S588" s="117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118"/>
      <c r="AN588" s="118"/>
      <c r="AO588" s="118"/>
      <c r="AP588" s="118"/>
      <c r="AQ588" s="118"/>
      <c r="AR588" s="118"/>
      <c r="AS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64"/>
      <c r="O589" s="161"/>
      <c r="P589" s="118"/>
      <c r="Q589" s="118"/>
      <c r="R589" s="117"/>
      <c r="S589" s="117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  <c r="AL589" s="118"/>
      <c r="AM589" s="118"/>
      <c r="AN589" s="118"/>
      <c r="AO589" s="118"/>
      <c r="AP589" s="118"/>
      <c r="AQ589" s="118"/>
      <c r="AR589" s="118"/>
      <c r="AS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64"/>
      <c r="O590" s="161"/>
      <c r="P590" s="118"/>
      <c r="Q590" s="118"/>
      <c r="R590" s="117"/>
      <c r="S590" s="117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  <c r="AL590" s="118"/>
      <c r="AM590" s="118"/>
      <c r="AN590" s="118"/>
      <c r="AO590" s="118"/>
      <c r="AP590" s="118"/>
      <c r="AQ590" s="118"/>
      <c r="AR590" s="118"/>
      <c r="AS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64"/>
      <c r="O591" s="161"/>
      <c r="P591" s="118"/>
      <c r="Q591" s="118"/>
      <c r="R591" s="117"/>
      <c r="S591" s="117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  <c r="AL591" s="118"/>
      <c r="AM591" s="118"/>
      <c r="AN591" s="118"/>
      <c r="AO591" s="118"/>
      <c r="AP591" s="118"/>
      <c r="AQ591" s="118"/>
      <c r="AR591" s="118"/>
      <c r="AS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64"/>
      <c r="O592" s="161"/>
      <c r="P592" s="118"/>
      <c r="Q592" s="118"/>
      <c r="R592" s="117"/>
      <c r="S592" s="117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  <c r="AL592" s="118"/>
      <c r="AM592" s="118"/>
      <c r="AN592" s="118"/>
      <c r="AO592" s="118"/>
      <c r="AP592" s="118"/>
      <c r="AQ592" s="118"/>
      <c r="AR592" s="118"/>
      <c r="AS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64"/>
      <c r="O593" s="161"/>
      <c r="P593" s="118"/>
      <c r="Q593" s="118"/>
      <c r="R593" s="117"/>
      <c r="S593" s="117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  <c r="AL593" s="118"/>
      <c r="AM593" s="118"/>
      <c r="AN593" s="118"/>
      <c r="AO593" s="118"/>
      <c r="AP593" s="118"/>
      <c r="AQ593" s="118"/>
      <c r="AR593" s="118"/>
      <c r="AS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64"/>
      <c r="O594" s="161"/>
      <c r="P594" s="118"/>
      <c r="Q594" s="118"/>
      <c r="R594" s="117"/>
      <c r="S594" s="117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8"/>
      <c r="AN594" s="118"/>
      <c r="AO594" s="118"/>
      <c r="AP594" s="118"/>
      <c r="AQ594" s="118"/>
      <c r="AR594" s="118"/>
      <c r="AS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64"/>
      <c r="O595" s="161"/>
      <c r="P595" s="118"/>
      <c r="Q595" s="118"/>
      <c r="R595" s="117"/>
      <c r="S595" s="117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  <c r="AL595" s="118"/>
      <c r="AM595" s="118"/>
      <c r="AN595" s="118"/>
      <c r="AO595" s="118"/>
      <c r="AP595" s="118"/>
      <c r="AQ595" s="118"/>
      <c r="AR595" s="118"/>
      <c r="AS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64"/>
      <c r="O596" s="161"/>
      <c r="P596" s="118"/>
      <c r="Q596" s="118"/>
      <c r="R596" s="117"/>
      <c r="S596" s="117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  <c r="AL596" s="118"/>
      <c r="AM596" s="118"/>
      <c r="AN596" s="118"/>
      <c r="AO596" s="118"/>
      <c r="AP596" s="118"/>
      <c r="AQ596" s="118"/>
      <c r="AR596" s="118"/>
      <c r="AS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64"/>
      <c r="O597" s="161"/>
      <c r="P597" s="118"/>
      <c r="Q597" s="118"/>
      <c r="R597" s="117"/>
      <c r="S597" s="117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  <c r="AL597" s="118"/>
      <c r="AM597" s="118"/>
      <c r="AN597" s="118"/>
      <c r="AO597" s="118"/>
      <c r="AP597" s="118"/>
      <c r="AQ597" s="118"/>
      <c r="AR597" s="118"/>
      <c r="AS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64"/>
      <c r="O598" s="161"/>
      <c r="P598" s="118"/>
      <c r="Q598" s="118"/>
      <c r="R598" s="117"/>
      <c r="S598" s="117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  <c r="AL598" s="118"/>
      <c r="AM598" s="118"/>
      <c r="AN598" s="118"/>
      <c r="AO598" s="118"/>
      <c r="AP598" s="118"/>
      <c r="AQ598" s="118"/>
      <c r="AR598" s="118"/>
      <c r="AS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64"/>
      <c r="O599" s="161"/>
      <c r="P599" s="118"/>
      <c r="Q599" s="118"/>
      <c r="R599" s="117"/>
      <c r="S599" s="117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18"/>
      <c r="AS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64"/>
      <c r="O600" s="161"/>
      <c r="P600" s="118"/>
      <c r="Q600" s="118"/>
      <c r="R600" s="117"/>
      <c r="S600" s="117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18"/>
      <c r="AS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64"/>
      <c r="O601" s="161"/>
      <c r="P601" s="118"/>
      <c r="Q601" s="118"/>
      <c r="R601" s="117"/>
      <c r="S601" s="117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18"/>
      <c r="AS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64"/>
      <c r="O602" s="161"/>
      <c r="P602" s="118"/>
      <c r="Q602" s="118"/>
      <c r="R602" s="117"/>
      <c r="S602" s="117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18"/>
      <c r="AS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64"/>
      <c r="O603" s="161"/>
      <c r="P603" s="118"/>
      <c r="Q603" s="118"/>
      <c r="R603" s="117"/>
      <c r="S603" s="117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18"/>
      <c r="AS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64"/>
      <c r="O604" s="161"/>
      <c r="P604" s="118"/>
      <c r="Q604" s="118"/>
      <c r="R604" s="117"/>
      <c r="S604" s="117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64"/>
      <c r="O605" s="161"/>
      <c r="P605" s="118"/>
      <c r="Q605" s="118"/>
      <c r="R605" s="117"/>
      <c r="S605" s="117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18"/>
      <c r="AS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64"/>
      <c r="O606" s="161"/>
      <c r="P606" s="118"/>
      <c r="Q606" s="118"/>
      <c r="R606" s="117"/>
      <c r="S606" s="117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18"/>
      <c r="AS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64"/>
      <c r="O607" s="161"/>
      <c r="P607" s="118"/>
      <c r="Q607" s="118"/>
      <c r="R607" s="117"/>
      <c r="S607" s="117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18"/>
      <c r="AS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64"/>
      <c r="O608" s="161"/>
      <c r="P608" s="118"/>
      <c r="Q608" s="118"/>
      <c r="R608" s="117"/>
      <c r="S608" s="117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  <c r="AI608" s="118"/>
      <c r="AJ608" s="118"/>
      <c r="AK608" s="118"/>
      <c r="AL608" s="118"/>
      <c r="AM608" s="118"/>
      <c r="AN608" s="118"/>
      <c r="AO608" s="118"/>
      <c r="AP608" s="118"/>
      <c r="AQ608" s="118"/>
      <c r="AR608" s="118"/>
      <c r="AS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64"/>
      <c r="O609" s="161"/>
      <c r="P609" s="118"/>
      <c r="Q609" s="118"/>
      <c r="R609" s="117"/>
      <c r="S609" s="117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  <c r="AI609" s="118"/>
      <c r="AJ609" s="118"/>
      <c r="AK609" s="118"/>
      <c r="AL609" s="118"/>
      <c r="AM609" s="118"/>
      <c r="AN609" s="118"/>
      <c r="AO609" s="118"/>
      <c r="AP609" s="118"/>
      <c r="AQ609" s="118"/>
      <c r="AR609" s="118"/>
      <c r="AS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64"/>
      <c r="O610" s="161"/>
      <c r="P610" s="118"/>
      <c r="Q610" s="118"/>
      <c r="R610" s="117"/>
      <c r="S610" s="117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  <c r="AI610" s="118"/>
      <c r="AJ610" s="118"/>
      <c r="AK610" s="118"/>
      <c r="AL610" s="118"/>
      <c r="AM610" s="118"/>
      <c r="AN610" s="118"/>
      <c r="AO610" s="118"/>
      <c r="AP610" s="118"/>
      <c r="AQ610" s="118"/>
      <c r="AR610" s="118"/>
      <c r="AS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64"/>
      <c r="O611" s="161"/>
      <c r="P611" s="118"/>
      <c r="Q611" s="118"/>
      <c r="R611" s="117"/>
      <c r="S611" s="117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  <c r="AI611" s="118"/>
      <c r="AJ611" s="118"/>
      <c r="AK611" s="118"/>
      <c r="AL611" s="118"/>
      <c r="AM611" s="118"/>
      <c r="AN611" s="118"/>
      <c r="AO611" s="118"/>
      <c r="AP611" s="118"/>
      <c r="AQ611" s="118"/>
      <c r="AR611" s="118"/>
      <c r="AS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64"/>
      <c r="O612" s="161"/>
      <c r="P612" s="118"/>
      <c r="Q612" s="118"/>
      <c r="R612" s="117"/>
      <c r="S612" s="117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  <c r="AI612" s="118"/>
      <c r="AJ612" s="118"/>
      <c r="AK612" s="118"/>
      <c r="AL612" s="118"/>
      <c r="AM612" s="118"/>
      <c r="AN612" s="118"/>
      <c r="AO612" s="118"/>
      <c r="AP612" s="118"/>
      <c r="AQ612" s="118"/>
      <c r="AR612" s="118"/>
      <c r="AS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64"/>
      <c r="O613" s="161"/>
      <c r="P613" s="118"/>
      <c r="Q613" s="118"/>
      <c r="R613" s="117"/>
      <c r="S613" s="117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  <c r="AI613" s="118"/>
      <c r="AJ613" s="118"/>
      <c r="AK613" s="118"/>
      <c r="AL613" s="118"/>
      <c r="AM613" s="118"/>
      <c r="AN613" s="118"/>
      <c r="AO613" s="118"/>
      <c r="AP613" s="118"/>
      <c r="AQ613" s="118"/>
      <c r="AR613" s="118"/>
      <c r="AS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64"/>
      <c r="O614" s="161"/>
      <c r="P614" s="118"/>
      <c r="Q614" s="118"/>
      <c r="R614" s="117"/>
      <c r="S614" s="117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  <c r="AI614" s="118"/>
      <c r="AJ614" s="118"/>
      <c r="AK614" s="118"/>
      <c r="AL614" s="118"/>
      <c r="AM614" s="118"/>
      <c r="AN614" s="118"/>
      <c r="AO614" s="118"/>
      <c r="AP614" s="118"/>
      <c r="AQ614" s="118"/>
      <c r="AR614" s="118"/>
      <c r="AS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64"/>
      <c r="O615" s="161"/>
      <c r="P615" s="118"/>
      <c r="Q615" s="118"/>
      <c r="R615" s="117"/>
      <c r="S615" s="117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  <c r="AI615" s="118"/>
      <c r="AJ615" s="118"/>
      <c r="AK615" s="118"/>
      <c r="AL615" s="118"/>
      <c r="AM615" s="118"/>
      <c r="AN615" s="118"/>
      <c r="AO615" s="118"/>
      <c r="AP615" s="118"/>
      <c r="AQ615" s="118"/>
      <c r="AR615" s="118"/>
      <c r="AS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64"/>
      <c r="O616" s="161"/>
      <c r="P616" s="118"/>
      <c r="Q616" s="118"/>
      <c r="R616" s="117"/>
      <c r="S616" s="117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  <c r="AI616" s="118"/>
      <c r="AJ616" s="118"/>
      <c r="AK616" s="118"/>
      <c r="AL616" s="118"/>
      <c r="AM616" s="118"/>
      <c r="AN616" s="118"/>
      <c r="AO616" s="118"/>
      <c r="AP616" s="118"/>
      <c r="AQ616" s="118"/>
      <c r="AR616" s="118"/>
      <c r="AS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64"/>
      <c r="O617" s="161"/>
      <c r="P617" s="118"/>
      <c r="Q617" s="118"/>
      <c r="R617" s="117"/>
      <c r="S617" s="117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  <c r="AI617" s="118"/>
      <c r="AJ617" s="118"/>
      <c r="AK617" s="118"/>
      <c r="AL617" s="118"/>
      <c r="AM617" s="118"/>
      <c r="AN617" s="118"/>
      <c r="AO617" s="118"/>
      <c r="AP617" s="118"/>
      <c r="AQ617" s="118"/>
      <c r="AR617" s="118"/>
      <c r="AS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64"/>
      <c r="O618" s="161"/>
      <c r="P618" s="118"/>
      <c r="Q618" s="118"/>
      <c r="R618" s="117"/>
      <c r="S618" s="117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  <c r="AI618" s="118"/>
      <c r="AJ618" s="118"/>
      <c r="AK618" s="118"/>
      <c r="AL618" s="118"/>
      <c r="AM618" s="118"/>
      <c r="AN618" s="118"/>
      <c r="AO618" s="118"/>
      <c r="AP618" s="118"/>
      <c r="AQ618" s="118"/>
      <c r="AR618" s="118"/>
      <c r="AS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64"/>
      <c r="O619" s="161"/>
      <c r="P619" s="118"/>
      <c r="Q619" s="118"/>
      <c r="R619" s="117"/>
      <c r="S619" s="117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  <c r="AI619" s="118"/>
      <c r="AJ619" s="118"/>
      <c r="AK619" s="118"/>
      <c r="AL619" s="118"/>
      <c r="AM619" s="118"/>
      <c r="AN619" s="118"/>
      <c r="AO619" s="118"/>
      <c r="AP619" s="118"/>
      <c r="AQ619" s="118"/>
      <c r="AR619" s="118"/>
      <c r="AS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64"/>
      <c r="O620" s="161"/>
      <c r="P620" s="118"/>
      <c r="Q620" s="118"/>
      <c r="R620" s="117"/>
      <c r="S620" s="117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  <c r="AI620" s="118"/>
      <c r="AJ620" s="118"/>
      <c r="AK620" s="118"/>
      <c r="AL620" s="118"/>
      <c r="AM620" s="118"/>
      <c r="AN620" s="118"/>
      <c r="AO620" s="118"/>
      <c r="AP620" s="118"/>
      <c r="AQ620" s="118"/>
      <c r="AR620" s="118"/>
      <c r="AS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64"/>
      <c r="O621" s="161"/>
      <c r="P621" s="118"/>
      <c r="Q621" s="118"/>
      <c r="R621" s="117"/>
      <c r="S621" s="117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  <c r="AI621" s="118"/>
      <c r="AJ621" s="118"/>
      <c r="AK621" s="118"/>
      <c r="AL621" s="118"/>
      <c r="AM621" s="118"/>
      <c r="AN621" s="118"/>
      <c r="AO621" s="118"/>
      <c r="AP621" s="118"/>
      <c r="AQ621" s="118"/>
      <c r="AR621" s="118"/>
      <c r="AS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64"/>
      <c r="O622" s="161"/>
      <c r="P622" s="118"/>
      <c r="Q622" s="118"/>
      <c r="R622" s="117"/>
      <c r="S622" s="117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64"/>
      <c r="O623" s="161"/>
      <c r="P623" s="118"/>
      <c r="Q623" s="118"/>
      <c r="R623" s="117"/>
      <c r="S623" s="117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  <c r="AL623" s="118"/>
      <c r="AM623" s="118"/>
      <c r="AN623" s="118"/>
      <c r="AO623" s="118"/>
      <c r="AP623" s="118"/>
      <c r="AQ623" s="118"/>
      <c r="AR623" s="118"/>
      <c r="AS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64"/>
      <c r="O624" s="161"/>
      <c r="P624" s="118"/>
      <c r="Q624" s="118"/>
      <c r="R624" s="117"/>
      <c r="S624" s="117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  <c r="AL624" s="118"/>
      <c r="AM624" s="118"/>
      <c r="AN624" s="118"/>
      <c r="AO624" s="118"/>
      <c r="AP624" s="118"/>
      <c r="AQ624" s="118"/>
      <c r="AR624" s="118"/>
      <c r="AS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64"/>
      <c r="O625" s="161"/>
      <c r="P625" s="118"/>
      <c r="Q625" s="118"/>
      <c r="R625" s="117"/>
      <c r="S625" s="117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  <c r="AI625" s="118"/>
      <c r="AJ625" s="118"/>
      <c r="AK625" s="118"/>
      <c r="AL625" s="118"/>
      <c r="AM625" s="118"/>
      <c r="AN625" s="118"/>
      <c r="AO625" s="118"/>
      <c r="AP625" s="118"/>
      <c r="AQ625" s="118"/>
      <c r="AR625" s="118"/>
      <c r="AS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64"/>
      <c r="O626" s="161"/>
      <c r="P626" s="118"/>
      <c r="Q626" s="118"/>
      <c r="R626" s="117"/>
      <c r="S626" s="117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64"/>
      <c r="O627" s="161"/>
      <c r="P627" s="118"/>
      <c r="Q627" s="118"/>
      <c r="R627" s="117"/>
      <c r="S627" s="117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  <c r="AI627" s="118"/>
      <c r="AJ627" s="118"/>
      <c r="AK627" s="118"/>
      <c r="AL627" s="118"/>
      <c r="AM627" s="118"/>
      <c r="AN627" s="118"/>
      <c r="AO627" s="118"/>
      <c r="AP627" s="118"/>
      <c r="AQ627" s="118"/>
      <c r="AR627" s="118"/>
      <c r="AS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64"/>
      <c r="O628" s="161"/>
      <c r="P628" s="118"/>
      <c r="Q628" s="118"/>
      <c r="R628" s="117"/>
      <c r="S628" s="117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  <c r="AI628" s="118"/>
      <c r="AJ628" s="118"/>
      <c r="AK628" s="118"/>
      <c r="AL628" s="118"/>
      <c r="AM628" s="118"/>
      <c r="AN628" s="118"/>
      <c r="AO628" s="118"/>
      <c r="AP628" s="118"/>
      <c r="AQ628" s="118"/>
      <c r="AR628" s="118"/>
      <c r="AS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64"/>
      <c r="O629" s="161"/>
      <c r="P629" s="118"/>
      <c r="Q629" s="118"/>
      <c r="R629" s="117"/>
      <c r="S629" s="117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  <c r="AI629" s="118"/>
      <c r="AJ629" s="118"/>
      <c r="AK629" s="118"/>
      <c r="AL629" s="118"/>
      <c r="AM629" s="118"/>
      <c r="AN629" s="118"/>
      <c r="AO629" s="118"/>
      <c r="AP629" s="118"/>
      <c r="AQ629" s="118"/>
      <c r="AR629" s="118"/>
      <c r="AS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64"/>
      <c r="O630" s="161"/>
      <c r="P630" s="118"/>
      <c r="Q630" s="118"/>
      <c r="R630" s="117"/>
      <c r="S630" s="117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  <c r="AL630" s="118"/>
      <c r="AM630" s="118"/>
      <c r="AN630" s="118"/>
      <c r="AO630" s="118"/>
      <c r="AP630" s="118"/>
      <c r="AQ630" s="118"/>
      <c r="AR630" s="118"/>
      <c r="AS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64"/>
      <c r="O631" s="161"/>
      <c r="P631" s="118"/>
      <c r="Q631" s="118"/>
      <c r="R631" s="117"/>
      <c r="S631" s="117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  <c r="AL631" s="118"/>
      <c r="AM631" s="118"/>
      <c r="AN631" s="118"/>
      <c r="AO631" s="118"/>
      <c r="AP631" s="118"/>
      <c r="AQ631" s="118"/>
      <c r="AR631" s="118"/>
      <c r="AS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64"/>
      <c r="O632" s="161"/>
      <c r="P632" s="118"/>
      <c r="Q632" s="118"/>
      <c r="R632" s="117"/>
      <c r="S632" s="117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8"/>
      <c r="AN632" s="118"/>
      <c r="AO632" s="118"/>
      <c r="AP632" s="118"/>
      <c r="AQ632" s="118"/>
      <c r="AR632" s="118"/>
      <c r="AS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64"/>
      <c r="O633" s="161"/>
      <c r="P633" s="118"/>
      <c r="Q633" s="118"/>
      <c r="R633" s="117"/>
      <c r="S633" s="117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  <c r="AL633" s="118"/>
      <c r="AM633" s="118"/>
      <c r="AN633" s="118"/>
      <c r="AO633" s="118"/>
      <c r="AP633" s="118"/>
      <c r="AQ633" s="118"/>
      <c r="AR633" s="118"/>
      <c r="AS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64"/>
      <c r="O634" s="161"/>
      <c r="P634" s="118"/>
      <c r="Q634" s="118"/>
      <c r="R634" s="117"/>
      <c r="S634" s="117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  <c r="AL634" s="118"/>
      <c r="AM634" s="118"/>
      <c r="AN634" s="118"/>
      <c r="AO634" s="118"/>
      <c r="AP634" s="118"/>
      <c r="AQ634" s="118"/>
      <c r="AR634" s="118"/>
      <c r="AS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64"/>
      <c r="O635" s="161"/>
      <c r="P635" s="118"/>
      <c r="Q635" s="118"/>
      <c r="R635" s="117"/>
      <c r="S635" s="117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  <c r="AL635" s="118"/>
      <c r="AM635" s="118"/>
      <c r="AN635" s="118"/>
      <c r="AO635" s="118"/>
      <c r="AP635" s="118"/>
      <c r="AQ635" s="118"/>
      <c r="AR635" s="118"/>
      <c r="AS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64"/>
      <c r="O636" s="161"/>
      <c r="P636" s="118"/>
      <c r="Q636" s="118"/>
      <c r="R636" s="117"/>
      <c r="S636" s="117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  <c r="AL636" s="118"/>
      <c r="AM636" s="118"/>
      <c r="AN636" s="118"/>
      <c r="AO636" s="118"/>
      <c r="AP636" s="118"/>
      <c r="AQ636" s="118"/>
      <c r="AR636" s="118"/>
      <c r="AS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64"/>
      <c r="O637" s="161"/>
      <c r="P637" s="118"/>
      <c r="Q637" s="118"/>
      <c r="R637" s="117"/>
      <c r="S637" s="117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  <c r="AL637" s="118"/>
      <c r="AM637" s="118"/>
      <c r="AN637" s="118"/>
      <c r="AO637" s="118"/>
      <c r="AP637" s="118"/>
      <c r="AQ637" s="118"/>
      <c r="AR637" s="118"/>
      <c r="AS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64"/>
      <c r="O638" s="161"/>
      <c r="P638" s="118"/>
      <c r="Q638" s="118"/>
      <c r="R638" s="117"/>
      <c r="S638" s="117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  <c r="AL638" s="118"/>
      <c r="AM638" s="118"/>
      <c r="AN638" s="118"/>
      <c r="AO638" s="118"/>
      <c r="AP638" s="118"/>
      <c r="AQ638" s="118"/>
      <c r="AR638" s="118"/>
      <c r="AS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64"/>
      <c r="O639" s="161"/>
      <c r="P639" s="118"/>
      <c r="Q639" s="118"/>
      <c r="R639" s="117"/>
      <c r="S639" s="117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  <c r="AL639" s="118"/>
      <c r="AM639" s="118"/>
      <c r="AN639" s="118"/>
      <c r="AO639" s="118"/>
      <c r="AP639" s="118"/>
      <c r="AQ639" s="118"/>
      <c r="AR639" s="118"/>
      <c r="AS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64"/>
      <c r="O640" s="161"/>
      <c r="P640" s="118"/>
      <c r="Q640" s="118"/>
      <c r="R640" s="117"/>
      <c r="S640" s="117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64"/>
      <c r="O641" s="161"/>
      <c r="P641" s="118"/>
      <c r="Q641" s="118"/>
      <c r="R641" s="117"/>
      <c r="S641" s="117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  <c r="AL641" s="118"/>
      <c r="AM641" s="118"/>
      <c r="AN641" s="118"/>
      <c r="AO641" s="118"/>
      <c r="AP641" s="118"/>
      <c r="AQ641" s="118"/>
      <c r="AR641" s="118"/>
      <c r="AS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64"/>
      <c r="O642" s="161"/>
      <c r="P642" s="118"/>
      <c r="Q642" s="118"/>
      <c r="R642" s="117"/>
      <c r="S642" s="117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  <c r="AL642" s="118"/>
      <c r="AM642" s="118"/>
      <c r="AN642" s="118"/>
      <c r="AO642" s="118"/>
      <c r="AP642" s="118"/>
      <c r="AQ642" s="118"/>
      <c r="AR642" s="118"/>
      <c r="AS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64"/>
      <c r="O643" s="161"/>
      <c r="P643" s="118"/>
      <c r="Q643" s="118"/>
      <c r="R643" s="117"/>
      <c r="S643" s="117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  <c r="AL643" s="118"/>
      <c r="AM643" s="118"/>
      <c r="AN643" s="118"/>
      <c r="AO643" s="118"/>
      <c r="AP643" s="118"/>
      <c r="AQ643" s="118"/>
      <c r="AR643" s="118"/>
      <c r="AS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64"/>
      <c r="O644" s="161"/>
      <c r="P644" s="118"/>
      <c r="Q644" s="118"/>
      <c r="R644" s="117"/>
      <c r="S644" s="117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  <c r="AL644" s="118"/>
      <c r="AM644" s="118"/>
      <c r="AN644" s="118"/>
      <c r="AO644" s="118"/>
      <c r="AP644" s="118"/>
      <c r="AQ644" s="118"/>
      <c r="AR644" s="118"/>
      <c r="AS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64"/>
      <c r="O645" s="161"/>
      <c r="P645" s="118"/>
      <c r="Q645" s="118"/>
      <c r="R645" s="117"/>
      <c r="S645" s="117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  <c r="AL645" s="118"/>
      <c r="AM645" s="118"/>
      <c r="AN645" s="118"/>
      <c r="AO645" s="118"/>
      <c r="AP645" s="118"/>
      <c r="AQ645" s="118"/>
      <c r="AR645" s="118"/>
      <c r="AS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64"/>
      <c r="O646" s="161"/>
      <c r="P646" s="118"/>
      <c r="Q646" s="118"/>
      <c r="R646" s="117"/>
      <c r="S646" s="117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64"/>
      <c r="O647" s="161"/>
      <c r="P647" s="118"/>
      <c r="Q647" s="118"/>
      <c r="R647" s="117"/>
      <c r="S647" s="117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64"/>
      <c r="O648" s="161"/>
      <c r="P648" s="118"/>
      <c r="Q648" s="118"/>
      <c r="R648" s="117"/>
      <c r="S648" s="117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64"/>
      <c r="O649" s="161"/>
      <c r="P649" s="118"/>
      <c r="Q649" s="118"/>
      <c r="R649" s="117"/>
      <c r="S649" s="117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64"/>
      <c r="O650" s="161"/>
      <c r="P650" s="118"/>
      <c r="Q650" s="118"/>
      <c r="R650" s="117"/>
      <c r="S650" s="117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  <c r="AL650" s="118"/>
      <c r="AM650" s="118"/>
      <c r="AN650" s="118"/>
      <c r="AO650" s="118"/>
      <c r="AP650" s="118"/>
      <c r="AQ650" s="118"/>
      <c r="AR650" s="118"/>
      <c r="AS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64"/>
      <c r="O651" s="161"/>
      <c r="P651" s="118"/>
      <c r="Q651" s="118"/>
      <c r="R651" s="117"/>
      <c r="S651" s="117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  <c r="AL651" s="118"/>
      <c r="AM651" s="118"/>
      <c r="AN651" s="118"/>
      <c r="AO651" s="118"/>
      <c r="AP651" s="118"/>
      <c r="AQ651" s="118"/>
      <c r="AR651" s="118"/>
      <c r="AS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64"/>
      <c r="O652" s="161"/>
      <c r="P652" s="118"/>
      <c r="Q652" s="118"/>
      <c r="R652" s="117"/>
      <c r="S652" s="117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  <c r="AL652" s="118"/>
      <c r="AM652" s="118"/>
      <c r="AN652" s="118"/>
      <c r="AO652" s="118"/>
      <c r="AP652" s="118"/>
      <c r="AQ652" s="118"/>
      <c r="AR652" s="118"/>
      <c r="AS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64"/>
      <c r="O653" s="161"/>
      <c r="P653" s="118"/>
      <c r="Q653" s="118"/>
      <c r="R653" s="117"/>
      <c r="S653" s="117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  <c r="AL653" s="118"/>
      <c r="AM653" s="118"/>
      <c r="AN653" s="118"/>
      <c r="AO653" s="118"/>
      <c r="AP653" s="118"/>
      <c r="AQ653" s="118"/>
      <c r="AR653" s="118"/>
      <c r="AS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64"/>
      <c r="O654" s="161"/>
      <c r="P654" s="118"/>
      <c r="Q654" s="118"/>
      <c r="R654" s="117"/>
      <c r="S654" s="117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  <c r="AL654" s="118"/>
      <c r="AM654" s="118"/>
      <c r="AN654" s="118"/>
      <c r="AO654" s="118"/>
      <c r="AP654" s="118"/>
      <c r="AQ654" s="118"/>
      <c r="AR654" s="118"/>
      <c r="AS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64"/>
      <c r="O655" s="161"/>
      <c r="P655" s="118"/>
      <c r="Q655" s="118"/>
      <c r="R655" s="117"/>
      <c r="S655" s="117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  <c r="AL655" s="118"/>
      <c r="AM655" s="118"/>
      <c r="AN655" s="118"/>
      <c r="AO655" s="118"/>
      <c r="AP655" s="118"/>
      <c r="AQ655" s="118"/>
      <c r="AR655" s="118"/>
      <c r="AS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64"/>
      <c r="O656" s="161"/>
      <c r="P656" s="118"/>
      <c r="Q656" s="118"/>
      <c r="R656" s="117"/>
      <c r="S656" s="117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  <c r="AI656" s="118"/>
      <c r="AJ656" s="118"/>
      <c r="AK656" s="118"/>
      <c r="AL656" s="118"/>
      <c r="AM656" s="118"/>
      <c r="AN656" s="118"/>
      <c r="AO656" s="118"/>
      <c r="AP656" s="118"/>
      <c r="AQ656" s="118"/>
      <c r="AR656" s="118"/>
      <c r="AS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64"/>
      <c r="O657" s="161"/>
      <c r="P657" s="118"/>
      <c r="Q657" s="118"/>
      <c r="R657" s="117"/>
      <c r="S657" s="117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64"/>
      <c r="O658" s="161"/>
      <c r="P658" s="118"/>
      <c r="Q658" s="118"/>
      <c r="R658" s="117"/>
      <c r="S658" s="117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  <c r="AI658" s="118"/>
      <c r="AJ658" s="118"/>
      <c r="AK658" s="118"/>
      <c r="AL658" s="118"/>
      <c r="AM658" s="118"/>
      <c r="AN658" s="118"/>
      <c r="AO658" s="118"/>
      <c r="AP658" s="118"/>
      <c r="AQ658" s="118"/>
      <c r="AR658" s="118"/>
      <c r="AS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64"/>
      <c r="O659" s="161"/>
      <c r="P659" s="118"/>
      <c r="Q659" s="118"/>
      <c r="R659" s="117"/>
      <c r="S659" s="117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  <c r="AL659" s="118"/>
      <c r="AM659" s="118"/>
      <c r="AN659" s="118"/>
      <c r="AO659" s="118"/>
      <c r="AP659" s="118"/>
      <c r="AQ659" s="118"/>
      <c r="AR659" s="118"/>
      <c r="AS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64"/>
      <c r="O660" s="161"/>
      <c r="P660" s="118"/>
      <c r="Q660" s="118"/>
      <c r="R660" s="117"/>
      <c r="S660" s="117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  <c r="AL660" s="118"/>
      <c r="AM660" s="118"/>
      <c r="AN660" s="118"/>
      <c r="AO660" s="118"/>
      <c r="AP660" s="118"/>
      <c r="AQ660" s="118"/>
      <c r="AR660" s="118"/>
      <c r="AS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64"/>
      <c r="O661" s="161"/>
      <c r="P661" s="118"/>
      <c r="Q661" s="118"/>
      <c r="R661" s="117"/>
      <c r="S661" s="117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  <c r="AL661" s="118"/>
      <c r="AM661" s="118"/>
      <c r="AN661" s="118"/>
      <c r="AO661" s="118"/>
      <c r="AP661" s="118"/>
      <c r="AQ661" s="118"/>
      <c r="AR661" s="118"/>
      <c r="AS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64"/>
      <c r="O662" s="161"/>
      <c r="P662" s="118"/>
      <c r="Q662" s="118"/>
      <c r="R662" s="117"/>
      <c r="S662" s="117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  <c r="AL662" s="118"/>
      <c r="AM662" s="118"/>
      <c r="AN662" s="118"/>
      <c r="AO662" s="118"/>
      <c r="AP662" s="118"/>
      <c r="AQ662" s="118"/>
      <c r="AR662" s="118"/>
      <c r="AS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64"/>
      <c r="O663" s="161"/>
      <c r="P663" s="118"/>
      <c r="Q663" s="118"/>
      <c r="R663" s="117"/>
      <c r="S663" s="117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  <c r="AL663" s="118"/>
      <c r="AM663" s="118"/>
      <c r="AN663" s="118"/>
      <c r="AO663" s="118"/>
      <c r="AP663" s="118"/>
      <c r="AQ663" s="118"/>
      <c r="AR663" s="118"/>
      <c r="AS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64"/>
      <c r="O664" s="161"/>
      <c r="P664" s="118"/>
      <c r="Q664" s="118"/>
      <c r="R664" s="117"/>
      <c r="S664" s="117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  <c r="AL664" s="118"/>
      <c r="AM664" s="118"/>
      <c r="AN664" s="118"/>
      <c r="AO664" s="118"/>
      <c r="AP664" s="118"/>
      <c r="AQ664" s="118"/>
      <c r="AR664" s="118"/>
      <c r="AS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64"/>
      <c r="O665" s="161"/>
      <c r="P665" s="118"/>
      <c r="Q665" s="118"/>
      <c r="R665" s="117"/>
      <c r="S665" s="117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  <c r="AL665" s="118"/>
      <c r="AM665" s="118"/>
      <c r="AN665" s="118"/>
      <c r="AO665" s="118"/>
      <c r="AP665" s="118"/>
      <c r="AQ665" s="118"/>
      <c r="AR665" s="118"/>
      <c r="AS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64"/>
      <c r="O666" s="161"/>
      <c r="P666" s="118"/>
      <c r="Q666" s="118"/>
      <c r="R666" s="117"/>
      <c r="S666" s="117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  <c r="AL666" s="118"/>
      <c r="AM666" s="118"/>
      <c r="AN666" s="118"/>
      <c r="AO666" s="118"/>
      <c r="AP666" s="118"/>
      <c r="AQ666" s="118"/>
      <c r="AR666" s="118"/>
      <c r="AS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64"/>
      <c r="O667" s="161"/>
      <c r="P667" s="118"/>
      <c r="Q667" s="118"/>
      <c r="R667" s="117"/>
      <c r="S667" s="117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  <c r="AL667" s="118"/>
      <c r="AM667" s="118"/>
      <c r="AN667" s="118"/>
      <c r="AO667" s="118"/>
      <c r="AP667" s="118"/>
      <c r="AQ667" s="118"/>
      <c r="AR667" s="118"/>
      <c r="AS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64"/>
      <c r="O668" s="161"/>
      <c r="P668" s="118"/>
      <c r="Q668" s="118"/>
      <c r="R668" s="117"/>
      <c r="S668" s="117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  <c r="AL668" s="118"/>
      <c r="AM668" s="118"/>
      <c r="AN668" s="118"/>
      <c r="AO668" s="118"/>
      <c r="AP668" s="118"/>
      <c r="AQ668" s="118"/>
      <c r="AR668" s="118"/>
      <c r="AS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64"/>
      <c r="O669" s="161"/>
      <c r="P669" s="118"/>
      <c r="Q669" s="118"/>
      <c r="R669" s="117"/>
      <c r="S669" s="117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  <c r="AL669" s="118"/>
      <c r="AM669" s="118"/>
      <c r="AN669" s="118"/>
      <c r="AO669" s="118"/>
      <c r="AP669" s="118"/>
      <c r="AQ669" s="118"/>
      <c r="AR669" s="118"/>
      <c r="AS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64"/>
      <c r="O670" s="161"/>
      <c r="P670" s="118"/>
      <c r="Q670" s="118"/>
      <c r="R670" s="117"/>
      <c r="S670" s="117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8"/>
      <c r="AN670" s="118"/>
      <c r="AO670" s="118"/>
      <c r="AP670" s="118"/>
      <c r="AQ670" s="118"/>
      <c r="AR670" s="118"/>
      <c r="AS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64"/>
      <c r="O671" s="161"/>
      <c r="P671" s="118"/>
      <c r="Q671" s="118"/>
      <c r="R671" s="117"/>
      <c r="S671" s="117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  <c r="AL671" s="118"/>
      <c r="AM671" s="118"/>
      <c r="AN671" s="118"/>
      <c r="AO671" s="118"/>
      <c r="AP671" s="118"/>
      <c r="AQ671" s="118"/>
      <c r="AR671" s="118"/>
      <c r="AS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64"/>
      <c r="O672" s="161"/>
      <c r="P672" s="118"/>
      <c r="Q672" s="118"/>
      <c r="R672" s="117"/>
      <c r="S672" s="117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  <c r="AL672" s="118"/>
      <c r="AM672" s="118"/>
      <c r="AN672" s="118"/>
      <c r="AO672" s="118"/>
      <c r="AP672" s="118"/>
      <c r="AQ672" s="118"/>
      <c r="AR672" s="118"/>
      <c r="AS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64"/>
      <c r="O673" s="161"/>
      <c r="P673" s="118"/>
      <c r="Q673" s="118"/>
      <c r="R673" s="117"/>
      <c r="S673" s="117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  <c r="AL673" s="118"/>
      <c r="AM673" s="118"/>
      <c r="AN673" s="118"/>
      <c r="AO673" s="118"/>
      <c r="AP673" s="118"/>
      <c r="AQ673" s="118"/>
      <c r="AR673" s="118"/>
      <c r="AS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64"/>
      <c r="O674" s="161"/>
      <c r="P674" s="118"/>
      <c r="Q674" s="118"/>
      <c r="R674" s="117"/>
      <c r="S674" s="117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  <c r="AL674" s="118"/>
      <c r="AM674" s="118"/>
      <c r="AN674" s="118"/>
      <c r="AO674" s="118"/>
      <c r="AP674" s="118"/>
      <c r="AQ674" s="118"/>
      <c r="AR674" s="118"/>
      <c r="AS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64"/>
      <c r="O675" s="161"/>
      <c r="P675" s="118"/>
      <c r="Q675" s="118"/>
      <c r="R675" s="117"/>
      <c r="S675" s="117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  <c r="AL675" s="118"/>
      <c r="AM675" s="118"/>
      <c r="AN675" s="118"/>
      <c r="AO675" s="118"/>
      <c r="AP675" s="118"/>
      <c r="AQ675" s="118"/>
      <c r="AR675" s="118"/>
      <c r="AS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64"/>
      <c r="O676" s="161"/>
      <c r="P676" s="118"/>
      <c r="Q676" s="118"/>
      <c r="R676" s="117"/>
      <c r="S676" s="117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  <c r="AL676" s="118"/>
      <c r="AM676" s="118"/>
      <c r="AN676" s="118"/>
      <c r="AO676" s="118"/>
      <c r="AP676" s="118"/>
      <c r="AQ676" s="118"/>
      <c r="AR676" s="118"/>
      <c r="AS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64"/>
      <c r="O677" s="161"/>
      <c r="P677" s="118"/>
      <c r="Q677" s="118"/>
      <c r="R677" s="117"/>
      <c r="S677" s="117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  <c r="AL677" s="118"/>
      <c r="AM677" s="118"/>
      <c r="AN677" s="118"/>
      <c r="AO677" s="118"/>
      <c r="AP677" s="118"/>
      <c r="AQ677" s="118"/>
      <c r="AR677" s="118"/>
      <c r="AS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64"/>
      <c r="O678" s="161"/>
      <c r="P678" s="118"/>
      <c r="Q678" s="118"/>
      <c r="R678" s="117"/>
      <c r="S678" s="117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  <c r="AL678" s="118"/>
      <c r="AM678" s="118"/>
      <c r="AN678" s="118"/>
      <c r="AO678" s="118"/>
      <c r="AP678" s="118"/>
      <c r="AQ678" s="118"/>
      <c r="AR678" s="118"/>
      <c r="AS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64"/>
      <c r="O679" s="161"/>
      <c r="P679" s="118"/>
      <c r="Q679" s="118"/>
      <c r="R679" s="117"/>
      <c r="S679" s="117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  <c r="AL679" s="118"/>
      <c r="AM679" s="118"/>
      <c r="AN679" s="118"/>
      <c r="AO679" s="118"/>
      <c r="AP679" s="118"/>
      <c r="AQ679" s="118"/>
      <c r="AR679" s="118"/>
      <c r="AS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64"/>
      <c r="O680" s="161"/>
      <c r="P680" s="118"/>
      <c r="Q680" s="118"/>
      <c r="R680" s="117"/>
      <c r="S680" s="117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  <c r="AL680" s="118"/>
      <c r="AM680" s="118"/>
      <c r="AN680" s="118"/>
      <c r="AO680" s="118"/>
      <c r="AP680" s="118"/>
      <c r="AQ680" s="118"/>
      <c r="AR680" s="118"/>
      <c r="AS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64"/>
      <c r="O681" s="161"/>
      <c r="P681" s="118"/>
      <c r="Q681" s="118"/>
      <c r="R681" s="117"/>
      <c r="S681" s="117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  <c r="AL681" s="118"/>
      <c r="AM681" s="118"/>
      <c r="AN681" s="118"/>
      <c r="AO681" s="118"/>
      <c r="AP681" s="118"/>
      <c r="AQ681" s="118"/>
      <c r="AR681" s="118"/>
      <c r="AS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64"/>
      <c r="O682" s="161"/>
      <c r="P682" s="118"/>
      <c r="Q682" s="118"/>
      <c r="R682" s="117"/>
      <c r="S682" s="117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  <c r="AL682" s="118"/>
      <c r="AM682" s="118"/>
      <c r="AN682" s="118"/>
      <c r="AO682" s="118"/>
      <c r="AP682" s="118"/>
      <c r="AQ682" s="118"/>
      <c r="AR682" s="118"/>
      <c r="AS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64"/>
      <c r="O683" s="161"/>
      <c r="P683" s="118"/>
      <c r="Q683" s="118"/>
      <c r="R683" s="117"/>
      <c r="S683" s="117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  <c r="AL683" s="118"/>
      <c r="AM683" s="118"/>
      <c r="AN683" s="118"/>
      <c r="AO683" s="118"/>
      <c r="AP683" s="118"/>
      <c r="AQ683" s="118"/>
      <c r="AR683" s="118"/>
      <c r="AS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64"/>
      <c r="O684" s="161"/>
      <c r="P684" s="118"/>
      <c r="Q684" s="118"/>
      <c r="R684" s="117"/>
      <c r="S684" s="117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  <c r="AL684" s="118"/>
      <c r="AM684" s="118"/>
      <c r="AN684" s="118"/>
      <c r="AO684" s="118"/>
      <c r="AP684" s="118"/>
      <c r="AQ684" s="118"/>
      <c r="AR684" s="118"/>
      <c r="AS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64"/>
      <c r="O685" s="161"/>
      <c r="P685" s="118"/>
      <c r="Q685" s="118"/>
      <c r="R685" s="117"/>
      <c r="S685" s="117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  <c r="AL685" s="118"/>
      <c r="AM685" s="118"/>
      <c r="AN685" s="118"/>
      <c r="AO685" s="118"/>
      <c r="AP685" s="118"/>
      <c r="AQ685" s="118"/>
      <c r="AR685" s="118"/>
      <c r="AS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64"/>
      <c r="O686" s="161"/>
      <c r="P686" s="118"/>
      <c r="Q686" s="118"/>
      <c r="R686" s="117"/>
      <c r="S686" s="117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  <c r="AL686" s="118"/>
      <c r="AM686" s="118"/>
      <c r="AN686" s="118"/>
      <c r="AO686" s="118"/>
      <c r="AP686" s="118"/>
      <c r="AQ686" s="118"/>
      <c r="AR686" s="118"/>
      <c r="AS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64"/>
      <c r="O687" s="161"/>
      <c r="P687" s="118"/>
      <c r="Q687" s="118"/>
      <c r="R687" s="117"/>
      <c r="S687" s="117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  <c r="AL687" s="118"/>
      <c r="AM687" s="118"/>
      <c r="AN687" s="118"/>
      <c r="AO687" s="118"/>
      <c r="AP687" s="118"/>
      <c r="AQ687" s="118"/>
      <c r="AR687" s="118"/>
      <c r="AS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64"/>
      <c r="O688" s="161"/>
      <c r="P688" s="118"/>
      <c r="Q688" s="118"/>
      <c r="R688" s="117"/>
      <c r="S688" s="117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  <c r="AL688" s="118"/>
      <c r="AM688" s="118"/>
      <c r="AN688" s="118"/>
      <c r="AO688" s="118"/>
      <c r="AP688" s="118"/>
      <c r="AQ688" s="118"/>
      <c r="AR688" s="118"/>
      <c r="AS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64"/>
      <c r="O689" s="161"/>
      <c r="P689" s="118"/>
      <c r="Q689" s="118"/>
      <c r="R689" s="117"/>
      <c r="S689" s="117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  <c r="AL689" s="118"/>
      <c r="AM689" s="118"/>
      <c r="AN689" s="118"/>
      <c r="AO689" s="118"/>
      <c r="AP689" s="118"/>
      <c r="AQ689" s="118"/>
      <c r="AR689" s="118"/>
      <c r="AS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64"/>
      <c r="O690" s="161"/>
      <c r="P690" s="118"/>
      <c r="Q690" s="118"/>
      <c r="R690" s="117"/>
      <c r="S690" s="117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  <c r="AL690" s="118"/>
      <c r="AM690" s="118"/>
      <c r="AN690" s="118"/>
      <c r="AO690" s="118"/>
      <c r="AP690" s="118"/>
      <c r="AQ690" s="118"/>
      <c r="AR690" s="118"/>
      <c r="AS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64"/>
      <c r="O691" s="161"/>
      <c r="P691" s="118"/>
      <c r="Q691" s="118"/>
      <c r="R691" s="117"/>
      <c r="S691" s="117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  <c r="AL691" s="118"/>
      <c r="AM691" s="118"/>
      <c r="AN691" s="118"/>
      <c r="AO691" s="118"/>
      <c r="AP691" s="118"/>
      <c r="AQ691" s="118"/>
      <c r="AR691" s="118"/>
      <c r="AS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64"/>
      <c r="O692" s="161"/>
      <c r="P692" s="118"/>
      <c r="Q692" s="118"/>
      <c r="R692" s="117"/>
      <c r="S692" s="117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  <c r="AL692" s="118"/>
      <c r="AM692" s="118"/>
      <c r="AN692" s="118"/>
      <c r="AO692" s="118"/>
      <c r="AP692" s="118"/>
      <c r="AQ692" s="118"/>
      <c r="AR692" s="118"/>
      <c r="AS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64"/>
      <c r="O693" s="161"/>
      <c r="P693" s="118"/>
      <c r="Q693" s="118"/>
      <c r="R693" s="117"/>
      <c r="S693" s="117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  <c r="AL693" s="118"/>
      <c r="AM693" s="118"/>
      <c r="AN693" s="118"/>
      <c r="AO693" s="118"/>
      <c r="AP693" s="118"/>
      <c r="AQ693" s="118"/>
      <c r="AR693" s="118"/>
      <c r="AS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64"/>
      <c r="O694" s="161"/>
      <c r="P694" s="118"/>
      <c r="Q694" s="118"/>
      <c r="R694" s="117"/>
      <c r="S694" s="117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  <c r="AL694" s="118"/>
      <c r="AM694" s="118"/>
      <c r="AN694" s="118"/>
      <c r="AO694" s="118"/>
      <c r="AP694" s="118"/>
      <c r="AQ694" s="118"/>
      <c r="AR694" s="118"/>
      <c r="AS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64"/>
      <c r="O695" s="161"/>
      <c r="P695" s="118"/>
      <c r="Q695" s="118"/>
      <c r="R695" s="117"/>
      <c r="S695" s="117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  <c r="AI695" s="118"/>
      <c r="AJ695" s="118"/>
      <c r="AK695" s="118"/>
      <c r="AL695" s="118"/>
      <c r="AM695" s="118"/>
      <c r="AN695" s="118"/>
      <c r="AO695" s="118"/>
      <c r="AP695" s="118"/>
      <c r="AQ695" s="118"/>
      <c r="AR695" s="118"/>
      <c r="AS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64"/>
      <c r="O696" s="161"/>
      <c r="P696" s="118"/>
      <c r="Q696" s="118"/>
      <c r="R696" s="117"/>
      <c r="S696" s="117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  <c r="AI696" s="118"/>
      <c r="AJ696" s="118"/>
      <c r="AK696" s="118"/>
      <c r="AL696" s="118"/>
      <c r="AM696" s="118"/>
      <c r="AN696" s="118"/>
      <c r="AO696" s="118"/>
      <c r="AP696" s="118"/>
      <c r="AQ696" s="118"/>
      <c r="AR696" s="118"/>
      <c r="AS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64"/>
      <c r="O697" s="161"/>
      <c r="P697" s="118"/>
      <c r="Q697" s="118"/>
      <c r="R697" s="117"/>
      <c r="S697" s="117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  <c r="AI697" s="118"/>
      <c r="AJ697" s="118"/>
      <c r="AK697" s="118"/>
      <c r="AL697" s="118"/>
      <c r="AM697" s="118"/>
      <c r="AN697" s="118"/>
      <c r="AO697" s="118"/>
      <c r="AP697" s="118"/>
      <c r="AQ697" s="118"/>
      <c r="AR697" s="118"/>
      <c r="AS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64"/>
      <c r="O698" s="161"/>
      <c r="P698" s="118"/>
      <c r="Q698" s="118"/>
      <c r="R698" s="117"/>
      <c r="S698" s="117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  <c r="AI698" s="118"/>
      <c r="AJ698" s="118"/>
      <c r="AK698" s="118"/>
      <c r="AL698" s="118"/>
      <c r="AM698" s="118"/>
      <c r="AN698" s="118"/>
      <c r="AO698" s="118"/>
      <c r="AP698" s="118"/>
      <c r="AQ698" s="118"/>
      <c r="AR698" s="118"/>
      <c r="AS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64"/>
      <c r="O699" s="161"/>
      <c r="P699" s="118"/>
      <c r="Q699" s="118"/>
      <c r="R699" s="117"/>
      <c r="S699" s="117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  <c r="AI699" s="118"/>
      <c r="AJ699" s="118"/>
      <c r="AK699" s="118"/>
      <c r="AL699" s="118"/>
      <c r="AM699" s="118"/>
      <c r="AN699" s="118"/>
      <c r="AO699" s="118"/>
      <c r="AP699" s="118"/>
      <c r="AQ699" s="118"/>
      <c r="AR699" s="118"/>
      <c r="AS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64"/>
      <c r="O700" s="161"/>
      <c r="P700" s="118"/>
      <c r="Q700" s="118"/>
      <c r="R700" s="117"/>
      <c r="S700" s="117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  <c r="AI700" s="118"/>
      <c r="AJ700" s="118"/>
      <c r="AK700" s="118"/>
      <c r="AL700" s="118"/>
      <c r="AM700" s="118"/>
      <c r="AN700" s="118"/>
      <c r="AO700" s="118"/>
      <c r="AP700" s="118"/>
      <c r="AQ700" s="118"/>
      <c r="AR700" s="118"/>
      <c r="AS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64"/>
      <c r="O701" s="161"/>
      <c r="P701" s="118"/>
      <c r="Q701" s="118"/>
      <c r="R701" s="117"/>
      <c r="S701" s="117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  <c r="AI701" s="118"/>
      <c r="AJ701" s="118"/>
      <c r="AK701" s="118"/>
      <c r="AL701" s="118"/>
      <c r="AM701" s="118"/>
      <c r="AN701" s="118"/>
      <c r="AO701" s="118"/>
      <c r="AP701" s="118"/>
      <c r="AQ701" s="118"/>
      <c r="AR701" s="118"/>
      <c r="AS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64"/>
      <c r="O702" s="161"/>
      <c r="P702" s="118"/>
      <c r="Q702" s="118"/>
      <c r="R702" s="117"/>
      <c r="S702" s="117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  <c r="AI702" s="118"/>
      <c r="AJ702" s="118"/>
      <c r="AK702" s="118"/>
      <c r="AL702" s="118"/>
      <c r="AM702" s="118"/>
      <c r="AN702" s="118"/>
      <c r="AO702" s="118"/>
      <c r="AP702" s="118"/>
      <c r="AQ702" s="118"/>
      <c r="AR702" s="118"/>
      <c r="AS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64"/>
      <c r="O703" s="161"/>
      <c r="P703" s="118"/>
      <c r="Q703" s="118"/>
      <c r="R703" s="117"/>
      <c r="S703" s="117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  <c r="AI703" s="118"/>
      <c r="AJ703" s="118"/>
      <c r="AK703" s="118"/>
      <c r="AL703" s="118"/>
      <c r="AM703" s="118"/>
      <c r="AN703" s="118"/>
      <c r="AO703" s="118"/>
      <c r="AP703" s="118"/>
      <c r="AQ703" s="118"/>
      <c r="AR703" s="118"/>
      <c r="AS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64"/>
      <c r="O704" s="161"/>
      <c r="P704" s="118"/>
      <c r="Q704" s="118"/>
      <c r="R704" s="117"/>
      <c r="S704" s="117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  <c r="AI704" s="118"/>
      <c r="AJ704" s="118"/>
      <c r="AK704" s="118"/>
      <c r="AL704" s="118"/>
      <c r="AM704" s="118"/>
      <c r="AN704" s="118"/>
      <c r="AO704" s="118"/>
      <c r="AP704" s="118"/>
      <c r="AQ704" s="118"/>
      <c r="AR704" s="118"/>
      <c r="AS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64"/>
      <c r="O705" s="161"/>
      <c r="P705" s="118"/>
      <c r="Q705" s="118"/>
      <c r="R705" s="117"/>
      <c r="S705" s="117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  <c r="AI705" s="118"/>
      <c r="AJ705" s="118"/>
      <c r="AK705" s="118"/>
      <c r="AL705" s="118"/>
      <c r="AM705" s="118"/>
      <c r="AN705" s="118"/>
      <c r="AO705" s="118"/>
      <c r="AP705" s="118"/>
      <c r="AQ705" s="118"/>
      <c r="AR705" s="118"/>
      <c r="AS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64"/>
      <c r="O706" s="161"/>
      <c r="P706" s="118"/>
      <c r="Q706" s="118"/>
      <c r="R706" s="117"/>
      <c r="S706" s="117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  <c r="AI706" s="118"/>
      <c r="AJ706" s="118"/>
      <c r="AK706" s="118"/>
      <c r="AL706" s="118"/>
      <c r="AM706" s="118"/>
      <c r="AN706" s="118"/>
      <c r="AO706" s="118"/>
      <c r="AP706" s="118"/>
      <c r="AQ706" s="118"/>
      <c r="AR706" s="118"/>
      <c r="AS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64"/>
      <c r="O707" s="161"/>
      <c r="P707" s="118"/>
      <c r="Q707" s="118"/>
      <c r="R707" s="117"/>
      <c r="S707" s="117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  <c r="AI707" s="118"/>
      <c r="AJ707" s="118"/>
      <c r="AK707" s="118"/>
      <c r="AL707" s="118"/>
      <c r="AM707" s="118"/>
      <c r="AN707" s="118"/>
      <c r="AO707" s="118"/>
      <c r="AP707" s="118"/>
      <c r="AQ707" s="118"/>
      <c r="AR707" s="118"/>
      <c r="AS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64"/>
      <c r="O708" s="161"/>
      <c r="P708" s="118"/>
      <c r="Q708" s="118"/>
      <c r="R708" s="117"/>
      <c r="S708" s="117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8"/>
      <c r="AN708" s="118"/>
      <c r="AO708" s="118"/>
      <c r="AP708" s="118"/>
      <c r="AQ708" s="118"/>
      <c r="AR708" s="118"/>
      <c r="AS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64"/>
      <c r="O709" s="161"/>
      <c r="P709" s="118"/>
      <c r="Q709" s="118"/>
      <c r="R709" s="117"/>
      <c r="S709" s="117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  <c r="AI709" s="118"/>
      <c r="AJ709" s="118"/>
      <c r="AK709" s="118"/>
      <c r="AL709" s="118"/>
      <c r="AM709" s="118"/>
      <c r="AN709" s="118"/>
      <c r="AO709" s="118"/>
      <c r="AP709" s="118"/>
      <c r="AQ709" s="118"/>
      <c r="AR709" s="118"/>
      <c r="AS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64"/>
      <c r="O710" s="161"/>
      <c r="P710" s="118"/>
      <c r="Q710" s="118"/>
      <c r="R710" s="117"/>
      <c r="S710" s="117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64"/>
      <c r="O711" s="161"/>
      <c r="P711" s="118"/>
      <c r="Q711" s="118"/>
      <c r="R711" s="117"/>
      <c r="S711" s="117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  <c r="AI711" s="118"/>
      <c r="AJ711" s="118"/>
      <c r="AK711" s="118"/>
      <c r="AL711" s="118"/>
      <c r="AM711" s="118"/>
      <c r="AN711" s="118"/>
      <c r="AO711" s="118"/>
      <c r="AP711" s="118"/>
      <c r="AQ711" s="118"/>
      <c r="AR711" s="118"/>
      <c r="AS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64"/>
      <c r="O712" s="161"/>
      <c r="P712" s="118"/>
      <c r="Q712" s="118"/>
      <c r="R712" s="117"/>
      <c r="S712" s="117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  <c r="AI712" s="118"/>
      <c r="AJ712" s="118"/>
      <c r="AK712" s="118"/>
      <c r="AL712" s="118"/>
      <c r="AM712" s="118"/>
      <c r="AN712" s="118"/>
      <c r="AO712" s="118"/>
      <c r="AP712" s="118"/>
      <c r="AQ712" s="118"/>
      <c r="AR712" s="118"/>
      <c r="AS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64"/>
      <c r="O713" s="161"/>
      <c r="P713" s="118"/>
      <c r="Q713" s="118"/>
      <c r="R713" s="117"/>
      <c r="S713" s="117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  <c r="AI713" s="118"/>
      <c r="AJ713" s="118"/>
      <c r="AK713" s="118"/>
      <c r="AL713" s="118"/>
      <c r="AM713" s="118"/>
      <c r="AN713" s="118"/>
      <c r="AO713" s="118"/>
      <c r="AP713" s="118"/>
      <c r="AQ713" s="118"/>
      <c r="AR713" s="118"/>
      <c r="AS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64"/>
      <c r="O714" s="161"/>
      <c r="P714" s="118"/>
      <c r="Q714" s="118"/>
      <c r="R714" s="117"/>
      <c r="S714" s="117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/>
      <c r="AK714" s="118"/>
      <c r="AL714" s="118"/>
      <c r="AM714" s="118"/>
      <c r="AN714" s="118"/>
      <c r="AO714" s="118"/>
      <c r="AP714" s="118"/>
      <c r="AQ714" s="118"/>
      <c r="AR714" s="118"/>
      <c r="AS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64"/>
      <c r="O715" s="161"/>
      <c r="P715" s="118"/>
      <c r="Q715" s="118"/>
      <c r="R715" s="117"/>
      <c r="S715" s="117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  <c r="AI715" s="118"/>
      <c r="AJ715" s="118"/>
      <c r="AK715" s="118"/>
      <c r="AL715" s="118"/>
      <c r="AM715" s="118"/>
      <c r="AN715" s="118"/>
      <c r="AO715" s="118"/>
      <c r="AP715" s="118"/>
      <c r="AQ715" s="118"/>
      <c r="AR715" s="118"/>
      <c r="AS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64"/>
      <c r="O716" s="161"/>
      <c r="P716" s="118"/>
      <c r="Q716" s="118"/>
      <c r="R716" s="117"/>
      <c r="S716" s="117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  <c r="AI716" s="118"/>
      <c r="AJ716" s="118"/>
      <c r="AK716" s="118"/>
      <c r="AL716" s="118"/>
      <c r="AM716" s="118"/>
      <c r="AN716" s="118"/>
      <c r="AO716" s="118"/>
      <c r="AP716" s="118"/>
      <c r="AQ716" s="118"/>
      <c r="AR716" s="118"/>
      <c r="AS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64"/>
      <c r="O717" s="161"/>
      <c r="P717" s="118"/>
      <c r="Q717" s="118"/>
      <c r="R717" s="117"/>
      <c r="S717" s="117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  <c r="AI717" s="118"/>
      <c r="AJ717" s="118"/>
      <c r="AK717" s="118"/>
      <c r="AL717" s="118"/>
      <c r="AM717" s="118"/>
      <c r="AN717" s="118"/>
      <c r="AO717" s="118"/>
      <c r="AP717" s="118"/>
      <c r="AQ717" s="118"/>
      <c r="AR717" s="118"/>
      <c r="AS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64"/>
      <c r="O718" s="161"/>
      <c r="P718" s="118"/>
      <c r="Q718" s="118"/>
      <c r="R718" s="117"/>
      <c r="S718" s="117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  <c r="AI718" s="118"/>
      <c r="AJ718" s="118"/>
      <c r="AK718" s="118"/>
      <c r="AL718" s="118"/>
      <c r="AM718" s="118"/>
      <c r="AN718" s="118"/>
      <c r="AO718" s="118"/>
      <c r="AP718" s="118"/>
      <c r="AQ718" s="118"/>
      <c r="AR718" s="118"/>
      <c r="AS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64"/>
      <c r="O719" s="161"/>
      <c r="P719" s="118"/>
      <c r="Q719" s="118"/>
      <c r="R719" s="117"/>
      <c r="S719" s="117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  <c r="AI719" s="118"/>
      <c r="AJ719" s="118"/>
      <c r="AK719" s="118"/>
      <c r="AL719" s="118"/>
      <c r="AM719" s="118"/>
      <c r="AN719" s="118"/>
      <c r="AO719" s="118"/>
      <c r="AP719" s="118"/>
      <c r="AQ719" s="118"/>
      <c r="AR719" s="118"/>
      <c r="AS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64"/>
      <c r="O720" s="161"/>
      <c r="P720" s="118"/>
      <c r="Q720" s="118"/>
      <c r="R720" s="117"/>
      <c r="S720" s="117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  <c r="AI720" s="118"/>
      <c r="AJ720" s="118"/>
      <c r="AK720" s="118"/>
      <c r="AL720" s="118"/>
      <c r="AM720" s="118"/>
      <c r="AN720" s="118"/>
      <c r="AO720" s="118"/>
      <c r="AP720" s="118"/>
      <c r="AQ720" s="118"/>
      <c r="AR720" s="118"/>
      <c r="AS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64"/>
      <c r="O721" s="161"/>
      <c r="P721" s="118"/>
      <c r="Q721" s="118"/>
      <c r="R721" s="117"/>
      <c r="S721" s="117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  <c r="AI721" s="118"/>
      <c r="AJ721" s="118"/>
      <c r="AK721" s="118"/>
      <c r="AL721" s="118"/>
      <c r="AM721" s="118"/>
      <c r="AN721" s="118"/>
      <c r="AO721" s="118"/>
      <c r="AP721" s="118"/>
      <c r="AQ721" s="118"/>
      <c r="AR721" s="118"/>
      <c r="AS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64"/>
      <c r="O722" s="161"/>
      <c r="P722" s="118"/>
      <c r="Q722" s="118"/>
      <c r="R722" s="117"/>
      <c r="S722" s="117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  <c r="AI722" s="118"/>
      <c r="AJ722" s="118"/>
      <c r="AK722" s="118"/>
      <c r="AL722" s="118"/>
      <c r="AM722" s="118"/>
      <c r="AN722" s="118"/>
      <c r="AO722" s="118"/>
      <c r="AP722" s="118"/>
      <c r="AQ722" s="118"/>
      <c r="AR722" s="118"/>
      <c r="AS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64"/>
      <c r="O723" s="161"/>
      <c r="P723" s="118"/>
      <c r="Q723" s="118"/>
      <c r="R723" s="117"/>
      <c r="S723" s="117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/>
      <c r="AK723" s="118"/>
      <c r="AL723" s="118"/>
      <c r="AM723" s="118"/>
      <c r="AN723" s="118"/>
      <c r="AO723" s="118"/>
      <c r="AP723" s="118"/>
      <c r="AQ723" s="118"/>
      <c r="AR723" s="118"/>
      <c r="AS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64"/>
      <c r="O724" s="161"/>
      <c r="P724" s="118"/>
      <c r="Q724" s="118"/>
      <c r="R724" s="117"/>
      <c r="S724" s="117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  <c r="AI724" s="118"/>
      <c r="AJ724" s="118"/>
      <c r="AK724" s="118"/>
      <c r="AL724" s="118"/>
      <c r="AM724" s="118"/>
      <c r="AN724" s="118"/>
      <c r="AO724" s="118"/>
      <c r="AP724" s="118"/>
      <c r="AQ724" s="118"/>
      <c r="AR724" s="118"/>
      <c r="AS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64"/>
      <c r="O725" s="161"/>
      <c r="P725" s="118"/>
      <c r="Q725" s="118"/>
      <c r="R725" s="117"/>
      <c r="S725" s="117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  <c r="AI725" s="118"/>
      <c r="AJ725" s="118"/>
      <c r="AK725" s="118"/>
      <c r="AL725" s="118"/>
      <c r="AM725" s="118"/>
      <c r="AN725" s="118"/>
      <c r="AO725" s="118"/>
      <c r="AP725" s="118"/>
      <c r="AQ725" s="118"/>
      <c r="AR725" s="118"/>
      <c r="AS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64"/>
      <c r="O726" s="161"/>
      <c r="P726" s="118"/>
      <c r="Q726" s="118"/>
      <c r="R726" s="117"/>
      <c r="S726" s="117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  <c r="AI726" s="118"/>
      <c r="AJ726" s="118"/>
      <c r="AK726" s="118"/>
      <c r="AL726" s="118"/>
      <c r="AM726" s="118"/>
      <c r="AN726" s="118"/>
      <c r="AO726" s="118"/>
      <c r="AP726" s="118"/>
      <c r="AQ726" s="118"/>
      <c r="AR726" s="118"/>
      <c r="AS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64"/>
      <c r="O727" s="161"/>
      <c r="P727" s="118"/>
      <c r="Q727" s="118"/>
      <c r="R727" s="117"/>
      <c r="S727" s="117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  <c r="AI727" s="118"/>
      <c r="AJ727" s="118"/>
      <c r="AK727" s="118"/>
      <c r="AL727" s="118"/>
      <c r="AM727" s="118"/>
      <c r="AN727" s="118"/>
      <c r="AO727" s="118"/>
      <c r="AP727" s="118"/>
      <c r="AQ727" s="118"/>
      <c r="AR727" s="118"/>
      <c r="AS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64"/>
      <c r="O728" s="161"/>
      <c r="P728" s="118"/>
      <c r="Q728" s="118"/>
      <c r="R728" s="117"/>
      <c r="S728" s="117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  <c r="AI728" s="118"/>
      <c r="AJ728" s="118"/>
      <c r="AK728" s="118"/>
      <c r="AL728" s="118"/>
      <c r="AM728" s="118"/>
      <c r="AN728" s="118"/>
      <c r="AO728" s="118"/>
      <c r="AP728" s="118"/>
      <c r="AQ728" s="118"/>
      <c r="AR728" s="118"/>
      <c r="AS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64"/>
      <c r="O729" s="161"/>
      <c r="P729" s="118"/>
      <c r="Q729" s="118"/>
      <c r="R729" s="117"/>
      <c r="S729" s="117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  <c r="AI729" s="118"/>
      <c r="AJ729" s="118"/>
      <c r="AK729" s="118"/>
      <c r="AL729" s="118"/>
      <c r="AM729" s="118"/>
      <c r="AN729" s="118"/>
      <c r="AO729" s="118"/>
      <c r="AP729" s="118"/>
      <c r="AQ729" s="118"/>
      <c r="AR729" s="118"/>
      <c r="AS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64"/>
      <c r="O730" s="161"/>
      <c r="P730" s="118"/>
      <c r="Q730" s="118"/>
      <c r="R730" s="117"/>
      <c r="S730" s="117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/>
      <c r="AK730" s="118"/>
      <c r="AL730" s="118"/>
      <c r="AM730" s="118"/>
      <c r="AN730" s="118"/>
      <c r="AO730" s="118"/>
      <c r="AP730" s="118"/>
      <c r="AQ730" s="118"/>
      <c r="AR730" s="118"/>
      <c r="AS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64"/>
      <c r="O731" s="161"/>
      <c r="P731" s="118"/>
      <c r="Q731" s="118"/>
      <c r="R731" s="117"/>
      <c r="S731" s="117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/>
      <c r="AK731" s="118"/>
      <c r="AL731" s="118"/>
      <c r="AM731" s="118"/>
      <c r="AN731" s="118"/>
      <c r="AO731" s="118"/>
      <c r="AP731" s="118"/>
      <c r="AQ731" s="118"/>
      <c r="AR731" s="118"/>
      <c r="AS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64"/>
      <c r="O732" s="161"/>
      <c r="P732" s="118"/>
      <c r="Q732" s="118"/>
      <c r="R732" s="117"/>
      <c r="S732" s="117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  <c r="AI732" s="118"/>
      <c r="AJ732" s="118"/>
      <c r="AK732" s="118"/>
      <c r="AL732" s="118"/>
      <c r="AM732" s="118"/>
      <c r="AN732" s="118"/>
      <c r="AO732" s="118"/>
      <c r="AP732" s="118"/>
      <c r="AQ732" s="118"/>
      <c r="AR732" s="118"/>
      <c r="AS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64"/>
      <c r="O733" s="161"/>
      <c r="P733" s="118"/>
      <c r="Q733" s="118"/>
      <c r="R733" s="117"/>
      <c r="S733" s="117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  <c r="AI733" s="118"/>
      <c r="AJ733" s="118"/>
      <c r="AK733" s="118"/>
      <c r="AL733" s="118"/>
      <c r="AM733" s="118"/>
      <c r="AN733" s="118"/>
      <c r="AO733" s="118"/>
      <c r="AP733" s="118"/>
      <c r="AQ733" s="118"/>
      <c r="AR733" s="118"/>
      <c r="AS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64"/>
      <c r="O734" s="161"/>
      <c r="P734" s="118"/>
      <c r="Q734" s="118"/>
      <c r="R734" s="117"/>
      <c r="S734" s="117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  <c r="AI734" s="118"/>
      <c r="AJ734" s="118"/>
      <c r="AK734" s="118"/>
      <c r="AL734" s="118"/>
      <c r="AM734" s="118"/>
      <c r="AN734" s="118"/>
      <c r="AO734" s="118"/>
      <c r="AP734" s="118"/>
      <c r="AQ734" s="118"/>
      <c r="AR734" s="118"/>
      <c r="AS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64"/>
      <c r="O735" s="161"/>
      <c r="P735" s="118"/>
      <c r="Q735" s="118"/>
      <c r="R735" s="117"/>
      <c r="S735" s="117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  <c r="AI735" s="118"/>
      <c r="AJ735" s="118"/>
      <c r="AK735" s="118"/>
      <c r="AL735" s="118"/>
      <c r="AM735" s="118"/>
      <c r="AN735" s="118"/>
      <c r="AO735" s="118"/>
      <c r="AP735" s="118"/>
      <c r="AQ735" s="118"/>
      <c r="AR735" s="118"/>
      <c r="AS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64"/>
      <c r="O736" s="161"/>
      <c r="P736" s="118"/>
      <c r="Q736" s="118"/>
      <c r="R736" s="117"/>
      <c r="S736" s="117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  <c r="AI736" s="118"/>
      <c r="AJ736" s="118"/>
      <c r="AK736" s="118"/>
      <c r="AL736" s="118"/>
      <c r="AM736" s="118"/>
      <c r="AN736" s="118"/>
      <c r="AO736" s="118"/>
      <c r="AP736" s="118"/>
      <c r="AQ736" s="118"/>
      <c r="AR736" s="118"/>
      <c r="AS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64"/>
      <c r="O737" s="161"/>
      <c r="P737" s="118"/>
      <c r="Q737" s="118"/>
      <c r="R737" s="117"/>
      <c r="S737" s="117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  <c r="AI737" s="118"/>
      <c r="AJ737" s="118"/>
      <c r="AK737" s="118"/>
      <c r="AL737" s="118"/>
      <c r="AM737" s="118"/>
      <c r="AN737" s="118"/>
      <c r="AO737" s="118"/>
      <c r="AP737" s="118"/>
      <c r="AQ737" s="118"/>
      <c r="AR737" s="118"/>
      <c r="AS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64"/>
      <c r="O738" s="161"/>
      <c r="P738" s="118"/>
      <c r="Q738" s="118"/>
      <c r="R738" s="117"/>
      <c r="S738" s="117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  <c r="AI738" s="118"/>
      <c r="AJ738" s="118"/>
      <c r="AK738" s="118"/>
      <c r="AL738" s="118"/>
      <c r="AM738" s="118"/>
      <c r="AN738" s="118"/>
      <c r="AO738" s="118"/>
      <c r="AP738" s="118"/>
      <c r="AQ738" s="118"/>
      <c r="AR738" s="118"/>
      <c r="AS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64"/>
      <c r="O739" s="161"/>
      <c r="P739" s="118"/>
      <c r="Q739" s="118"/>
      <c r="R739" s="117"/>
      <c r="S739" s="117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  <c r="AI739" s="118"/>
      <c r="AJ739" s="118"/>
      <c r="AK739" s="118"/>
      <c r="AL739" s="118"/>
      <c r="AM739" s="118"/>
      <c r="AN739" s="118"/>
      <c r="AO739" s="118"/>
      <c r="AP739" s="118"/>
      <c r="AQ739" s="118"/>
      <c r="AR739" s="118"/>
      <c r="AS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64"/>
      <c r="O740" s="161"/>
      <c r="P740" s="118"/>
      <c r="Q740" s="118"/>
      <c r="R740" s="117"/>
      <c r="S740" s="117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  <c r="AI740" s="118"/>
      <c r="AJ740" s="118"/>
      <c r="AK740" s="118"/>
      <c r="AL740" s="118"/>
      <c r="AM740" s="118"/>
      <c r="AN740" s="118"/>
      <c r="AO740" s="118"/>
      <c r="AP740" s="118"/>
      <c r="AQ740" s="118"/>
      <c r="AR740" s="118"/>
      <c r="AS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64"/>
      <c r="O741" s="161"/>
      <c r="P741" s="118"/>
      <c r="Q741" s="118"/>
      <c r="R741" s="117"/>
      <c r="S741" s="117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  <c r="AI741" s="118"/>
      <c r="AJ741" s="118"/>
      <c r="AK741" s="118"/>
      <c r="AL741" s="118"/>
      <c r="AM741" s="118"/>
      <c r="AN741" s="118"/>
      <c r="AO741" s="118"/>
      <c r="AP741" s="118"/>
      <c r="AQ741" s="118"/>
      <c r="AR741" s="118"/>
      <c r="AS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64"/>
      <c r="O742" s="161"/>
      <c r="P742" s="118"/>
      <c r="Q742" s="118"/>
      <c r="R742" s="117"/>
      <c r="S742" s="117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  <c r="AI742" s="118"/>
      <c r="AJ742" s="118"/>
      <c r="AK742" s="118"/>
      <c r="AL742" s="118"/>
      <c r="AM742" s="118"/>
      <c r="AN742" s="118"/>
      <c r="AO742" s="118"/>
      <c r="AP742" s="118"/>
      <c r="AQ742" s="118"/>
      <c r="AR742" s="118"/>
      <c r="AS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64"/>
      <c r="O743" s="161"/>
      <c r="P743" s="118"/>
      <c r="Q743" s="118"/>
      <c r="R743" s="117"/>
      <c r="S743" s="117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  <c r="AI743" s="118"/>
      <c r="AJ743" s="118"/>
      <c r="AK743" s="118"/>
      <c r="AL743" s="118"/>
      <c r="AM743" s="118"/>
      <c r="AN743" s="118"/>
      <c r="AO743" s="118"/>
      <c r="AP743" s="118"/>
      <c r="AQ743" s="118"/>
      <c r="AR743" s="118"/>
      <c r="AS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64"/>
      <c r="O744" s="161"/>
      <c r="P744" s="118"/>
      <c r="Q744" s="118"/>
      <c r="R744" s="117"/>
      <c r="S744" s="117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  <c r="AI744" s="118"/>
      <c r="AJ744" s="118"/>
      <c r="AK744" s="118"/>
      <c r="AL744" s="118"/>
      <c r="AM744" s="118"/>
      <c r="AN744" s="118"/>
      <c r="AO744" s="118"/>
      <c r="AP744" s="118"/>
      <c r="AQ744" s="118"/>
      <c r="AR744" s="118"/>
      <c r="AS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64"/>
      <c r="O745" s="161"/>
      <c r="P745" s="118"/>
      <c r="Q745" s="118"/>
      <c r="R745" s="117"/>
      <c r="S745" s="117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  <c r="AI745" s="118"/>
      <c r="AJ745" s="118"/>
      <c r="AK745" s="118"/>
      <c r="AL745" s="118"/>
      <c r="AM745" s="118"/>
      <c r="AN745" s="118"/>
      <c r="AO745" s="118"/>
      <c r="AP745" s="118"/>
      <c r="AQ745" s="118"/>
      <c r="AR745" s="118"/>
      <c r="AS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64"/>
      <c r="O746" s="161"/>
      <c r="P746" s="118"/>
      <c r="Q746" s="118"/>
      <c r="R746" s="117"/>
      <c r="S746" s="117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8"/>
      <c r="AN746" s="118"/>
      <c r="AO746" s="118"/>
      <c r="AP746" s="118"/>
      <c r="AQ746" s="118"/>
      <c r="AR746" s="118"/>
      <c r="AS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64"/>
      <c r="O747" s="161"/>
      <c r="P747" s="118"/>
      <c r="Q747" s="118"/>
      <c r="R747" s="117"/>
      <c r="S747" s="117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  <c r="AI747" s="118"/>
      <c r="AJ747" s="118"/>
      <c r="AK747" s="118"/>
      <c r="AL747" s="118"/>
      <c r="AM747" s="118"/>
      <c r="AN747" s="118"/>
      <c r="AO747" s="118"/>
      <c r="AP747" s="118"/>
      <c r="AQ747" s="118"/>
      <c r="AR747" s="118"/>
      <c r="AS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64"/>
      <c r="O748" s="161"/>
      <c r="P748" s="118"/>
      <c r="Q748" s="118"/>
      <c r="R748" s="117"/>
      <c r="S748" s="117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  <c r="AI748" s="118"/>
      <c r="AJ748" s="118"/>
      <c r="AK748" s="118"/>
      <c r="AL748" s="118"/>
      <c r="AM748" s="118"/>
      <c r="AN748" s="118"/>
      <c r="AO748" s="118"/>
      <c r="AP748" s="118"/>
      <c r="AQ748" s="118"/>
      <c r="AR748" s="118"/>
      <c r="AS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64"/>
      <c r="O749" s="161"/>
      <c r="P749" s="118"/>
      <c r="Q749" s="118"/>
      <c r="R749" s="117"/>
      <c r="S749" s="117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  <c r="AI749" s="118"/>
      <c r="AJ749" s="118"/>
      <c r="AK749" s="118"/>
      <c r="AL749" s="118"/>
      <c r="AM749" s="118"/>
      <c r="AN749" s="118"/>
      <c r="AO749" s="118"/>
      <c r="AP749" s="118"/>
      <c r="AQ749" s="118"/>
      <c r="AR749" s="118"/>
      <c r="AS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64"/>
      <c r="O750" s="161"/>
      <c r="P750" s="118"/>
      <c r="Q750" s="118"/>
      <c r="R750" s="117"/>
      <c r="S750" s="117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  <c r="AI750" s="118"/>
      <c r="AJ750" s="118"/>
      <c r="AK750" s="118"/>
      <c r="AL750" s="118"/>
      <c r="AM750" s="118"/>
      <c r="AN750" s="118"/>
      <c r="AO750" s="118"/>
      <c r="AP750" s="118"/>
      <c r="AQ750" s="118"/>
      <c r="AR750" s="118"/>
      <c r="AS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64"/>
      <c r="O751" s="161"/>
      <c r="P751" s="118"/>
      <c r="Q751" s="118"/>
      <c r="R751" s="117"/>
      <c r="S751" s="117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  <c r="AI751" s="118"/>
      <c r="AJ751" s="118"/>
      <c r="AK751" s="118"/>
      <c r="AL751" s="118"/>
      <c r="AM751" s="118"/>
      <c r="AN751" s="118"/>
      <c r="AO751" s="118"/>
      <c r="AP751" s="118"/>
      <c r="AQ751" s="118"/>
      <c r="AR751" s="118"/>
      <c r="AS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64"/>
      <c r="O752" s="161"/>
      <c r="P752" s="118"/>
      <c r="Q752" s="118"/>
      <c r="R752" s="117"/>
      <c r="S752" s="117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  <c r="AI752" s="118"/>
      <c r="AJ752" s="118"/>
      <c r="AK752" s="118"/>
      <c r="AL752" s="118"/>
      <c r="AM752" s="118"/>
      <c r="AN752" s="118"/>
      <c r="AO752" s="118"/>
      <c r="AP752" s="118"/>
      <c r="AQ752" s="118"/>
      <c r="AR752" s="118"/>
      <c r="AS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64"/>
      <c r="O753" s="161"/>
      <c r="P753" s="118"/>
      <c r="Q753" s="118"/>
      <c r="R753" s="117"/>
      <c r="S753" s="117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  <c r="AI753" s="118"/>
      <c r="AJ753" s="118"/>
      <c r="AK753" s="118"/>
      <c r="AL753" s="118"/>
      <c r="AM753" s="118"/>
      <c r="AN753" s="118"/>
      <c r="AO753" s="118"/>
      <c r="AP753" s="118"/>
      <c r="AQ753" s="118"/>
      <c r="AR753" s="118"/>
      <c r="AS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64"/>
      <c r="O754" s="161"/>
      <c r="P754" s="118"/>
      <c r="Q754" s="118"/>
      <c r="R754" s="117"/>
      <c r="S754" s="117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  <c r="AI754" s="118"/>
      <c r="AJ754" s="118"/>
      <c r="AK754" s="118"/>
      <c r="AL754" s="118"/>
      <c r="AM754" s="118"/>
      <c r="AN754" s="118"/>
      <c r="AO754" s="118"/>
      <c r="AP754" s="118"/>
      <c r="AQ754" s="118"/>
      <c r="AR754" s="118"/>
      <c r="AS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64"/>
      <c r="O755" s="161"/>
      <c r="P755" s="118"/>
      <c r="Q755" s="118"/>
      <c r="R755" s="117"/>
      <c r="S755" s="117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  <c r="AI755" s="118"/>
      <c r="AJ755" s="118"/>
      <c r="AK755" s="118"/>
      <c r="AL755" s="118"/>
      <c r="AM755" s="118"/>
      <c r="AN755" s="118"/>
      <c r="AO755" s="118"/>
      <c r="AP755" s="118"/>
      <c r="AQ755" s="118"/>
      <c r="AR755" s="118"/>
      <c r="AS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64"/>
      <c r="O756" s="161"/>
      <c r="P756" s="118"/>
      <c r="Q756" s="118"/>
      <c r="R756" s="117"/>
      <c r="S756" s="117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  <c r="AI756" s="118"/>
      <c r="AJ756" s="118"/>
      <c r="AK756" s="118"/>
      <c r="AL756" s="118"/>
      <c r="AM756" s="118"/>
      <c r="AN756" s="118"/>
      <c r="AO756" s="118"/>
      <c r="AP756" s="118"/>
      <c r="AQ756" s="118"/>
      <c r="AR756" s="118"/>
      <c r="AS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64"/>
      <c r="O757" s="161"/>
      <c r="P757" s="118"/>
      <c r="Q757" s="118"/>
      <c r="R757" s="117"/>
      <c r="S757" s="117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  <c r="AI757" s="118"/>
      <c r="AJ757" s="118"/>
      <c r="AK757" s="118"/>
      <c r="AL757" s="118"/>
      <c r="AM757" s="118"/>
      <c r="AN757" s="118"/>
      <c r="AO757" s="118"/>
      <c r="AP757" s="118"/>
      <c r="AQ757" s="118"/>
      <c r="AR757" s="118"/>
      <c r="AS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64"/>
      <c r="O758" s="161"/>
      <c r="P758" s="118"/>
      <c r="Q758" s="118"/>
      <c r="R758" s="117"/>
      <c r="S758" s="117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  <c r="AI758" s="118"/>
      <c r="AJ758" s="118"/>
      <c r="AK758" s="118"/>
      <c r="AL758" s="118"/>
      <c r="AM758" s="118"/>
      <c r="AN758" s="118"/>
      <c r="AO758" s="118"/>
      <c r="AP758" s="118"/>
      <c r="AQ758" s="118"/>
      <c r="AR758" s="118"/>
      <c r="AS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64"/>
      <c r="O759" s="161"/>
      <c r="P759" s="118"/>
      <c r="Q759" s="118"/>
      <c r="R759" s="117"/>
      <c r="S759" s="117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  <c r="AI759" s="118"/>
      <c r="AJ759" s="118"/>
      <c r="AK759" s="118"/>
      <c r="AL759" s="118"/>
      <c r="AM759" s="118"/>
      <c r="AN759" s="118"/>
      <c r="AO759" s="118"/>
      <c r="AP759" s="118"/>
      <c r="AQ759" s="118"/>
      <c r="AR759" s="118"/>
      <c r="AS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64"/>
      <c r="O760" s="161"/>
      <c r="P760" s="118"/>
      <c r="Q760" s="118"/>
      <c r="R760" s="117"/>
      <c r="S760" s="117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  <c r="AI760" s="118"/>
      <c r="AJ760" s="118"/>
      <c r="AK760" s="118"/>
      <c r="AL760" s="118"/>
      <c r="AM760" s="118"/>
      <c r="AN760" s="118"/>
      <c r="AO760" s="118"/>
      <c r="AP760" s="118"/>
      <c r="AQ760" s="118"/>
      <c r="AR760" s="118"/>
      <c r="AS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64"/>
      <c r="O761" s="161"/>
      <c r="P761" s="118"/>
      <c r="Q761" s="118"/>
      <c r="R761" s="117"/>
      <c r="S761" s="117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  <c r="AI761" s="118"/>
      <c r="AJ761" s="118"/>
      <c r="AK761" s="118"/>
      <c r="AL761" s="118"/>
      <c r="AM761" s="118"/>
      <c r="AN761" s="118"/>
      <c r="AO761" s="118"/>
      <c r="AP761" s="118"/>
      <c r="AQ761" s="118"/>
      <c r="AR761" s="118"/>
      <c r="AS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64"/>
      <c r="O762" s="161"/>
      <c r="P762" s="118"/>
      <c r="Q762" s="118"/>
      <c r="R762" s="117"/>
      <c r="S762" s="117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  <c r="AI762" s="118"/>
      <c r="AJ762" s="118"/>
      <c r="AK762" s="118"/>
      <c r="AL762" s="118"/>
      <c r="AM762" s="118"/>
      <c r="AN762" s="118"/>
      <c r="AO762" s="118"/>
      <c r="AP762" s="118"/>
      <c r="AQ762" s="118"/>
      <c r="AR762" s="118"/>
      <c r="AS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64"/>
      <c r="O763" s="161"/>
      <c r="P763" s="118"/>
      <c r="Q763" s="118"/>
      <c r="R763" s="117"/>
      <c r="S763" s="117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64"/>
      <c r="O764" s="161"/>
      <c r="P764" s="118"/>
      <c r="Q764" s="118"/>
      <c r="R764" s="117"/>
      <c r="S764" s="117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  <c r="AI764" s="118"/>
      <c r="AJ764" s="118"/>
      <c r="AK764" s="118"/>
      <c r="AL764" s="118"/>
      <c r="AM764" s="118"/>
      <c r="AN764" s="118"/>
      <c r="AO764" s="118"/>
      <c r="AP764" s="118"/>
      <c r="AQ764" s="118"/>
      <c r="AR764" s="118"/>
      <c r="AS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64"/>
      <c r="O765" s="161"/>
      <c r="P765" s="118"/>
      <c r="Q765" s="118"/>
      <c r="R765" s="117"/>
      <c r="S765" s="117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  <c r="AI765" s="118"/>
      <c r="AJ765" s="118"/>
      <c r="AK765" s="118"/>
      <c r="AL765" s="118"/>
      <c r="AM765" s="118"/>
      <c r="AN765" s="118"/>
      <c r="AO765" s="118"/>
      <c r="AP765" s="118"/>
      <c r="AQ765" s="118"/>
      <c r="AR765" s="118"/>
      <c r="AS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64"/>
      <c r="O766" s="161"/>
      <c r="P766" s="118"/>
      <c r="Q766" s="118"/>
      <c r="R766" s="117"/>
      <c r="S766" s="117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  <c r="AI766" s="118"/>
      <c r="AJ766" s="118"/>
      <c r="AK766" s="118"/>
      <c r="AL766" s="118"/>
      <c r="AM766" s="118"/>
      <c r="AN766" s="118"/>
      <c r="AO766" s="118"/>
      <c r="AP766" s="118"/>
      <c r="AQ766" s="118"/>
      <c r="AR766" s="118"/>
      <c r="AS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64"/>
      <c r="O767" s="161"/>
      <c r="P767" s="118"/>
      <c r="Q767" s="118"/>
      <c r="R767" s="117"/>
      <c r="S767" s="117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  <c r="AI767" s="118"/>
      <c r="AJ767" s="118"/>
      <c r="AK767" s="118"/>
      <c r="AL767" s="118"/>
      <c r="AM767" s="118"/>
      <c r="AN767" s="118"/>
      <c r="AO767" s="118"/>
      <c r="AP767" s="118"/>
      <c r="AQ767" s="118"/>
      <c r="AR767" s="118"/>
      <c r="AS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64"/>
      <c r="O768" s="161"/>
      <c r="P768" s="118"/>
      <c r="Q768" s="118"/>
      <c r="R768" s="117"/>
      <c r="S768" s="117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  <c r="AI768" s="118"/>
      <c r="AJ768" s="118"/>
      <c r="AK768" s="118"/>
      <c r="AL768" s="118"/>
      <c r="AM768" s="118"/>
      <c r="AN768" s="118"/>
      <c r="AO768" s="118"/>
      <c r="AP768" s="118"/>
      <c r="AQ768" s="118"/>
      <c r="AR768" s="118"/>
      <c r="AS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64"/>
      <c r="O769" s="161"/>
      <c r="P769" s="118"/>
      <c r="Q769" s="118"/>
      <c r="R769" s="117"/>
      <c r="S769" s="117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  <c r="AI769" s="118"/>
      <c r="AJ769" s="118"/>
      <c r="AK769" s="118"/>
      <c r="AL769" s="118"/>
      <c r="AM769" s="118"/>
      <c r="AN769" s="118"/>
      <c r="AO769" s="118"/>
      <c r="AP769" s="118"/>
      <c r="AQ769" s="118"/>
      <c r="AR769" s="118"/>
      <c r="AS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64"/>
      <c r="O770" s="161"/>
      <c r="P770" s="118"/>
      <c r="Q770" s="118"/>
      <c r="R770" s="117"/>
      <c r="S770" s="117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  <c r="AI770" s="118"/>
      <c r="AJ770" s="118"/>
      <c r="AK770" s="118"/>
      <c r="AL770" s="118"/>
      <c r="AM770" s="118"/>
      <c r="AN770" s="118"/>
      <c r="AO770" s="118"/>
      <c r="AP770" s="118"/>
      <c r="AQ770" s="118"/>
      <c r="AR770" s="118"/>
      <c r="AS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64"/>
      <c r="O771" s="161"/>
      <c r="P771" s="118"/>
      <c r="Q771" s="118"/>
      <c r="R771" s="117"/>
      <c r="S771" s="117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  <c r="AI771" s="118"/>
      <c r="AJ771" s="118"/>
      <c r="AK771" s="118"/>
      <c r="AL771" s="118"/>
      <c r="AM771" s="118"/>
      <c r="AN771" s="118"/>
      <c r="AO771" s="118"/>
      <c r="AP771" s="118"/>
      <c r="AQ771" s="118"/>
      <c r="AR771" s="118"/>
      <c r="AS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64"/>
      <c r="O772" s="161"/>
      <c r="P772" s="118"/>
      <c r="Q772" s="118"/>
      <c r="R772" s="117"/>
      <c r="S772" s="117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  <c r="AI772" s="118"/>
      <c r="AJ772" s="118"/>
      <c r="AK772" s="118"/>
      <c r="AL772" s="118"/>
      <c r="AM772" s="118"/>
      <c r="AN772" s="118"/>
      <c r="AO772" s="118"/>
      <c r="AP772" s="118"/>
      <c r="AQ772" s="118"/>
      <c r="AR772" s="118"/>
      <c r="AS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64"/>
      <c r="O773" s="161"/>
      <c r="P773" s="118"/>
      <c r="Q773" s="118"/>
      <c r="R773" s="117"/>
      <c r="S773" s="117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  <c r="AI773" s="118"/>
      <c r="AJ773" s="118"/>
      <c r="AK773" s="118"/>
      <c r="AL773" s="118"/>
      <c r="AM773" s="118"/>
      <c r="AN773" s="118"/>
      <c r="AO773" s="118"/>
      <c r="AP773" s="118"/>
      <c r="AQ773" s="118"/>
      <c r="AR773" s="118"/>
      <c r="AS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64"/>
      <c r="O774" s="161"/>
      <c r="P774" s="118"/>
      <c r="Q774" s="118"/>
      <c r="R774" s="117"/>
      <c r="S774" s="117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  <c r="AI774" s="118"/>
      <c r="AJ774" s="118"/>
      <c r="AK774" s="118"/>
      <c r="AL774" s="118"/>
      <c r="AM774" s="118"/>
      <c r="AN774" s="118"/>
      <c r="AO774" s="118"/>
      <c r="AP774" s="118"/>
      <c r="AQ774" s="118"/>
      <c r="AR774" s="118"/>
      <c r="AS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64"/>
      <c r="O775" s="161"/>
      <c r="P775" s="118"/>
      <c r="Q775" s="118"/>
      <c r="R775" s="117"/>
      <c r="S775" s="117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  <c r="AL775" s="118"/>
      <c r="AM775" s="118"/>
      <c r="AN775" s="118"/>
      <c r="AO775" s="118"/>
      <c r="AP775" s="118"/>
      <c r="AQ775" s="118"/>
      <c r="AR775" s="118"/>
      <c r="AS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64"/>
      <c r="O776" s="161"/>
      <c r="P776" s="118"/>
      <c r="Q776" s="118"/>
      <c r="R776" s="117"/>
      <c r="S776" s="117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  <c r="AI776" s="118"/>
      <c r="AJ776" s="118"/>
      <c r="AK776" s="118"/>
      <c r="AL776" s="118"/>
      <c r="AM776" s="118"/>
      <c r="AN776" s="118"/>
      <c r="AO776" s="118"/>
      <c r="AP776" s="118"/>
      <c r="AQ776" s="118"/>
      <c r="AR776" s="118"/>
      <c r="AS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64"/>
      <c r="O777" s="161"/>
      <c r="P777" s="118"/>
      <c r="Q777" s="118"/>
      <c r="R777" s="117"/>
      <c r="S777" s="117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  <c r="AI777" s="118"/>
      <c r="AJ777" s="118"/>
      <c r="AK777" s="118"/>
      <c r="AL777" s="118"/>
      <c r="AM777" s="118"/>
      <c r="AN777" s="118"/>
      <c r="AO777" s="118"/>
      <c r="AP777" s="118"/>
      <c r="AQ777" s="118"/>
      <c r="AR777" s="118"/>
      <c r="AS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64"/>
      <c r="O778" s="161"/>
      <c r="P778" s="118"/>
      <c r="Q778" s="118"/>
      <c r="R778" s="117"/>
      <c r="S778" s="117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  <c r="AI778" s="118"/>
      <c r="AJ778" s="118"/>
      <c r="AK778" s="118"/>
      <c r="AL778" s="118"/>
      <c r="AM778" s="118"/>
      <c r="AN778" s="118"/>
      <c r="AO778" s="118"/>
      <c r="AP778" s="118"/>
      <c r="AQ778" s="118"/>
      <c r="AR778" s="118"/>
      <c r="AS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64"/>
      <c r="O779" s="161"/>
      <c r="P779" s="118"/>
      <c r="Q779" s="118"/>
      <c r="R779" s="117"/>
      <c r="S779" s="117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  <c r="AI779" s="118"/>
      <c r="AJ779" s="118"/>
      <c r="AK779" s="118"/>
      <c r="AL779" s="118"/>
      <c r="AM779" s="118"/>
      <c r="AN779" s="118"/>
      <c r="AO779" s="118"/>
      <c r="AP779" s="118"/>
      <c r="AQ779" s="118"/>
      <c r="AR779" s="118"/>
      <c r="AS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64"/>
      <c r="O780" s="161"/>
      <c r="P780" s="118"/>
      <c r="Q780" s="118"/>
      <c r="R780" s="117"/>
      <c r="S780" s="117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  <c r="AI780" s="118"/>
      <c r="AJ780" s="118"/>
      <c r="AK780" s="118"/>
      <c r="AL780" s="118"/>
      <c r="AM780" s="118"/>
      <c r="AN780" s="118"/>
      <c r="AO780" s="118"/>
      <c r="AP780" s="118"/>
      <c r="AQ780" s="118"/>
      <c r="AR780" s="118"/>
      <c r="AS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64"/>
      <c r="O781" s="161"/>
      <c r="P781" s="118"/>
      <c r="Q781" s="118"/>
      <c r="R781" s="117"/>
      <c r="S781" s="117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  <c r="AI781" s="118"/>
      <c r="AJ781" s="118"/>
      <c r="AK781" s="118"/>
      <c r="AL781" s="118"/>
      <c r="AM781" s="118"/>
      <c r="AN781" s="118"/>
      <c r="AO781" s="118"/>
      <c r="AP781" s="118"/>
      <c r="AQ781" s="118"/>
      <c r="AR781" s="118"/>
      <c r="AS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64"/>
      <c r="O782" s="161"/>
      <c r="P782" s="118"/>
      <c r="Q782" s="118"/>
      <c r="R782" s="117"/>
      <c r="S782" s="117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  <c r="AI782" s="118"/>
      <c r="AJ782" s="118"/>
      <c r="AK782" s="118"/>
      <c r="AL782" s="118"/>
      <c r="AM782" s="118"/>
      <c r="AN782" s="118"/>
      <c r="AO782" s="118"/>
      <c r="AP782" s="118"/>
      <c r="AQ782" s="118"/>
      <c r="AR782" s="118"/>
      <c r="AS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64"/>
      <c r="O783" s="161"/>
      <c r="P783" s="118"/>
      <c r="Q783" s="118"/>
      <c r="R783" s="117"/>
      <c r="S783" s="117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  <c r="AI783" s="118"/>
      <c r="AJ783" s="118"/>
      <c r="AK783" s="118"/>
      <c r="AL783" s="118"/>
      <c r="AM783" s="118"/>
      <c r="AN783" s="118"/>
      <c r="AO783" s="118"/>
      <c r="AP783" s="118"/>
      <c r="AQ783" s="118"/>
      <c r="AR783" s="118"/>
      <c r="AS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64"/>
      <c r="O784" s="161"/>
      <c r="P784" s="118"/>
      <c r="Q784" s="118"/>
      <c r="R784" s="117"/>
      <c r="S784" s="117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8"/>
      <c r="AN784" s="118"/>
      <c r="AO784" s="118"/>
      <c r="AP784" s="118"/>
      <c r="AQ784" s="118"/>
      <c r="AR784" s="118"/>
      <c r="AS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64"/>
      <c r="O785" s="161"/>
      <c r="P785" s="118"/>
      <c r="Q785" s="118"/>
      <c r="R785" s="117"/>
      <c r="S785" s="117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  <c r="AI785" s="118"/>
      <c r="AJ785" s="118"/>
      <c r="AK785" s="118"/>
      <c r="AL785" s="118"/>
      <c r="AM785" s="118"/>
      <c r="AN785" s="118"/>
      <c r="AO785" s="118"/>
      <c r="AP785" s="118"/>
      <c r="AQ785" s="118"/>
      <c r="AR785" s="118"/>
      <c r="AS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64"/>
      <c r="O786" s="161"/>
      <c r="P786" s="118"/>
      <c r="Q786" s="118"/>
      <c r="R786" s="117"/>
      <c r="S786" s="117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  <c r="AI786" s="118"/>
      <c r="AJ786" s="118"/>
      <c r="AK786" s="118"/>
      <c r="AL786" s="118"/>
      <c r="AM786" s="118"/>
      <c r="AN786" s="118"/>
      <c r="AO786" s="118"/>
      <c r="AP786" s="118"/>
      <c r="AQ786" s="118"/>
      <c r="AR786" s="118"/>
      <c r="AS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64"/>
      <c r="O787" s="161"/>
      <c r="P787" s="118"/>
      <c r="Q787" s="118"/>
      <c r="R787" s="117"/>
      <c r="S787" s="117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  <c r="AI787" s="118"/>
      <c r="AJ787" s="118"/>
      <c r="AK787" s="118"/>
      <c r="AL787" s="118"/>
      <c r="AM787" s="118"/>
      <c r="AN787" s="118"/>
      <c r="AO787" s="118"/>
      <c r="AP787" s="118"/>
      <c r="AQ787" s="118"/>
      <c r="AR787" s="118"/>
      <c r="AS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64"/>
      <c r="O788" s="161"/>
      <c r="P788" s="118"/>
      <c r="Q788" s="118"/>
      <c r="R788" s="117"/>
      <c r="S788" s="117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  <c r="AI788" s="118"/>
      <c r="AJ788" s="118"/>
      <c r="AK788" s="118"/>
      <c r="AL788" s="118"/>
      <c r="AM788" s="118"/>
      <c r="AN788" s="118"/>
      <c r="AO788" s="118"/>
      <c r="AP788" s="118"/>
      <c r="AQ788" s="118"/>
      <c r="AR788" s="118"/>
      <c r="AS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64"/>
      <c r="O789" s="161"/>
      <c r="P789" s="118"/>
      <c r="Q789" s="118"/>
      <c r="R789" s="117"/>
      <c r="S789" s="117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  <c r="AI789" s="118"/>
      <c r="AJ789" s="118"/>
      <c r="AK789" s="118"/>
      <c r="AL789" s="118"/>
      <c r="AM789" s="118"/>
      <c r="AN789" s="118"/>
      <c r="AO789" s="118"/>
      <c r="AP789" s="118"/>
      <c r="AQ789" s="118"/>
      <c r="AR789" s="118"/>
      <c r="AS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64"/>
      <c r="O790" s="161"/>
      <c r="P790" s="118"/>
      <c r="Q790" s="118"/>
      <c r="R790" s="117"/>
      <c r="S790" s="117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  <c r="AI790" s="118"/>
      <c r="AJ790" s="118"/>
      <c r="AK790" s="118"/>
      <c r="AL790" s="118"/>
      <c r="AM790" s="118"/>
      <c r="AN790" s="118"/>
      <c r="AO790" s="118"/>
      <c r="AP790" s="118"/>
      <c r="AQ790" s="118"/>
      <c r="AR790" s="118"/>
      <c r="AS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64"/>
      <c r="O791" s="161"/>
      <c r="P791" s="118"/>
      <c r="Q791" s="118"/>
      <c r="R791" s="117"/>
      <c r="S791" s="117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  <c r="AI791" s="118"/>
      <c r="AJ791" s="118"/>
      <c r="AK791" s="118"/>
      <c r="AL791" s="118"/>
      <c r="AM791" s="118"/>
      <c r="AN791" s="118"/>
      <c r="AO791" s="118"/>
      <c r="AP791" s="118"/>
      <c r="AQ791" s="118"/>
      <c r="AR791" s="118"/>
      <c r="AS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64"/>
      <c r="O792" s="161"/>
      <c r="P792" s="118"/>
      <c r="Q792" s="118"/>
      <c r="R792" s="117"/>
      <c r="S792" s="117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  <c r="AI792" s="118"/>
      <c r="AJ792" s="118"/>
      <c r="AK792" s="118"/>
      <c r="AL792" s="118"/>
      <c r="AM792" s="118"/>
      <c r="AN792" s="118"/>
      <c r="AO792" s="118"/>
      <c r="AP792" s="118"/>
      <c r="AQ792" s="118"/>
      <c r="AR792" s="118"/>
      <c r="AS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64"/>
      <c r="O793" s="161"/>
      <c r="P793" s="118"/>
      <c r="Q793" s="118"/>
      <c r="R793" s="117"/>
      <c r="S793" s="117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  <c r="AI793" s="118"/>
      <c r="AJ793" s="118"/>
      <c r="AK793" s="118"/>
      <c r="AL793" s="118"/>
      <c r="AM793" s="118"/>
      <c r="AN793" s="118"/>
      <c r="AO793" s="118"/>
      <c r="AP793" s="118"/>
      <c r="AQ793" s="118"/>
      <c r="AR793" s="118"/>
      <c r="AS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64"/>
      <c r="O794" s="161"/>
      <c r="P794" s="118"/>
      <c r="Q794" s="118"/>
      <c r="R794" s="117"/>
      <c r="S794" s="117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  <c r="AI794" s="118"/>
      <c r="AJ794" s="118"/>
      <c r="AK794" s="118"/>
      <c r="AL794" s="118"/>
      <c r="AM794" s="118"/>
      <c r="AN794" s="118"/>
      <c r="AO794" s="118"/>
      <c r="AP794" s="118"/>
      <c r="AQ794" s="118"/>
      <c r="AR794" s="118"/>
      <c r="AS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64"/>
      <c r="O795" s="161"/>
      <c r="P795" s="118"/>
      <c r="Q795" s="118"/>
      <c r="R795" s="117"/>
      <c r="S795" s="117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  <c r="AI795" s="118"/>
      <c r="AJ795" s="118"/>
      <c r="AK795" s="118"/>
      <c r="AL795" s="118"/>
      <c r="AM795" s="118"/>
      <c r="AN795" s="118"/>
      <c r="AO795" s="118"/>
      <c r="AP795" s="118"/>
      <c r="AQ795" s="118"/>
      <c r="AR795" s="118"/>
      <c r="AS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64"/>
      <c r="O796" s="161"/>
      <c r="P796" s="118"/>
      <c r="Q796" s="118"/>
      <c r="R796" s="117"/>
      <c r="S796" s="117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  <c r="AI796" s="118"/>
      <c r="AJ796" s="118"/>
      <c r="AK796" s="118"/>
      <c r="AL796" s="118"/>
      <c r="AM796" s="118"/>
      <c r="AN796" s="118"/>
      <c r="AO796" s="118"/>
      <c r="AP796" s="118"/>
      <c r="AQ796" s="118"/>
      <c r="AR796" s="118"/>
      <c r="AS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64"/>
      <c r="O797" s="161"/>
      <c r="P797" s="118"/>
      <c r="Q797" s="118"/>
      <c r="R797" s="117"/>
      <c r="S797" s="117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  <c r="AI797" s="118"/>
      <c r="AJ797" s="118"/>
      <c r="AK797" s="118"/>
      <c r="AL797" s="118"/>
      <c r="AM797" s="118"/>
      <c r="AN797" s="118"/>
      <c r="AO797" s="118"/>
      <c r="AP797" s="118"/>
      <c r="AQ797" s="118"/>
      <c r="AR797" s="118"/>
      <c r="AS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64"/>
      <c r="O798" s="161"/>
      <c r="P798" s="118"/>
      <c r="Q798" s="118"/>
      <c r="R798" s="117"/>
      <c r="S798" s="117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  <c r="AI798" s="118"/>
      <c r="AJ798" s="118"/>
      <c r="AK798" s="118"/>
      <c r="AL798" s="118"/>
      <c r="AM798" s="118"/>
      <c r="AN798" s="118"/>
      <c r="AO798" s="118"/>
      <c r="AP798" s="118"/>
      <c r="AQ798" s="118"/>
      <c r="AR798" s="118"/>
      <c r="AS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64"/>
      <c r="O799" s="161"/>
      <c r="P799" s="118"/>
      <c r="Q799" s="118"/>
      <c r="R799" s="117"/>
      <c r="S799" s="117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  <c r="AI799" s="118"/>
      <c r="AJ799" s="118"/>
      <c r="AK799" s="118"/>
      <c r="AL799" s="118"/>
      <c r="AM799" s="118"/>
      <c r="AN799" s="118"/>
      <c r="AO799" s="118"/>
      <c r="AP799" s="118"/>
      <c r="AQ799" s="118"/>
      <c r="AR799" s="118"/>
      <c r="AS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64"/>
      <c r="O800" s="161"/>
      <c r="P800" s="118"/>
      <c r="Q800" s="118"/>
      <c r="R800" s="117"/>
      <c r="S800" s="117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  <c r="AI800" s="118"/>
      <c r="AJ800" s="118"/>
      <c r="AK800" s="118"/>
      <c r="AL800" s="118"/>
      <c r="AM800" s="118"/>
      <c r="AN800" s="118"/>
      <c r="AO800" s="118"/>
      <c r="AP800" s="118"/>
      <c r="AQ800" s="118"/>
      <c r="AR800" s="118"/>
      <c r="AS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64"/>
      <c r="O801" s="161"/>
      <c r="P801" s="118"/>
      <c r="Q801" s="118"/>
      <c r="R801" s="117"/>
      <c r="S801" s="117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  <c r="AI801" s="118"/>
      <c r="AJ801" s="118"/>
      <c r="AK801" s="118"/>
      <c r="AL801" s="118"/>
      <c r="AM801" s="118"/>
      <c r="AN801" s="118"/>
      <c r="AO801" s="118"/>
      <c r="AP801" s="118"/>
      <c r="AQ801" s="118"/>
      <c r="AR801" s="118"/>
      <c r="AS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64"/>
      <c r="O802" s="161"/>
      <c r="P802" s="118"/>
      <c r="Q802" s="118"/>
      <c r="R802" s="117"/>
      <c r="S802" s="117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  <c r="AI802" s="118"/>
      <c r="AJ802" s="118"/>
      <c r="AK802" s="118"/>
      <c r="AL802" s="118"/>
      <c r="AM802" s="118"/>
      <c r="AN802" s="118"/>
      <c r="AO802" s="118"/>
      <c r="AP802" s="118"/>
      <c r="AQ802" s="118"/>
      <c r="AR802" s="118"/>
      <c r="AS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64"/>
      <c r="O803" s="161"/>
      <c r="P803" s="118"/>
      <c r="Q803" s="118"/>
      <c r="R803" s="117"/>
      <c r="S803" s="117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  <c r="AI803" s="118"/>
      <c r="AJ803" s="118"/>
      <c r="AK803" s="118"/>
      <c r="AL803" s="118"/>
      <c r="AM803" s="118"/>
      <c r="AN803" s="118"/>
      <c r="AO803" s="118"/>
      <c r="AP803" s="118"/>
      <c r="AQ803" s="118"/>
      <c r="AR803" s="118"/>
      <c r="AS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64"/>
      <c r="O804" s="161"/>
      <c r="P804" s="118"/>
      <c r="Q804" s="118"/>
      <c r="R804" s="117"/>
      <c r="S804" s="117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  <c r="AI804" s="118"/>
      <c r="AJ804" s="118"/>
      <c r="AK804" s="118"/>
      <c r="AL804" s="118"/>
      <c r="AM804" s="118"/>
      <c r="AN804" s="118"/>
      <c r="AO804" s="118"/>
      <c r="AP804" s="118"/>
      <c r="AQ804" s="118"/>
      <c r="AR804" s="118"/>
      <c r="AS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64"/>
      <c r="O805" s="161"/>
      <c r="P805" s="118"/>
      <c r="Q805" s="118"/>
      <c r="R805" s="117"/>
      <c r="S805" s="117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  <c r="AI805" s="118"/>
      <c r="AJ805" s="118"/>
      <c r="AK805" s="118"/>
      <c r="AL805" s="118"/>
      <c r="AM805" s="118"/>
      <c r="AN805" s="118"/>
      <c r="AO805" s="118"/>
      <c r="AP805" s="118"/>
      <c r="AQ805" s="118"/>
      <c r="AR805" s="118"/>
      <c r="AS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64"/>
      <c r="O806" s="161"/>
      <c r="P806" s="118"/>
      <c r="Q806" s="118"/>
      <c r="R806" s="117"/>
      <c r="S806" s="117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  <c r="AI806" s="118"/>
      <c r="AJ806" s="118"/>
      <c r="AK806" s="118"/>
      <c r="AL806" s="118"/>
      <c r="AM806" s="118"/>
      <c r="AN806" s="118"/>
      <c r="AO806" s="118"/>
      <c r="AP806" s="118"/>
      <c r="AQ806" s="118"/>
      <c r="AR806" s="118"/>
      <c r="AS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64"/>
      <c r="O807" s="161"/>
      <c r="P807" s="118"/>
      <c r="Q807" s="118"/>
      <c r="R807" s="117"/>
      <c r="S807" s="117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  <c r="AI807" s="118"/>
      <c r="AJ807" s="118"/>
      <c r="AK807" s="118"/>
      <c r="AL807" s="118"/>
      <c r="AM807" s="118"/>
      <c r="AN807" s="118"/>
      <c r="AO807" s="118"/>
      <c r="AP807" s="118"/>
      <c r="AQ807" s="118"/>
      <c r="AR807" s="118"/>
      <c r="AS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64"/>
      <c r="O808" s="161"/>
      <c r="P808" s="118"/>
      <c r="Q808" s="118"/>
      <c r="R808" s="117"/>
      <c r="S808" s="117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  <c r="AI808" s="118"/>
      <c r="AJ808" s="118"/>
      <c r="AK808" s="118"/>
      <c r="AL808" s="118"/>
      <c r="AM808" s="118"/>
      <c r="AN808" s="118"/>
      <c r="AO808" s="118"/>
      <c r="AP808" s="118"/>
      <c r="AQ808" s="118"/>
      <c r="AR808" s="118"/>
      <c r="AS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64"/>
      <c r="O809" s="161"/>
      <c r="P809" s="118"/>
      <c r="Q809" s="118"/>
      <c r="R809" s="117"/>
      <c r="S809" s="117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  <c r="AI809" s="118"/>
      <c r="AJ809" s="118"/>
      <c r="AK809" s="118"/>
      <c r="AL809" s="118"/>
      <c r="AM809" s="118"/>
      <c r="AN809" s="118"/>
      <c r="AO809" s="118"/>
      <c r="AP809" s="118"/>
      <c r="AQ809" s="118"/>
      <c r="AR809" s="118"/>
      <c r="AS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64"/>
      <c r="O810" s="161"/>
      <c r="P810" s="118"/>
      <c r="Q810" s="118"/>
      <c r="R810" s="117"/>
      <c r="S810" s="117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  <c r="AI810" s="118"/>
      <c r="AJ810" s="118"/>
      <c r="AK810" s="118"/>
      <c r="AL810" s="118"/>
      <c r="AM810" s="118"/>
      <c r="AN810" s="118"/>
      <c r="AO810" s="118"/>
      <c r="AP810" s="118"/>
      <c r="AQ810" s="118"/>
      <c r="AR810" s="118"/>
      <c r="AS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64"/>
      <c r="O811" s="161"/>
      <c r="P811" s="118"/>
      <c r="Q811" s="118"/>
      <c r="R811" s="117"/>
      <c r="S811" s="117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  <c r="AI811" s="118"/>
      <c r="AJ811" s="118"/>
      <c r="AK811" s="118"/>
      <c r="AL811" s="118"/>
      <c r="AM811" s="118"/>
      <c r="AN811" s="118"/>
      <c r="AO811" s="118"/>
      <c r="AP811" s="118"/>
      <c r="AQ811" s="118"/>
      <c r="AR811" s="118"/>
      <c r="AS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64"/>
      <c r="O812" s="161"/>
      <c r="P812" s="118"/>
      <c r="Q812" s="118"/>
      <c r="R812" s="117"/>
      <c r="S812" s="117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  <c r="AI812" s="118"/>
      <c r="AJ812" s="118"/>
      <c r="AK812" s="118"/>
      <c r="AL812" s="118"/>
      <c r="AM812" s="118"/>
      <c r="AN812" s="118"/>
      <c r="AO812" s="118"/>
      <c r="AP812" s="118"/>
      <c r="AQ812" s="118"/>
      <c r="AR812" s="118"/>
      <c r="AS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64"/>
      <c r="O813" s="161"/>
      <c r="P813" s="118"/>
      <c r="Q813" s="118"/>
      <c r="R813" s="117"/>
      <c r="S813" s="117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  <c r="AI813" s="118"/>
      <c r="AJ813" s="118"/>
      <c r="AK813" s="118"/>
      <c r="AL813" s="118"/>
      <c r="AM813" s="118"/>
      <c r="AN813" s="118"/>
      <c r="AO813" s="118"/>
      <c r="AP813" s="118"/>
      <c r="AQ813" s="118"/>
      <c r="AR813" s="118"/>
      <c r="AS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64"/>
      <c r="O814" s="161"/>
      <c r="P814" s="118"/>
      <c r="Q814" s="118"/>
      <c r="R814" s="117"/>
      <c r="S814" s="117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  <c r="AI814" s="118"/>
      <c r="AJ814" s="118"/>
      <c r="AK814" s="118"/>
      <c r="AL814" s="118"/>
      <c r="AM814" s="118"/>
      <c r="AN814" s="118"/>
      <c r="AO814" s="118"/>
      <c r="AP814" s="118"/>
      <c r="AQ814" s="118"/>
      <c r="AR814" s="118"/>
      <c r="AS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64"/>
      <c r="O815" s="161"/>
      <c r="P815" s="118"/>
      <c r="Q815" s="118"/>
      <c r="R815" s="117"/>
      <c r="S815" s="117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  <c r="AI815" s="118"/>
      <c r="AJ815" s="118"/>
      <c r="AK815" s="118"/>
      <c r="AL815" s="118"/>
      <c r="AM815" s="118"/>
      <c r="AN815" s="118"/>
      <c r="AO815" s="118"/>
      <c r="AP815" s="118"/>
      <c r="AQ815" s="118"/>
      <c r="AR815" s="118"/>
      <c r="AS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64"/>
      <c r="O816" s="161"/>
      <c r="P816" s="118"/>
      <c r="Q816" s="118"/>
      <c r="R816" s="117"/>
      <c r="S816" s="117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64"/>
      <c r="O817" s="161"/>
      <c r="P817" s="118"/>
      <c r="Q817" s="118"/>
      <c r="R817" s="117"/>
      <c r="S817" s="117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  <c r="AI817" s="118"/>
      <c r="AJ817" s="118"/>
      <c r="AK817" s="118"/>
      <c r="AL817" s="118"/>
      <c r="AM817" s="118"/>
      <c r="AN817" s="118"/>
      <c r="AO817" s="118"/>
      <c r="AP817" s="118"/>
      <c r="AQ817" s="118"/>
      <c r="AR817" s="118"/>
      <c r="AS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64"/>
      <c r="O818" s="161"/>
      <c r="P818" s="118"/>
      <c r="Q818" s="118"/>
      <c r="R818" s="117"/>
      <c r="S818" s="117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  <c r="AI818" s="118"/>
      <c r="AJ818" s="118"/>
      <c r="AK818" s="118"/>
      <c r="AL818" s="118"/>
      <c r="AM818" s="118"/>
      <c r="AN818" s="118"/>
      <c r="AO818" s="118"/>
      <c r="AP818" s="118"/>
      <c r="AQ818" s="118"/>
      <c r="AR818" s="118"/>
      <c r="AS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64"/>
      <c r="O819" s="161"/>
      <c r="P819" s="118"/>
      <c r="Q819" s="118"/>
      <c r="R819" s="117"/>
      <c r="S819" s="117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  <c r="AI819" s="118"/>
      <c r="AJ819" s="118"/>
      <c r="AK819" s="118"/>
      <c r="AL819" s="118"/>
      <c r="AM819" s="118"/>
      <c r="AN819" s="118"/>
      <c r="AO819" s="118"/>
      <c r="AP819" s="118"/>
      <c r="AQ819" s="118"/>
      <c r="AR819" s="118"/>
      <c r="AS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64"/>
      <c r="O820" s="161"/>
      <c r="P820" s="118"/>
      <c r="Q820" s="118"/>
      <c r="R820" s="117"/>
      <c r="S820" s="117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  <c r="AI820" s="118"/>
      <c r="AJ820" s="118"/>
      <c r="AK820" s="118"/>
      <c r="AL820" s="118"/>
      <c r="AM820" s="118"/>
      <c r="AN820" s="118"/>
      <c r="AO820" s="118"/>
      <c r="AP820" s="118"/>
      <c r="AQ820" s="118"/>
      <c r="AR820" s="118"/>
      <c r="AS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64"/>
      <c r="O821" s="161"/>
      <c r="P821" s="118"/>
      <c r="Q821" s="118"/>
      <c r="R821" s="117"/>
      <c r="S821" s="117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  <c r="AI821" s="118"/>
      <c r="AJ821" s="118"/>
      <c r="AK821" s="118"/>
      <c r="AL821" s="118"/>
      <c r="AM821" s="118"/>
      <c r="AN821" s="118"/>
      <c r="AO821" s="118"/>
      <c r="AP821" s="118"/>
      <c r="AQ821" s="118"/>
      <c r="AR821" s="118"/>
      <c r="AS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64"/>
      <c r="O822" s="161"/>
      <c r="P822" s="118"/>
      <c r="Q822" s="118"/>
      <c r="R822" s="117"/>
      <c r="S822" s="117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8"/>
      <c r="AN822" s="118"/>
      <c r="AO822" s="118"/>
      <c r="AP822" s="118"/>
      <c r="AQ822" s="118"/>
      <c r="AR822" s="118"/>
      <c r="AS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64"/>
      <c r="O823" s="161"/>
      <c r="P823" s="118"/>
      <c r="Q823" s="118"/>
      <c r="R823" s="117"/>
      <c r="S823" s="117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  <c r="AI823" s="118"/>
      <c r="AJ823" s="118"/>
      <c r="AK823" s="118"/>
      <c r="AL823" s="118"/>
      <c r="AM823" s="118"/>
      <c r="AN823" s="118"/>
      <c r="AO823" s="118"/>
      <c r="AP823" s="118"/>
      <c r="AQ823" s="118"/>
      <c r="AR823" s="118"/>
      <c r="AS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64"/>
      <c r="O824" s="161"/>
      <c r="P824" s="118"/>
      <c r="Q824" s="118"/>
      <c r="R824" s="117"/>
      <c r="S824" s="117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  <c r="AI824" s="118"/>
      <c r="AJ824" s="118"/>
      <c r="AK824" s="118"/>
      <c r="AL824" s="118"/>
      <c r="AM824" s="118"/>
      <c r="AN824" s="118"/>
      <c r="AO824" s="118"/>
      <c r="AP824" s="118"/>
      <c r="AQ824" s="118"/>
      <c r="AR824" s="118"/>
      <c r="AS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64"/>
      <c r="O825" s="161"/>
      <c r="P825" s="161"/>
      <c r="Q825" s="118"/>
      <c r="R825" s="117"/>
      <c r="S825" s="117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  <c r="AI825" s="118"/>
      <c r="AJ825" s="118"/>
      <c r="AK825" s="118"/>
      <c r="AL825" s="118"/>
      <c r="AM825" s="118"/>
      <c r="AN825" s="118"/>
      <c r="AO825" s="118"/>
      <c r="AP825" s="118"/>
      <c r="AQ825" s="118"/>
      <c r="AR825" s="118"/>
      <c r="AS825" s="118"/>
    </row>
    <row r="826">
      <c r="A826" s="118"/>
      <c r="B826" s="118"/>
      <c r="C826" s="118"/>
      <c r="D826" s="118"/>
      <c r="E826" s="118"/>
      <c r="F826" s="118"/>
      <c r="G826" s="118"/>
      <c r="H826" s="161"/>
      <c r="I826" s="161"/>
      <c r="J826" s="118"/>
      <c r="K826" s="118"/>
      <c r="L826" s="118"/>
      <c r="M826" s="118"/>
      <c r="N826" s="164"/>
      <c r="O826" s="161"/>
      <c r="P826" s="161"/>
      <c r="Q826" s="118"/>
      <c r="R826" s="117"/>
      <c r="S826" s="117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  <c r="AI826" s="118"/>
      <c r="AJ826" s="118"/>
      <c r="AK826" s="118"/>
      <c r="AL826" s="118"/>
      <c r="AM826" s="118"/>
      <c r="AN826" s="118"/>
      <c r="AO826" s="118"/>
      <c r="AP826" s="118"/>
      <c r="AQ826" s="118"/>
      <c r="AR826" s="118"/>
      <c r="AS826" s="118"/>
    </row>
    <row r="827">
      <c r="A827" s="118"/>
      <c r="B827" s="118"/>
      <c r="C827" s="118"/>
      <c r="D827" s="118"/>
      <c r="E827" s="118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18"/>
      <c r="R827" s="117"/>
      <c r="S827" s="117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  <c r="AI827" s="118"/>
      <c r="AJ827" s="118"/>
      <c r="AK827" s="118"/>
      <c r="AL827" s="118"/>
      <c r="AM827" s="118"/>
      <c r="AN827" s="118"/>
      <c r="AO827" s="118"/>
      <c r="AP827" s="118"/>
      <c r="AQ827" s="118"/>
      <c r="AR827" s="118"/>
      <c r="AS827" s="118"/>
    </row>
    <row r="828">
      <c r="A828" s="118"/>
      <c r="B828" s="118"/>
      <c r="C828" s="118"/>
      <c r="D828" s="118"/>
      <c r="E828" s="118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18"/>
      <c r="R828" s="117"/>
      <c r="S828" s="117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  <c r="AI828" s="118"/>
      <c r="AJ828" s="118"/>
      <c r="AK828" s="118"/>
      <c r="AL828" s="118"/>
      <c r="AM828" s="118"/>
      <c r="AN828" s="118"/>
      <c r="AO828" s="118"/>
      <c r="AP828" s="118"/>
      <c r="AQ828" s="118"/>
      <c r="AR828" s="118"/>
      <c r="AS828" s="118"/>
    </row>
    <row r="829">
      <c r="A829" s="118"/>
      <c r="B829" s="118"/>
      <c r="C829" s="118"/>
      <c r="D829" s="118"/>
      <c r="E829" s="118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18"/>
      <c r="R829" s="117"/>
      <c r="S829" s="117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  <c r="AL829" s="118"/>
      <c r="AM829" s="118"/>
      <c r="AN829" s="118"/>
      <c r="AO829" s="118"/>
      <c r="AP829" s="118"/>
      <c r="AQ829" s="118"/>
      <c r="AR829" s="118"/>
      <c r="AS829" s="118"/>
    </row>
    <row r="830">
      <c r="A830" s="118"/>
      <c r="B830" s="118"/>
      <c r="C830" s="118"/>
      <c r="D830" s="118"/>
      <c r="E830" s="118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18"/>
      <c r="R830" s="117"/>
      <c r="S830" s="117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  <c r="AL830" s="118"/>
      <c r="AM830" s="118"/>
      <c r="AN830" s="118"/>
      <c r="AO830" s="118"/>
      <c r="AP830" s="118"/>
      <c r="AQ830" s="118"/>
      <c r="AR830" s="118"/>
      <c r="AS830" s="118"/>
    </row>
    <row r="831">
      <c r="A831" s="118"/>
      <c r="B831" s="118"/>
      <c r="C831" s="118"/>
      <c r="D831" s="118"/>
      <c r="E831" s="118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18"/>
      <c r="R831" s="117"/>
      <c r="S831" s="117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  <c r="AI831" s="118"/>
      <c r="AJ831" s="118"/>
      <c r="AK831" s="118"/>
      <c r="AL831" s="118"/>
      <c r="AM831" s="118"/>
      <c r="AN831" s="118"/>
      <c r="AO831" s="118"/>
      <c r="AP831" s="118"/>
      <c r="AQ831" s="118"/>
      <c r="AR831" s="118"/>
      <c r="AS831" s="118"/>
    </row>
    <row r="832">
      <c r="A832" s="118"/>
      <c r="B832" s="118"/>
      <c r="C832" s="118"/>
      <c r="D832" s="118"/>
      <c r="E832" s="118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18"/>
      <c r="R832" s="117"/>
      <c r="S832" s="117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  <c r="AI832" s="118"/>
      <c r="AJ832" s="118"/>
      <c r="AK832" s="118"/>
      <c r="AL832" s="118"/>
      <c r="AM832" s="118"/>
      <c r="AN832" s="118"/>
      <c r="AO832" s="118"/>
      <c r="AP832" s="118"/>
      <c r="AQ832" s="118"/>
      <c r="AR832" s="118"/>
      <c r="AS832" s="118"/>
    </row>
    <row r="833">
      <c r="A833" s="118"/>
      <c r="B833" s="118"/>
      <c r="C833" s="118"/>
      <c r="D833" s="118"/>
      <c r="E833" s="118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18"/>
      <c r="R833" s="117"/>
      <c r="S833" s="117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  <c r="AI833" s="118"/>
      <c r="AJ833" s="118"/>
      <c r="AK833" s="118"/>
      <c r="AL833" s="118"/>
      <c r="AM833" s="118"/>
      <c r="AN833" s="118"/>
      <c r="AO833" s="118"/>
      <c r="AP833" s="118"/>
      <c r="AQ833" s="118"/>
      <c r="AR833" s="118"/>
      <c r="AS833" s="118"/>
    </row>
    <row r="834">
      <c r="A834" s="118"/>
      <c r="B834" s="118"/>
      <c r="C834" s="118"/>
      <c r="D834" s="118"/>
      <c r="E834" s="118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18"/>
      <c r="R834" s="117"/>
      <c r="S834" s="117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  <c r="AI834" s="118"/>
      <c r="AJ834" s="118"/>
      <c r="AK834" s="118"/>
      <c r="AL834" s="118"/>
      <c r="AM834" s="118"/>
      <c r="AN834" s="118"/>
      <c r="AO834" s="118"/>
      <c r="AP834" s="118"/>
      <c r="AQ834" s="118"/>
      <c r="AR834" s="118"/>
      <c r="AS834" s="118"/>
    </row>
    <row r="835">
      <c r="A835" s="118"/>
      <c r="B835" s="118"/>
      <c r="C835" s="118"/>
      <c r="D835" s="118"/>
      <c r="E835" s="118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18"/>
      <c r="R835" s="117"/>
      <c r="S835" s="117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  <c r="AI835" s="118"/>
      <c r="AJ835" s="118"/>
      <c r="AK835" s="118"/>
      <c r="AL835" s="118"/>
      <c r="AM835" s="118"/>
      <c r="AN835" s="118"/>
      <c r="AO835" s="118"/>
      <c r="AP835" s="118"/>
      <c r="AQ835" s="118"/>
      <c r="AR835" s="118"/>
      <c r="AS835" s="118"/>
    </row>
    <row r="836">
      <c r="A836" s="118"/>
      <c r="B836" s="118"/>
      <c r="C836" s="118"/>
      <c r="D836" s="118"/>
      <c r="E836" s="118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18"/>
      <c r="R836" s="117"/>
      <c r="S836" s="117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  <c r="AI836" s="118"/>
      <c r="AJ836" s="118"/>
      <c r="AK836" s="118"/>
      <c r="AL836" s="118"/>
      <c r="AM836" s="118"/>
      <c r="AN836" s="118"/>
      <c r="AO836" s="118"/>
      <c r="AP836" s="118"/>
      <c r="AQ836" s="118"/>
      <c r="AR836" s="118"/>
      <c r="AS836" s="118"/>
    </row>
    <row r="837">
      <c r="A837" s="118"/>
      <c r="B837" s="118"/>
      <c r="C837" s="118"/>
      <c r="D837" s="118"/>
      <c r="E837" s="118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18"/>
      <c r="R837" s="117"/>
      <c r="S837" s="117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  <c r="AI837" s="118"/>
      <c r="AJ837" s="118"/>
      <c r="AK837" s="118"/>
      <c r="AL837" s="118"/>
      <c r="AM837" s="118"/>
      <c r="AN837" s="118"/>
      <c r="AO837" s="118"/>
      <c r="AP837" s="118"/>
      <c r="AQ837" s="118"/>
      <c r="AR837" s="118"/>
      <c r="AS837" s="118"/>
    </row>
    <row r="838">
      <c r="A838" s="118"/>
      <c r="B838" s="118"/>
      <c r="C838" s="118"/>
      <c r="D838" s="118"/>
      <c r="E838" s="118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18"/>
      <c r="R838" s="117"/>
      <c r="S838" s="117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  <c r="AI838" s="118"/>
      <c r="AJ838" s="118"/>
      <c r="AK838" s="118"/>
      <c r="AL838" s="118"/>
      <c r="AM838" s="118"/>
      <c r="AN838" s="118"/>
      <c r="AO838" s="118"/>
      <c r="AP838" s="118"/>
      <c r="AQ838" s="118"/>
      <c r="AR838" s="118"/>
      <c r="AS838" s="118"/>
    </row>
    <row r="839">
      <c r="A839" s="118"/>
      <c r="B839" s="118"/>
      <c r="C839" s="118"/>
      <c r="D839" s="118"/>
      <c r="E839" s="118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18"/>
      <c r="R839" s="117"/>
      <c r="S839" s="117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  <c r="AI839" s="118"/>
      <c r="AJ839" s="118"/>
      <c r="AK839" s="118"/>
      <c r="AL839" s="118"/>
      <c r="AM839" s="118"/>
      <c r="AN839" s="118"/>
      <c r="AO839" s="118"/>
      <c r="AP839" s="118"/>
      <c r="AQ839" s="118"/>
      <c r="AR839" s="118"/>
      <c r="AS839" s="118"/>
    </row>
    <row r="840">
      <c r="A840" s="118"/>
      <c r="B840" s="118"/>
      <c r="C840" s="118"/>
      <c r="D840" s="118"/>
      <c r="E840" s="118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18"/>
      <c r="R840" s="117"/>
      <c r="S840" s="117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  <c r="AI840" s="118"/>
      <c r="AJ840" s="118"/>
      <c r="AK840" s="118"/>
      <c r="AL840" s="118"/>
      <c r="AM840" s="118"/>
      <c r="AN840" s="118"/>
      <c r="AO840" s="118"/>
      <c r="AP840" s="118"/>
      <c r="AQ840" s="118"/>
      <c r="AR840" s="118"/>
      <c r="AS840" s="118"/>
    </row>
    <row r="841">
      <c r="A841" s="118"/>
      <c r="B841" s="118"/>
      <c r="C841" s="118"/>
      <c r="D841" s="118"/>
      <c r="E841" s="118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17"/>
      <c r="S841" s="117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  <c r="AI841" s="118"/>
      <c r="AJ841" s="118"/>
      <c r="AK841" s="118"/>
      <c r="AL841" s="118"/>
      <c r="AM841" s="118"/>
      <c r="AN841" s="118"/>
      <c r="AO841" s="118"/>
      <c r="AP841" s="118"/>
      <c r="AQ841" s="118"/>
      <c r="AR841" s="118"/>
      <c r="AS841" s="118"/>
    </row>
    <row r="842">
      <c r="A842" s="118"/>
      <c r="B842" s="118"/>
      <c r="C842" s="118"/>
      <c r="D842" s="118"/>
      <c r="E842" s="118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17"/>
      <c r="S842" s="117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  <c r="AI842" s="118"/>
      <c r="AJ842" s="118"/>
      <c r="AK842" s="118"/>
      <c r="AL842" s="118"/>
      <c r="AM842" s="118"/>
      <c r="AN842" s="118"/>
      <c r="AO842" s="118"/>
      <c r="AP842" s="118"/>
      <c r="AQ842" s="118"/>
      <c r="AR842" s="118"/>
      <c r="AS842" s="118"/>
    </row>
    <row r="843">
      <c r="A843" s="118"/>
      <c r="B843" s="118"/>
      <c r="C843" s="118"/>
      <c r="D843" s="118"/>
      <c r="E843" s="118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17"/>
      <c r="S843" s="117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  <c r="AI843" s="118"/>
      <c r="AJ843" s="118"/>
      <c r="AK843" s="118"/>
      <c r="AL843" s="118"/>
      <c r="AM843" s="118"/>
      <c r="AN843" s="118"/>
      <c r="AO843" s="118"/>
      <c r="AP843" s="118"/>
      <c r="AQ843" s="118"/>
      <c r="AR843" s="118"/>
      <c r="AS843" s="118"/>
    </row>
    <row r="844">
      <c r="A844" s="118"/>
      <c r="B844" s="118"/>
      <c r="C844" s="118"/>
      <c r="D844" s="118"/>
      <c r="E844" s="118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17"/>
      <c r="S844" s="117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  <c r="AI844" s="118"/>
      <c r="AJ844" s="118"/>
      <c r="AK844" s="118"/>
      <c r="AL844" s="118"/>
      <c r="AM844" s="118"/>
      <c r="AN844" s="118"/>
      <c r="AO844" s="118"/>
      <c r="AP844" s="118"/>
      <c r="AQ844" s="118"/>
      <c r="AR844" s="118"/>
      <c r="AS844" s="118"/>
    </row>
    <row r="845">
      <c r="A845" s="118"/>
      <c r="B845" s="118"/>
      <c r="C845" s="118"/>
      <c r="D845" s="118"/>
      <c r="E845" s="118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17"/>
      <c r="S845" s="117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  <c r="AH845" s="118"/>
      <c r="AI845" s="118"/>
      <c r="AJ845" s="118"/>
      <c r="AK845" s="118"/>
      <c r="AL845" s="118"/>
      <c r="AM845" s="118"/>
      <c r="AN845" s="118"/>
      <c r="AO845" s="118"/>
      <c r="AP845" s="118"/>
      <c r="AQ845" s="118"/>
      <c r="AR845" s="118"/>
      <c r="AS845" s="118"/>
    </row>
    <row r="846">
      <c r="A846" s="118"/>
      <c r="B846" s="118"/>
      <c r="C846" s="118"/>
      <c r="D846" s="118"/>
      <c r="E846" s="118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17"/>
      <c r="S846" s="117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  <c r="AH846" s="118"/>
      <c r="AI846" s="118"/>
      <c r="AJ846" s="118"/>
      <c r="AK846" s="118"/>
      <c r="AL846" s="118"/>
      <c r="AM846" s="118"/>
      <c r="AN846" s="118"/>
      <c r="AO846" s="118"/>
      <c r="AP846" s="118"/>
      <c r="AQ846" s="118"/>
      <c r="AR846" s="118"/>
      <c r="AS846" s="118"/>
    </row>
    <row r="847">
      <c r="A847" s="118"/>
      <c r="B847" s="118"/>
      <c r="C847" s="118"/>
      <c r="D847" s="118"/>
      <c r="E847" s="118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17"/>
      <c r="S847" s="117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  <c r="AH847" s="118"/>
      <c r="AI847" s="118"/>
      <c r="AJ847" s="118"/>
      <c r="AK847" s="118"/>
      <c r="AL847" s="118"/>
      <c r="AM847" s="118"/>
      <c r="AN847" s="118"/>
      <c r="AO847" s="118"/>
      <c r="AP847" s="118"/>
      <c r="AQ847" s="118"/>
      <c r="AR847" s="118"/>
      <c r="AS847" s="118"/>
    </row>
    <row r="848">
      <c r="A848" s="118"/>
      <c r="B848" s="118"/>
      <c r="C848" s="118"/>
      <c r="D848" s="118"/>
      <c r="E848" s="118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17"/>
      <c r="S848" s="117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  <c r="AH848" s="118"/>
      <c r="AI848" s="118"/>
      <c r="AJ848" s="118"/>
      <c r="AK848" s="118"/>
      <c r="AL848" s="118"/>
      <c r="AM848" s="118"/>
      <c r="AN848" s="118"/>
      <c r="AO848" s="118"/>
      <c r="AP848" s="118"/>
      <c r="AQ848" s="118"/>
      <c r="AR848" s="118"/>
      <c r="AS848" s="118"/>
    </row>
    <row r="849">
      <c r="A849" s="118"/>
      <c r="B849" s="118"/>
      <c r="C849" s="118"/>
      <c r="D849" s="118"/>
      <c r="E849" s="118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17"/>
      <c r="S849" s="117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  <c r="AH849" s="118"/>
      <c r="AI849" s="118"/>
      <c r="AJ849" s="118"/>
      <c r="AK849" s="118"/>
      <c r="AL849" s="118"/>
      <c r="AM849" s="118"/>
      <c r="AN849" s="118"/>
      <c r="AO849" s="118"/>
      <c r="AP849" s="118"/>
      <c r="AQ849" s="118"/>
      <c r="AR849" s="118"/>
      <c r="AS849" s="118"/>
    </row>
    <row r="850">
      <c r="A850" s="118"/>
      <c r="B850" s="118"/>
      <c r="C850" s="118"/>
      <c r="D850" s="118"/>
      <c r="E850" s="118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17"/>
      <c r="S850" s="117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  <c r="AH850" s="118"/>
      <c r="AI850" s="118"/>
      <c r="AJ850" s="118"/>
      <c r="AK850" s="118"/>
      <c r="AL850" s="118"/>
      <c r="AM850" s="118"/>
      <c r="AN850" s="118"/>
      <c r="AO850" s="118"/>
      <c r="AP850" s="118"/>
      <c r="AQ850" s="118"/>
      <c r="AR850" s="118"/>
      <c r="AS850" s="118"/>
    </row>
    <row r="851">
      <c r="A851" s="118"/>
      <c r="B851" s="118"/>
      <c r="C851" s="118"/>
      <c r="D851" s="118"/>
      <c r="E851" s="118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17"/>
      <c r="S851" s="117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  <c r="AH851" s="118"/>
      <c r="AI851" s="118"/>
      <c r="AJ851" s="118"/>
      <c r="AK851" s="118"/>
      <c r="AL851" s="118"/>
      <c r="AM851" s="118"/>
      <c r="AN851" s="118"/>
      <c r="AO851" s="118"/>
      <c r="AP851" s="118"/>
      <c r="AQ851" s="118"/>
      <c r="AR851" s="118"/>
      <c r="AS851" s="118"/>
    </row>
    <row r="852">
      <c r="A852" s="118"/>
      <c r="B852" s="118"/>
      <c r="C852" s="118"/>
      <c r="D852" s="118"/>
      <c r="E852" s="118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17"/>
      <c r="S852" s="117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  <c r="AH852" s="118"/>
      <c r="AI852" s="118"/>
      <c r="AJ852" s="118"/>
      <c r="AK852" s="118"/>
      <c r="AL852" s="118"/>
      <c r="AM852" s="118"/>
      <c r="AN852" s="118"/>
      <c r="AO852" s="118"/>
      <c r="AP852" s="118"/>
      <c r="AQ852" s="118"/>
      <c r="AR852" s="118"/>
      <c r="AS852" s="118"/>
    </row>
  </sheetData>
  <mergeCells count="15">
    <mergeCell ref="G3:G4"/>
    <mergeCell ref="H3:H4"/>
    <mergeCell ref="I3:I4"/>
    <mergeCell ref="J3:M3"/>
    <mergeCell ref="N3:N4"/>
    <mergeCell ref="O3:O4"/>
    <mergeCell ref="P3:P4"/>
    <mergeCell ref="Q3:Q4"/>
    <mergeCell ref="J1:M1"/>
    <mergeCell ref="A3:A4"/>
    <mergeCell ref="B3:B4"/>
    <mergeCell ref="C3:C4"/>
    <mergeCell ref="D3:D4"/>
    <mergeCell ref="E3:E4"/>
    <mergeCell ref="F3:F4"/>
  </mergeCells>
  <dataValidations>
    <dataValidation type="list" allowBlank="1" showErrorMessage="1" sqref="S20">
      <formula1>#REF!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13"/>
    <col customWidth="1" min="3" max="3" width="4.0"/>
    <col customWidth="1" hidden="1" min="4" max="4" width="3.88"/>
    <col customWidth="1" min="5" max="5" width="16.5"/>
    <col customWidth="1" hidden="1" min="6" max="6" width="16.75"/>
    <col customWidth="1" hidden="1" min="7" max="7" width="17.88"/>
    <col customWidth="1" min="8" max="9" width="2.88"/>
    <col customWidth="1" min="10" max="10" width="15.38"/>
    <col customWidth="1" min="11" max="11" width="19.88"/>
    <col customWidth="1" min="12" max="12" width="20.25"/>
    <col customWidth="1" min="13" max="13" width="18.75"/>
    <col customWidth="1" min="14" max="14" width="4.75"/>
    <col customWidth="1" min="15" max="15" width="5.75"/>
    <col customWidth="1" min="16" max="16" width="23.38"/>
    <col customWidth="1" min="17" max="17" width="23.25"/>
    <col customWidth="1" min="18" max="18" width="15.88"/>
    <col customWidth="1" min="19" max="19" width="24.25"/>
    <col customWidth="1" min="20" max="20" width="30.88"/>
  </cols>
  <sheetData>
    <row r="1" ht="23.25" customHeight="1">
      <c r="A1" s="106" t="s">
        <v>262</v>
      </c>
      <c r="B1" s="107">
        <f>NOW()</f>
        <v>46137.95904</v>
      </c>
      <c r="C1" s="108">
        <f> COUNTIF(C5:C25, "&gt;0")</f>
        <v>4</v>
      </c>
      <c r="D1" s="109"/>
      <c r="F1" s="110"/>
      <c r="G1" s="110"/>
      <c r="H1" s="111"/>
      <c r="I1" s="111"/>
      <c r="J1" s="112" t="s">
        <v>125</v>
      </c>
      <c r="N1" s="113"/>
      <c r="O1" s="114">
        <v>46141.0</v>
      </c>
      <c r="P1" s="181" t="s">
        <v>126</v>
      </c>
      <c r="Q1" s="115"/>
      <c r="R1" s="116"/>
      <c r="S1" s="117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</row>
    <row r="2" ht="25.5" customHeight="1">
      <c r="A2" s="119">
        <v>20.0</v>
      </c>
      <c r="B2" s="120" t="s">
        <v>263</v>
      </c>
      <c r="C2" s="182"/>
      <c r="D2" s="121"/>
      <c r="E2" s="46"/>
      <c r="F2" s="46"/>
      <c r="G2" s="46"/>
      <c r="H2" s="122">
        <f t="shared" ref="H2:I2" si="1">COUNTIF(H4:H25, "&gt;0")</f>
        <v>1</v>
      </c>
      <c r="I2" s="122">
        <f t="shared" si="1"/>
        <v>1</v>
      </c>
      <c r="J2" s="46"/>
      <c r="K2" s="46"/>
      <c r="L2" s="123">
        <v>7.0</v>
      </c>
      <c r="M2" s="46"/>
      <c r="N2" s="124">
        <f t="shared" ref="N2:O2" si="2">COUNTIF(N4:N25, "&gt;0")</f>
        <v>17</v>
      </c>
      <c r="O2" s="124">
        <f t="shared" si="2"/>
        <v>3</v>
      </c>
      <c r="P2" s="125">
        <v>46137.0</v>
      </c>
      <c r="Q2" s="126"/>
      <c r="R2" s="183"/>
      <c r="S2" s="183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</row>
    <row r="3" ht="22.5" customHeight="1">
      <c r="A3" s="129" t="s">
        <v>5</v>
      </c>
      <c r="B3" s="129" t="s">
        <v>6</v>
      </c>
      <c r="C3" s="129" t="s">
        <v>9</v>
      </c>
      <c r="D3" s="129"/>
      <c r="E3" s="129" t="s">
        <v>18</v>
      </c>
      <c r="F3" s="130" t="s">
        <v>131</v>
      </c>
      <c r="G3" s="129" t="s">
        <v>132</v>
      </c>
      <c r="H3" s="129"/>
      <c r="I3" s="129"/>
      <c r="J3" s="131" t="s">
        <v>133</v>
      </c>
      <c r="K3" s="132"/>
      <c r="L3" s="132"/>
      <c r="M3" s="133"/>
      <c r="N3" s="129" t="s">
        <v>134</v>
      </c>
      <c r="O3" s="129" t="s">
        <v>135</v>
      </c>
      <c r="P3" s="130" t="s">
        <v>136</v>
      </c>
      <c r="Q3" s="129" t="s">
        <v>137</v>
      </c>
      <c r="R3" s="117"/>
      <c r="S3" s="117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</row>
    <row r="4" ht="27.0" customHeight="1">
      <c r="A4" s="50"/>
      <c r="B4" s="50"/>
      <c r="C4" s="50"/>
      <c r="D4" s="50"/>
      <c r="E4" s="50"/>
      <c r="F4" s="50"/>
      <c r="G4" s="50"/>
      <c r="H4" s="50"/>
      <c r="I4" s="50"/>
      <c r="J4" s="137" t="s">
        <v>140</v>
      </c>
      <c r="K4" s="137" t="s">
        <v>141</v>
      </c>
      <c r="L4" s="137" t="s">
        <v>142</v>
      </c>
      <c r="M4" s="137" t="s">
        <v>143</v>
      </c>
      <c r="N4" s="50"/>
      <c r="O4" s="50"/>
      <c r="P4" s="50"/>
      <c r="Q4" s="50"/>
      <c r="R4" s="117"/>
      <c r="S4" s="117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</row>
    <row r="5" ht="33.75" customHeight="1">
      <c r="A5" s="138">
        <v>1.0</v>
      </c>
      <c r="B5" s="60" t="s">
        <v>39</v>
      </c>
      <c r="C5" s="60"/>
      <c r="D5" s="60"/>
      <c r="E5" s="60" t="s">
        <v>40</v>
      </c>
      <c r="F5" s="59" t="s">
        <v>264</v>
      </c>
      <c r="G5" s="184"/>
      <c r="H5" s="185">
        <v>1.0</v>
      </c>
      <c r="I5" s="185">
        <v>1.0</v>
      </c>
      <c r="J5" s="185" t="s">
        <v>265</v>
      </c>
      <c r="K5" s="185" t="s">
        <v>265</v>
      </c>
      <c r="L5" s="186" t="s">
        <v>266</v>
      </c>
      <c r="M5" s="185" t="s">
        <v>265</v>
      </c>
      <c r="N5" s="187"/>
      <c r="O5" s="126"/>
      <c r="P5" s="59" t="s">
        <v>267</v>
      </c>
      <c r="Q5" s="64"/>
      <c r="R5" s="73" t="s">
        <v>268</v>
      </c>
      <c r="S5" s="73" t="s">
        <v>269</v>
      </c>
      <c r="T5" s="185" t="s">
        <v>270</v>
      </c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ht="42.75" customHeight="1">
      <c r="A6" s="138">
        <f t="shared" ref="A6:A24" si="3">A5+1</f>
        <v>2</v>
      </c>
      <c r="B6" s="60" t="s">
        <v>271</v>
      </c>
      <c r="C6" s="60"/>
      <c r="D6" s="60"/>
      <c r="E6" s="60" t="s">
        <v>24</v>
      </c>
      <c r="F6" s="188" t="s">
        <v>272</v>
      </c>
      <c r="G6" s="59" t="s">
        <v>273</v>
      </c>
      <c r="H6" s="138"/>
      <c r="I6" s="189"/>
      <c r="J6" s="157" t="s">
        <v>274</v>
      </c>
      <c r="K6" s="190" t="s">
        <v>275</v>
      </c>
      <c r="L6" s="191" t="s">
        <v>272</v>
      </c>
      <c r="M6" s="141" t="s">
        <v>276</v>
      </c>
      <c r="N6" s="142">
        <v>1.0</v>
      </c>
      <c r="O6" s="126"/>
      <c r="P6" s="59"/>
      <c r="Q6" s="59"/>
      <c r="R6" s="192"/>
      <c r="S6" s="192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ht="31.5" customHeight="1">
      <c r="A7" s="138">
        <f t="shared" si="3"/>
        <v>3</v>
      </c>
      <c r="B7" s="60" t="s">
        <v>41</v>
      </c>
      <c r="C7" s="60"/>
      <c r="D7" s="60"/>
      <c r="E7" s="60" t="s">
        <v>24</v>
      </c>
      <c r="F7" s="188" t="s">
        <v>277</v>
      </c>
      <c r="G7" s="184"/>
      <c r="H7" s="138"/>
      <c r="I7" s="189"/>
      <c r="J7" s="157" t="s">
        <v>278</v>
      </c>
      <c r="K7" s="190" t="s">
        <v>279</v>
      </c>
      <c r="L7" s="191" t="s">
        <v>277</v>
      </c>
      <c r="M7" s="141" t="s">
        <v>280</v>
      </c>
      <c r="N7" s="142">
        <v>1.0</v>
      </c>
      <c r="O7" s="126"/>
      <c r="P7" s="59"/>
      <c r="Q7" s="59"/>
      <c r="R7" s="192"/>
      <c r="S7" s="192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</row>
    <row r="8" ht="31.5" customHeight="1">
      <c r="A8" s="193">
        <f t="shared" si="3"/>
        <v>4</v>
      </c>
      <c r="B8" s="194" t="s">
        <v>261</v>
      </c>
      <c r="C8" s="140">
        <v>5.0</v>
      </c>
      <c r="D8" s="195"/>
      <c r="E8" s="60" t="s">
        <v>22</v>
      </c>
      <c r="F8" s="159"/>
      <c r="G8" s="141"/>
      <c r="H8" s="138"/>
      <c r="I8" s="189"/>
      <c r="J8" s="144" t="s">
        <v>281</v>
      </c>
      <c r="K8" s="196" t="s">
        <v>282</v>
      </c>
      <c r="L8" s="197" t="s">
        <v>283</v>
      </c>
      <c r="M8" s="197" t="s">
        <v>284</v>
      </c>
      <c r="N8" s="58"/>
      <c r="O8" s="198" t="s">
        <v>285</v>
      </c>
      <c r="P8" s="144" t="s">
        <v>286</v>
      </c>
      <c r="Q8" s="59"/>
      <c r="R8" s="73" t="s">
        <v>287</v>
      </c>
      <c r="S8" s="73" t="s">
        <v>288</v>
      </c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</row>
    <row r="9" ht="30.75" customHeight="1">
      <c r="A9" s="138">
        <f t="shared" si="3"/>
        <v>5</v>
      </c>
      <c r="B9" s="60" t="s">
        <v>289</v>
      </c>
      <c r="C9" s="60"/>
      <c r="D9" s="60"/>
      <c r="E9" s="76" t="s">
        <v>24</v>
      </c>
      <c r="F9" s="63" t="s">
        <v>290</v>
      </c>
      <c r="G9" s="59" t="s">
        <v>163</v>
      </c>
      <c r="H9" s="138"/>
      <c r="I9" s="189"/>
      <c r="J9" s="157" t="s">
        <v>291</v>
      </c>
      <c r="K9" s="157" t="s">
        <v>292</v>
      </c>
      <c r="L9" s="157" t="s">
        <v>293</v>
      </c>
      <c r="M9" s="157" t="s">
        <v>294</v>
      </c>
      <c r="N9" s="199">
        <v>1.0</v>
      </c>
      <c r="O9" s="126"/>
      <c r="P9" s="59"/>
      <c r="Q9" s="59"/>
      <c r="R9" s="192"/>
      <c r="S9" s="192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</row>
    <row r="10" ht="45.0" customHeight="1">
      <c r="A10" s="138">
        <f t="shared" si="3"/>
        <v>6</v>
      </c>
      <c r="B10" s="60" t="s">
        <v>295</v>
      </c>
      <c r="C10" s="60"/>
      <c r="D10" s="60"/>
      <c r="E10" s="60" t="s">
        <v>296</v>
      </c>
      <c r="F10" s="59" t="s">
        <v>297</v>
      </c>
      <c r="G10" s="59" t="s">
        <v>298</v>
      </c>
      <c r="H10" s="138"/>
      <c r="I10" s="189"/>
      <c r="J10" s="141" t="s">
        <v>299</v>
      </c>
      <c r="K10" s="200" t="s">
        <v>300</v>
      </c>
      <c r="L10" s="141" t="s">
        <v>297</v>
      </c>
      <c r="M10" s="194" t="s">
        <v>301</v>
      </c>
      <c r="N10" s="199">
        <v>1.0</v>
      </c>
      <c r="O10" s="126"/>
      <c r="P10" s="59" t="s">
        <v>302</v>
      </c>
      <c r="Q10" s="64"/>
      <c r="R10" s="73" t="s">
        <v>303</v>
      </c>
      <c r="S10" s="73" t="s">
        <v>304</v>
      </c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</row>
    <row r="11" ht="66.0" customHeight="1">
      <c r="A11" s="138">
        <f t="shared" si="3"/>
        <v>7</v>
      </c>
      <c r="B11" s="60" t="s">
        <v>305</v>
      </c>
      <c r="C11" s="60"/>
      <c r="D11" s="60"/>
      <c r="E11" s="60" t="s">
        <v>48</v>
      </c>
      <c r="F11" s="59" t="s">
        <v>306</v>
      </c>
      <c r="G11" s="59" t="s">
        <v>307</v>
      </c>
      <c r="H11" s="138"/>
      <c r="I11" s="189"/>
      <c r="J11" s="139" t="s">
        <v>308</v>
      </c>
      <c r="K11" s="139" t="s">
        <v>309</v>
      </c>
      <c r="L11" s="141" t="s">
        <v>306</v>
      </c>
      <c r="M11" s="141" t="s">
        <v>310</v>
      </c>
      <c r="N11" s="199">
        <v>1.0</v>
      </c>
      <c r="O11" s="126"/>
      <c r="P11" s="59"/>
      <c r="Q11" s="64"/>
      <c r="R11" s="73" t="s">
        <v>311</v>
      </c>
      <c r="S11" s="73" t="s">
        <v>312</v>
      </c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</row>
    <row r="12" ht="63.0" customHeight="1">
      <c r="A12" s="138">
        <f t="shared" si="3"/>
        <v>8</v>
      </c>
      <c r="B12" s="60" t="s">
        <v>42</v>
      </c>
      <c r="C12" s="199"/>
      <c r="D12" s="60"/>
      <c r="E12" s="60" t="s">
        <v>43</v>
      </c>
      <c r="F12" s="59" t="s">
        <v>313</v>
      </c>
      <c r="G12" s="59" t="s">
        <v>314</v>
      </c>
      <c r="H12" s="138"/>
      <c r="I12" s="189"/>
      <c r="J12" s="139" t="s">
        <v>315</v>
      </c>
      <c r="K12" s="139" t="s">
        <v>237</v>
      </c>
      <c r="L12" s="141" t="s">
        <v>316</v>
      </c>
      <c r="M12" s="141" t="s">
        <v>238</v>
      </c>
      <c r="N12" s="199">
        <v>1.0</v>
      </c>
      <c r="O12" s="199"/>
      <c r="P12" s="59" t="s">
        <v>192</v>
      </c>
      <c r="Q12" s="59"/>
      <c r="R12" s="73" t="s">
        <v>317</v>
      </c>
      <c r="S12" s="73" t="s">
        <v>318</v>
      </c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</row>
    <row r="13" ht="36.75" customHeight="1">
      <c r="A13" s="138">
        <f t="shared" si="3"/>
        <v>9</v>
      </c>
      <c r="B13" s="60" t="s">
        <v>319</v>
      </c>
      <c r="C13" s="60"/>
      <c r="D13" s="60"/>
      <c r="E13" s="60" t="s">
        <v>98</v>
      </c>
      <c r="F13" s="201" t="s">
        <v>320</v>
      </c>
      <c r="G13" s="59" t="s">
        <v>321</v>
      </c>
      <c r="H13" s="138"/>
      <c r="I13" s="189"/>
      <c r="J13" s="159" t="s">
        <v>322</v>
      </c>
      <c r="K13" s="190" t="s">
        <v>323</v>
      </c>
      <c r="L13" s="202" t="s">
        <v>324</v>
      </c>
      <c r="M13" s="203" t="s">
        <v>325</v>
      </c>
      <c r="N13" s="199">
        <v>1.0</v>
      </c>
      <c r="O13" s="126"/>
      <c r="P13" s="59"/>
      <c r="Q13" s="64"/>
      <c r="R13" s="192"/>
      <c r="S13" s="192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</row>
    <row r="14" ht="45.0" customHeight="1">
      <c r="A14" s="138">
        <f t="shared" si="3"/>
        <v>10</v>
      </c>
      <c r="B14" s="204" t="s">
        <v>326</v>
      </c>
      <c r="C14" s="140">
        <v>5.0</v>
      </c>
      <c r="D14" s="60"/>
      <c r="E14" s="60" t="s">
        <v>101</v>
      </c>
      <c r="F14" s="59" t="s">
        <v>327</v>
      </c>
      <c r="G14" s="59" t="s">
        <v>158</v>
      </c>
      <c r="H14" s="138"/>
      <c r="I14" s="189"/>
      <c r="J14" s="194" t="s">
        <v>101</v>
      </c>
      <c r="K14" s="139" t="s">
        <v>328</v>
      </c>
      <c r="L14" s="148" t="s">
        <v>83</v>
      </c>
      <c r="M14" s="141" t="s">
        <v>329</v>
      </c>
      <c r="N14" s="199">
        <v>1.0</v>
      </c>
      <c r="O14" s="199">
        <v>1.0</v>
      </c>
      <c r="P14" s="59"/>
      <c r="Q14" s="64"/>
      <c r="R14" s="73" t="s">
        <v>330</v>
      </c>
      <c r="S14" s="73" t="s">
        <v>331</v>
      </c>
      <c r="T14" s="205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</row>
    <row r="15" ht="43.5" customHeight="1">
      <c r="A15" s="138">
        <f t="shared" si="3"/>
        <v>11</v>
      </c>
      <c r="B15" s="60" t="s">
        <v>332</v>
      </c>
      <c r="C15" s="60"/>
      <c r="D15" s="60"/>
      <c r="E15" s="60" t="s">
        <v>48</v>
      </c>
      <c r="F15" s="59" t="s">
        <v>333</v>
      </c>
      <c r="G15" s="59" t="s">
        <v>334</v>
      </c>
      <c r="H15" s="138"/>
      <c r="I15" s="189"/>
      <c r="J15" s="194" t="s">
        <v>335</v>
      </c>
      <c r="K15" s="139" t="s">
        <v>336</v>
      </c>
      <c r="L15" s="141" t="s">
        <v>333</v>
      </c>
      <c r="M15" s="139" t="s">
        <v>337</v>
      </c>
      <c r="N15" s="199">
        <v>1.0</v>
      </c>
      <c r="O15" s="126"/>
      <c r="P15" s="59"/>
      <c r="Q15" s="206"/>
      <c r="R15" s="73" t="str">
        <f>8 950 951 77 05</f>
        <v>#ERROR!</v>
      </c>
      <c r="S15" s="73" t="s">
        <v>338</v>
      </c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</row>
    <row r="16" ht="34.5" customHeight="1">
      <c r="A16" s="138">
        <f t="shared" si="3"/>
        <v>12</v>
      </c>
      <c r="B16" s="60" t="s">
        <v>44</v>
      </c>
      <c r="C16" s="60"/>
      <c r="D16" s="60"/>
      <c r="E16" s="60" t="s">
        <v>24</v>
      </c>
      <c r="F16" s="59" t="s">
        <v>339</v>
      </c>
      <c r="G16" s="59" t="s">
        <v>158</v>
      </c>
      <c r="H16" s="138"/>
      <c r="I16" s="189"/>
      <c r="J16" s="194" t="s">
        <v>28</v>
      </c>
      <c r="K16" s="139" t="s">
        <v>159</v>
      </c>
      <c r="L16" s="148" t="s">
        <v>83</v>
      </c>
      <c r="M16" s="139" t="s">
        <v>340</v>
      </c>
      <c r="N16" s="199">
        <v>1.0</v>
      </c>
      <c r="O16" s="126"/>
      <c r="P16" s="59" t="s">
        <v>341</v>
      </c>
      <c r="Q16" s="206"/>
      <c r="R16" s="73" t="s">
        <v>342</v>
      </c>
      <c r="S16" s="73" t="s">
        <v>343</v>
      </c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</row>
    <row r="17" ht="34.5" customHeight="1">
      <c r="A17" s="138">
        <f t="shared" si="3"/>
        <v>13</v>
      </c>
      <c r="B17" s="60" t="s">
        <v>344</v>
      </c>
      <c r="C17" s="140"/>
      <c r="D17" s="60"/>
      <c r="E17" s="60" t="s">
        <v>22</v>
      </c>
      <c r="F17" s="59" t="s">
        <v>83</v>
      </c>
      <c r="G17" s="59" t="s">
        <v>158</v>
      </c>
      <c r="H17" s="138"/>
      <c r="I17" s="189"/>
      <c r="J17" s="194" t="s">
        <v>28</v>
      </c>
      <c r="K17" s="207" t="s">
        <v>345</v>
      </c>
      <c r="L17" s="148" t="s">
        <v>83</v>
      </c>
      <c r="M17" s="139" t="s">
        <v>340</v>
      </c>
      <c r="N17" s="199">
        <v>1.0</v>
      </c>
      <c r="O17" s="199"/>
      <c r="P17" s="59" t="s">
        <v>346</v>
      </c>
      <c r="Q17" s="64"/>
      <c r="R17" s="117"/>
      <c r="S17" s="117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</row>
    <row r="18" ht="31.5" customHeight="1">
      <c r="A18" s="138">
        <f t="shared" si="3"/>
        <v>14</v>
      </c>
      <c r="B18" s="204" t="s">
        <v>347</v>
      </c>
      <c r="C18" s="140">
        <v>5.0</v>
      </c>
      <c r="D18" s="60"/>
      <c r="E18" s="60" t="s">
        <v>26</v>
      </c>
      <c r="F18" s="59" t="s">
        <v>83</v>
      </c>
      <c r="G18" s="59" t="s">
        <v>158</v>
      </c>
      <c r="H18" s="138"/>
      <c r="I18" s="189"/>
      <c r="J18" s="194" t="s">
        <v>28</v>
      </c>
      <c r="K18" s="207" t="s">
        <v>345</v>
      </c>
      <c r="L18" s="148" t="s">
        <v>83</v>
      </c>
      <c r="M18" s="139" t="s">
        <v>340</v>
      </c>
      <c r="N18" s="199">
        <v>1.0</v>
      </c>
      <c r="O18" s="199">
        <v>1.0</v>
      </c>
      <c r="P18" s="59"/>
      <c r="Q18" s="59"/>
      <c r="R18" s="117"/>
      <c r="S18" s="117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</row>
    <row r="19" ht="42.75" customHeight="1">
      <c r="A19" s="138">
        <f t="shared" si="3"/>
        <v>15</v>
      </c>
      <c r="B19" s="60" t="s">
        <v>348</v>
      </c>
      <c r="C19" s="60"/>
      <c r="D19" s="60"/>
      <c r="E19" s="60" t="s">
        <v>37</v>
      </c>
      <c r="F19" s="59" t="s">
        <v>349</v>
      </c>
      <c r="G19" s="59" t="s">
        <v>350</v>
      </c>
      <c r="H19" s="138"/>
      <c r="I19" s="189"/>
      <c r="J19" s="194" t="s">
        <v>351</v>
      </c>
      <c r="K19" s="139" t="s">
        <v>352</v>
      </c>
      <c r="L19" s="141" t="s">
        <v>349</v>
      </c>
      <c r="M19" s="139" t="s">
        <v>353</v>
      </c>
      <c r="N19" s="199">
        <v>1.0</v>
      </c>
      <c r="O19" s="126"/>
      <c r="P19" s="64"/>
      <c r="Q19" s="208"/>
      <c r="R19" s="73" t="s">
        <v>354</v>
      </c>
      <c r="S19" s="73" t="s">
        <v>355</v>
      </c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</row>
    <row r="20">
      <c r="A20" s="138">
        <f t="shared" si="3"/>
        <v>16</v>
      </c>
      <c r="B20" s="60" t="s">
        <v>45</v>
      </c>
      <c r="C20" s="140"/>
      <c r="D20" s="60"/>
      <c r="E20" s="60" t="s">
        <v>94</v>
      </c>
      <c r="F20" s="59"/>
      <c r="G20" s="59"/>
      <c r="H20" s="138"/>
      <c r="I20" s="189"/>
      <c r="J20" s="194" t="s">
        <v>28</v>
      </c>
      <c r="K20" s="207" t="s">
        <v>345</v>
      </c>
      <c r="L20" s="148" t="s">
        <v>83</v>
      </c>
      <c r="M20" s="139" t="s">
        <v>340</v>
      </c>
      <c r="N20" s="199">
        <v>1.0</v>
      </c>
      <c r="O20" s="199"/>
      <c r="P20" s="59" t="s">
        <v>356</v>
      </c>
      <c r="Q20" s="64"/>
      <c r="R20" s="73" t="s">
        <v>357</v>
      </c>
      <c r="S20" s="73" t="s">
        <v>358</v>
      </c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</row>
    <row r="21" ht="33.0" customHeight="1">
      <c r="A21" s="138">
        <f t="shared" si="3"/>
        <v>17</v>
      </c>
      <c r="B21" s="204" t="s">
        <v>359</v>
      </c>
      <c r="C21" s="140">
        <v>5.0</v>
      </c>
      <c r="D21" s="60"/>
      <c r="E21" s="60" t="s">
        <v>48</v>
      </c>
      <c r="F21" s="67" t="s">
        <v>83</v>
      </c>
      <c r="G21" s="67" t="s">
        <v>158</v>
      </c>
      <c r="H21" s="138"/>
      <c r="I21" s="189"/>
      <c r="J21" s="204" t="s">
        <v>48</v>
      </c>
      <c r="K21" s="209" t="s">
        <v>159</v>
      </c>
      <c r="L21" s="148" t="s">
        <v>83</v>
      </c>
      <c r="M21" s="139" t="s">
        <v>340</v>
      </c>
      <c r="N21" s="199">
        <v>1.0</v>
      </c>
      <c r="O21" s="199">
        <v>1.0</v>
      </c>
      <c r="P21" s="59"/>
      <c r="Q21" s="64"/>
      <c r="R21" s="73" t="s">
        <v>360</v>
      </c>
      <c r="S21" s="73" t="s">
        <v>361</v>
      </c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</row>
    <row r="22" ht="37.5" customHeight="1">
      <c r="A22" s="138">
        <f t="shared" si="3"/>
        <v>18</v>
      </c>
      <c r="B22" s="60" t="s">
        <v>47</v>
      </c>
      <c r="C22" s="60"/>
      <c r="D22" s="60"/>
      <c r="E22" s="60" t="s">
        <v>48</v>
      </c>
      <c r="F22" s="67" t="s">
        <v>83</v>
      </c>
      <c r="G22" s="67" t="s">
        <v>158</v>
      </c>
      <c r="H22" s="138"/>
      <c r="I22" s="189"/>
      <c r="J22" s="204" t="s">
        <v>362</v>
      </c>
      <c r="K22" s="209" t="s">
        <v>363</v>
      </c>
      <c r="L22" s="210" t="s">
        <v>364</v>
      </c>
      <c r="M22" s="139" t="s">
        <v>365</v>
      </c>
      <c r="N22" s="199">
        <v>1.0</v>
      </c>
      <c r="O22" s="126"/>
      <c r="P22" s="64"/>
      <c r="Q22" s="64"/>
      <c r="R22" s="117"/>
      <c r="S22" s="117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</row>
    <row r="23" ht="33.75" customHeight="1">
      <c r="A23" s="138">
        <f t="shared" si="3"/>
        <v>19</v>
      </c>
      <c r="B23" s="60" t="s">
        <v>49</v>
      </c>
      <c r="C23" s="140"/>
      <c r="D23" s="60"/>
      <c r="E23" s="60" t="s">
        <v>50</v>
      </c>
      <c r="F23" s="59" t="s">
        <v>83</v>
      </c>
      <c r="G23" s="59" t="s">
        <v>158</v>
      </c>
      <c r="H23" s="138"/>
      <c r="I23" s="189"/>
      <c r="J23" s="141" t="s">
        <v>28</v>
      </c>
      <c r="K23" s="139" t="s">
        <v>159</v>
      </c>
      <c r="L23" s="148" t="s">
        <v>83</v>
      </c>
      <c r="M23" s="141" t="s">
        <v>366</v>
      </c>
      <c r="N23" s="199">
        <v>1.0</v>
      </c>
      <c r="O23" s="199"/>
      <c r="P23" s="59" t="s">
        <v>367</v>
      </c>
      <c r="Q23" s="64"/>
      <c r="R23" s="117"/>
      <c r="S23" s="117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</row>
    <row r="24">
      <c r="A24" s="138">
        <f t="shared" si="3"/>
        <v>20</v>
      </c>
      <c r="B24" s="60" t="s">
        <v>51</v>
      </c>
      <c r="C24" s="60"/>
      <c r="D24" s="60"/>
      <c r="E24" s="60" t="s">
        <v>50</v>
      </c>
      <c r="F24" s="144"/>
      <c r="G24" s="144"/>
      <c r="H24" s="138"/>
      <c r="I24" s="189"/>
      <c r="J24" s="141" t="s">
        <v>368</v>
      </c>
      <c r="K24" s="139" t="s">
        <v>369</v>
      </c>
      <c r="L24" s="141" t="s">
        <v>370</v>
      </c>
      <c r="M24" s="141" t="s">
        <v>371</v>
      </c>
      <c r="N24" s="211"/>
      <c r="O24" s="126"/>
      <c r="P24" s="59" t="s">
        <v>154</v>
      </c>
      <c r="Q24" s="64"/>
      <c r="R24" s="73" t="s">
        <v>372</v>
      </c>
      <c r="S24" s="73" t="s">
        <v>373</v>
      </c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</row>
    <row r="25" ht="28.5" customHeight="1">
      <c r="A25" s="162">
        <v>46141.0</v>
      </c>
      <c r="B25" s="163" t="s">
        <v>126</v>
      </c>
      <c r="C25" s="118"/>
      <c r="D25" s="118"/>
      <c r="E25" s="118"/>
      <c r="F25" s="27"/>
      <c r="G25" s="27"/>
      <c r="H25" s="118"/>
      <c r="I25" s="118"/>
      <c r="J25" s="118"/>
      <c r="K25" s="118"/>
      <c r="L25" s="118"/>
      <c r="M25" s="118"/>
      <c r="N25" s="164"/>
      <c r="O25" s="161"/>
      <c r="P25" s="118"/>
      <c r="Q25" s="118"/>
      <c r="R25" s="117"/>
      <c r="S25" s="117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64"/>
      <c r="O26" s="161"/>
      <c r="P26" s="118"/>
      <c r="Q26" s="118"/>
      <c r="R26" s="117"/>
      <c r="S26" s="117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64"/>
      <c r="O27" s="161"/>
      <c r="P27" s="118"/>
      <c r="Q27" s="118"/>
      <c r="R27" s="117"/>
      <c r="S27" s="117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64"/>
      <c r="O28" s="161"/>
      <c r="P28" s="118"/>
      <c r="Q28" s="118"/>
      <c r="R28" s="117"/>
      <c r="S28" s="117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64"/>
      <c r="O29" s="161"/>
      <c r="P29" s="118"/>
      <c r="Q29" s="118"/>
      <c r="R29" s="117"/>
      <c r="S29" s="117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64"/>
      <c r="O30" s="161"/>
      <c r="P30" s="118"/>
      <c r="Q30" s="118"/>
      <c r="R30" s="117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64"/>
      <c r="O31" s="161"/>
      <c r="P31" s="118"/>
      <c r="Q31" s="118"/>
      <c r="R31" s="117"/>
      <c r="S31" s="117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64"/>
      <c r="O32" s="161"/>
      <c r="P32" s="118"/>
      <c r="Q32" s="118"/>
      <c r="R32" s="117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64"/>
      <c r="O33" s="161"/>
      <c r="P33" s="118"/>
      <c r="Q33" s="118"/>
      <c r="R33" s="117"/>
      <c r="S33" s="117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64"/>
      <c r="O34" s="161"/>
      <c r="P34" s="118"/>
      <c r="Q34" s="118"/>
      <c r="R34" s="117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64"/>
      <c r="O35" s="161"/>
      <c r="P35" s="118"/>
      <c r="Q35" s="118"/>
      <c r="R35" s="117"/>
      <c r="S35" s="117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64"/>
      <c r="O36" s="161"/>
      <c r="P36" s="118"/>
      <c r="Q36" s="118"/>
      <c r="R36" s="117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64"/>
      <c r="O37" s="161"/>
      <c r="P37" s="118"/>
      <c r="Q37" s="118"/>
      <c r="R37" s="117"/>
      <c r="S37" s="117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64"/>
      <c r="O38" s="161"/>
      <c r="P38" s="118"/>
      <c r="Q38" s="118"/>
      <c r="R38" s="117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64"/>
      <c r="O39" s="161"/>
      <c r="P39" s="118"/>
      <c r="Q39" s="118"/>
      <c r="R39" s="117"/>
      <c r="S39" s="117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64"/>
      <c r="O40" s="161"/>
      <c r="P40" s="118"/>
      <c r="Q40" s="118"/>
      <c r="R40" s="117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64"/>
      <c r="O41" s="161"/>
      <c r="P41" s="118"/>
      <c r="Q41" s="118"/>
      <c r="R41" s="117"/>
      <c r="S41" s="117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64"/>
      <c r="O42" s="161"/>
      <c r="P42" s="118"/>
      <c r="Q42" s="118"/>
      <c r="R42" s="117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64"/>
      <c r="O43" s="161"/>
      <c r="P43" s="118"/>
      <c r="Q43" s="118"/>
      <c r="R43" s="117"/>
      <c r="S43" s="117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64"/>
      <c r="O44" s="161"/>
      <c r="P44" s="118"/>
      <c r="Q44" s="118"/>
      <c r="R44" s="117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64"/>
      <c r="O45" s="161"/>
      <c r="P45" s="118"/>
      <c r="Q45" s="118"/>
      <c r="R45" s="117"/>
      <c r="S45" s="117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64"/>
      <c r="O46" s="161"/>
      <c r="P46" s="118"/>
      <c r="Q46" s="118"/>
      <c r="R46" s="117"/>
      <c r="S46" s="117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64"/>
      <c r="O47" s="161"/>
      <c r="P47" s="118"/>
      <c r="Q47" s="118"/>
      <c r="R47" s="117"/>
      <c r="S47" s="117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64"/>
      <c r="O48" s="161"/>
      <c r="P48" s="118"/>
      <c r="Q48" s="118"/>
      <c r="R48" s="117"/>
      <c r="S48" s="117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64"/>
      <c r="O49" s="161"/>
      <c r="P49" s="118"/>
      <c r="Q49" s="118"/>
      <c r="R49" s="117"/>
      <c r="S49" s="117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64"/>
      <c r="O50" s="161"/>
      <c r="P50" s="118"/>
      <c r="Q50" s="118"/>
      <c r="R50" s="117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64"/>
      <c r="O51" s="161"/>
      <c r="P51" s="118"/>
      <c r="Q51" s="118"/>
      <c r="R51" s="117"/>
      <c r="S51" s="117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64"/>
      <c r="O52" s="161"/>
      <c r="P52" s="118"/>
      <c r="Q52" s="118"/>
      <c r="R52" s="117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64"/>
      <c r="O53" s="161"/>
      <c r="P53" s="118"/>
      <c r="Q53" s="118"/>
      <c r="R53" s="117"/>
      <c r="S53" s="117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64"/>
      <c r="O54" s="161"/>
      <c r="P54" s="118"/>
      <c r="Q54" s="118"/>
      <c r="R54" s="117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64"/>
      <c r="O55" s="161"/>
      <c r="P55" s="118"/>
      <c r="Q55" s="118"/>
      <c r="R55" s="117"/>
      <c r="S55" s="117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64"/>
      <c r="O56" s="161"/>
      <c r="P56" s="118"/>
      <c r="Q56" s="118"/>
      <c r="R56" s="117"/>
      <c r="S56" s="117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64"/>
      <c r="O57" s="161"/>
      <c r="P57" s="118"/>
      <c r="Q57" s="118"/>
      <c r="R57" s="117"/>
      <c r="S57" s="117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64"/>
      <c r="O58" s="161"/>
      <c r="P58" s="118"/>
      <c r="Q58" s="118"/>
      <c r="R58" s="117"/>
      <c r="S58" s="117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64"/>
      <c r="O59" s="161"/>
      <c r="P59" s="118"/>
      <c r="Q59" s="118"/>
      <c r="R59" s="117"/>
      <c r="S59" s="117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64"/>
      <c r="O60" s="161"/>
      <c r="P60" s="118"/>
      <c r="Q60" s="118"/>
      <c r="R60" s="117"/>
      <c r="S60" s="117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64"/>
      <c r="O61" s="161"/>
      <c r="P61" s="118"/>
      <c r="Q61" s="118"/>
      <c r="R61" s="117"/>
      <c r="S61" s="117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64"/>
      <c r="O62" s="161"/>
      <c r="P62" s="118"/>
      <c r="Q62" s="118"/>
      <c r="R62" s="117"/>
      <c r="S62" s="117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64"/>
      <c r="O63" s="161"/>
      <c r="P63" s="118"/>
      <c r="Q63" s="118"/>
      <c r="R63" s="117"/>
      <c r="S63" s="117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64"/>
      <c r="O64" s="161"/>
      <c r="P64" s="118"/>
      <c r="Q64" s="118"/>
      <c r="R64" s="117"/>
      <c r="S64" s="117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64"/>
      <c r="O65" s="161"/>
      <c r="P65" s="118"/>
      <c r="Q65" s="118"/>
      <c r="R65" s="117"/>
      <c r="S65" s="117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64"/>
      <c r="O66" s="161"/>
      <c r="P66" s="118"/>
      <c r="Q66" s="118"/>
      <c r="R66" s="117"/>
      <c r="S66" s="117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64"/>
      <c r="O67" s="161"/>
      <c r="P67" s="118"/>
      <c r="Q67" s="118"/>
      <c r="R67" s="117"/>
      <c r="S67" s="117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64"/>
      <c r="O68" s="161"/>
      <c r="P68" s="118"/>
      <c r="Q68" s="118"/>
      <c r="R68" s="117"/>
      <c r="S68" s="117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64"/>
      <c r="O69" s="161"/>
      <c r="P69" s="118"/>
      <c r="Q69" s="118"/>
      <c r="R69" s="117"/>
      <c r="S69" s="117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64"/>
      <c r="O70" s="161"/>
      <c r="P70" s="118"/>
      <c r="Q70" s="118"/>
      <c r="R70" s="117"/>
      <c r="S70" s="117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64"/>
      <c r="O71" s="161"/>
      <c r="P71" s="118"/>
      <c r="Q71" s="118"/>
      <c r="R71" s="117"/>
      <c r="S71" s="117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64"/>
      <c r="O72" s="161"/>
      <c r="P72" s="118"/>
      <c r="Q72" s="118"/>
      <c r="R72" s="117"/>
      <c r="S72" s="117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64"/>
      <c r="O73" s="161"/>
      <c r="P73" s="118"/>
      <c r="Q73" s="118"/>
      <c r="R73" s="117"/>
      <c r="S73" s="117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64"/>
      <c r="O74" s="161"/>
      <c r="P74" s="118"/>
      <c r="Q74" s="118"/>
      <c r="R74" s="117"/>
      <c r="S74" s="117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64"/>
      <c r="O75" s="161"/>
      <c r="P75" s="118"/>
      <c r="Q75" s="118"/>
      <c r="R75" s="117"/>
      <c r="S75" s="117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64"/>
      <c r="O76" s="161"/>
      <c r="P76" s="118"/>
      <c r="Q76" s="118"/>
      <c r="R76" s="117"/>
      <c r="S76" s="117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64"/>
      <c r="O77" s="161"/>
      <c r="P77" s="118"/>
      <c r="Q77" s="118"/>
      <c r="R77" s="117"/>
      <c r="S77" s="117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64"/>
      <c r="O78" s="161"/>
      <c r="P78" s="118"/>
      <c r="Q78" s="118"/>
      <c r="R78" s="117"/>
      <c r="S78" s="117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64"/>
      <c r="O79" s="161"/>
      <c r="P79" s="118"/>
      <c r="Q79" s="118"/>
      <c r="R79" s="117"/>
      <c r="S79" s="117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64"/>
      <c r="O80" s="161"/>
      <c r="P80" s="118"/>
      <c r="Q80" s="118"/>
      <c r="R80" s="117"/>
      <c r="S80" s="117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64"/>
      <c r="O81" s="161"/>
      <c r="P81" s="118"/>
      <c r="Q81" s="118"/>
      <c r="R81" s="117"/>
      <c r="S81" s="117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64"/>
      <c r="O82" s="161"/>
      <c r="P82" s="118"/>
      <c r="Q82" s="118"/>
      <c r="R82" s="117"/>
      <c r="S82" s="117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64"/>
      <c r="O83" s="161"/>
      <c r="P83" s="118"/>
      <c r="Q83" s="118"/>
      <c r="R83" s="117"/>
      <c r="S83" s="117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64"/>
      <c r="O84" s="161"/>
      <c r="P84" s="118"/>
      <c r="Q84" s="118"/>
      <c r="R84" s="117"/>
      <c r="S84" s="117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64"/>
      <c r="O85" s="161"/>
      <c r="P85" s="118"/>
      <c r="Q85" s="118"/>
      <c r="R85" s="117"/>
      <c r="S85" s="117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64"/>
      <c r="O86" s="161"/>
      <c r="P86" s="118"/>
      <c r="Q86" s="118"/>
      <c r="R86" s="117"/>
      <c r="S86" s="117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64"/>
      <c r="O87" s="161"/>
      <c r="P87" s="118"/>
      <c r="Q87" s="118"/>
      <c r="R87" s="117"/>
      <c r="S87" s="117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64"/>
      <c r="O88" s="161"/>
      <c r="P88" s="118"/>
      <c r="Q88" s="118"/>
      <c r="R88" s="117"/>
      <c r="S88" s="117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64"/>
      <c r="O89" s="161"/>
      <c r="P89" s="118"/>
      <c r="Q89" s="118"/>
      <c r="R89" s="117"/>
      <c r="S89" s="117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64"/>
      <c r="O90" s="161"/>
      <c r="P90" s="118"/>
      <c r="Q90" s="118"/>
      <c r="R90" s="117"/>
      <c r="S90" s="117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64"/>
      <c r="O91" s="161"/>
      <c r="P91" s="118"/>
      <c r="Q91" s="118"/>
      <c r="R91" s="117"/>
      <c r="S91" s="117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64"/>
      <c r="O92" s="161"/>
      <c r="P92" s="118"/>
      <c r="Q92" s="118"/>
      <c r="R92" s="117"/>
      <c r="S92" s="117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64"/>
      <c r="O93" s="161"/>
      <c r="P93" s="118"/>
      <c r="Q93" s="118"/>
      <c r="R93" s="117"/>
      <c r="S93" s="117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64"/>
      <c r="O94" s="161"/>
      <c r="P94" s="118"/>
      <c r="Q94" s="118"/>
      <c r="R94" s="117"/>
      <c r="S94" s="117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64"/>
      <c r="O95" s="161"/>
      <c r="P95" s="118"/>
      <c r="Q95" s="118"/>
      <c r="R95" s="117"/>
      <c r="S95" s="117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64"/>
      <c r="O96" s="161"/>
      <c r="P96" s="118"/>
      <c r="Q96" s="118"/>
      <c r="R96" s="117"/>
      <c r="S96" s="117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64"/>
      <c r="O97" s="161"/>
      <c r="P97" s="118"/>
      <c r="Q97" s="118"/>
      <c r="R97" s="117"/>
      <c r="S97" s="117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64"/>
      <c r="O98" s="161"/>
      <c r="P98" s="118"/>
      <c r="Q98" s="118"/>
      <c r="R98" s="117"/>
      <c r="S98" s="117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64"/>
      <c r="O99" s="161"/>
      <c r="P99" s="118"/>
      <c r="Q99" s="118"/>
      <c r="R99" s="117"/>
      <c r="S99" s="117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64"/>
      <c r="O100" s="161"/>
      <c r="P100" s="118"/>
      <c r="Q100" s="118"/>
      <c r="R100" s="117"/>
      <c r="S100" s="117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64"/>
      <c r="O101" s="161"/>
      <c r="P101" s="118"/>
      <c r="Q101" s="118"/>
      <c r="R101" s="117"/>
      <c r="S101" s="117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64"/>
      <c r="O102" s="161"/>
      <c r="P102" s="118"/>
      <c r="Q102" s="118"/>
      <c r="R102" s="117"/>
      <c r="S102" s="117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64"/>
      <c r="O103" s="161"/>
      <c r="P103" s="118"/>
      <c r="Q103" s="118"/>
      <c r="R103" s="117"/>
      <c r="S103" s="117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64"/>
      <c r="O104" s="161"/>
      <c r="P104" s="118"/>
      <c r="Q104" s="118"/>
      <c r="R104" s="117"/>
      <c r="S104" s="117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64"/>
      <c r="O105" s="161"/>
      <c r="P105" s="118"/>
      <c r="Q105" s="118"/>
      <c r="R105" s="117"/>
      <c r="S105" s="117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64"/>
      <c r="O106" s="161"/>
      <c r="P106" s="118"/>
      <c r="Q106" s="118"/>
      <c r="R106" s="117"/>
      <c r="S106" s="117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64"/>
      <c r="O107" s="161"/>
      <c r="P107" s="118"/>
      <c r="Q107" s="118"/>
      <c r="R107" s="117"/>
      <c r="S107" s="117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64"/>
      <c r="O108" s="161"/>
      <c r="P108" s="118"/>
      <c r="Q108" s="118"/>
      <c r="R108" s="117"/>
      <c r="S108" s="117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64"/>
      <c r="O109" s="161"/>
      <c r="P109" s="118"/>
      <c r="Q109" s="118"/>
      <c r="R109" s="117"/>
      <c r="S109" s="117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64"/>
      <c r="O110" s="161"/>
      <c r="P110" s="118"/>
      <c r="Q110" s="118"/>
      <c r="R110" s="117"/>
      <c r="S110" s="117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64"/>
      <c r="O111" s="161"/>
      <c r="P111" s="118"/>
      <c r="Q111" s="118"/>
      <c r="R111" s="117"/>
      <c r="S111" s="117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64"/>
      <c r="O112" s="161"/>
      <c r="P112" s="118"/>
      <c r="Q112" s="118"/>
      <c r="R112" s="117"/>
      <c r="S112" s="117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64"/>
      <c r="O113" s="161"/>
      <c r="P113" s="118"/>
      <c r="Q113" s="118"/>
      <c r="R113" s="117"/>
      <c r="S113" s="117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64"/>
      <c r="O114" s="161"/>
      <c r="P114" s="118"/>
      <c r="Q114" s="118"/>
      <c r="R114" s="117"/>
      <c r="S114" s="117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64"/>
      <c r="O115" s="161"/>
      <c r="P115" s="118"/>
      <c r="Q115" s="118"/>
      <c r="R115" s="117"/>
      <c r="S115" s="117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64"/>
      <c r="O116" s="161"/>
      <c r="P116" s="118"/>
      <c r="Q116" s="118"/>
      <c r="R116" s="117"/>
      <c r="S116" s="117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64"/>
      <c r="O117" s="161"/>
      <c r="P117" s="118"/>
      <c r="Q117" s="118"/>
      <c r="R117" s="117"/>
      <c r="S117" s="117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64"/>
      <c r="O118" s="161"/>
      <c r="P118" s="118"/>
      <c r="Q118" s="118"/>
      <c r="R118" s="117"/>
      <c r="S118" s="117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64"/>
      <c r="O119" s="161"/>
      <c r="P119" s="118"/>
      <c r="Q119" s="118"/>
      <c r="R119" s="117"/>
      <c r="S119" s="117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64"/>
      <c r="O120" s="161"/>
      <c r="P120" s="118"/>
      <c r="Q120" s="118"/>
      <c r="R120" s="117"/>
      <c r="S120" s="117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64"/>
      <c r="O121" s="161"/>
      <c r="P121" s="118"/>
      <c r="Q121" s="118"/>
      <c r="R121" s="117"/>
      <c r="S121" s="117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64"/>
      <c r="O122" s="161"/>
      <c r="P122" s="118"/>
      <c r="Q122" s="118"/>
      <c r="R122" s="117"/>
      <c r="S122" s="117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64"/>
      <c r="O123" s="161"/>
      <c r="P123" s="118"/>
      <c r="Q123" s="118"/>
      <c r="R123" s="117"/>
      <c r="S123" s="117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64"/>
      <c r="O124" s="161"/>
      <c r="P124" s="118"/>
      <c r="Q124" s="118"/>
      <c r="R124" s="117"/>
      <c r="S124" s="117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64"/>
      <c r="O125" s="161"/>
      <c r="P125" s="118"/>
      <c r="Q125" s="118"/>
      <c r="R125" s="117"/>
      <c r="S125" s="117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64"/>
      <c r="O126" s="161"/>
      <c r="P126" s="118"/>
      <c r="Q126" s="118"/>
      <c r="R126" s="117"/>
      <c r="S126" s="117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64"/>
      <c r="O127" s="161"/>
      <c r="P127" s="118"/>
      <c r="Q127" s="118"/>
      <c r="R127" s="117"/>
      <c r="S127" s="117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64"/>
      <c r="O128" s="161"/>
      <c r="P128" s="118"/>
      <c r="Q128" s="118"/>
      <c r="R128" s="117"/>
      <c r="S128" s="117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64"/>
      <c r="O129" s="161"/>
      <c r="P129" s="118"/>
      <c r="Q129" s="118"/>
      <c r="R129" s="117"/>
      <c r="S129" s="117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64"/>
      <c r="O130" s="161"/>
      <c r="P130" s="118"/>
      <c r="Q130" s="118"/>
      <c r="R130" s="117"/>
      <c r="S130" s="117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64"/>
      <c r="O131" s="161"/>
      <c r="P131" s="118"/>
      <c r="Q131" s="118"/>
      <c r="R131" s="117"/>
      <c r="S131" s="117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64"/>
      <c r="O132" s="161"/>
      <c r="P132" s="118"/>
      <c r="Q132" s="118"/>
      <c r="R132" s="117"/>
      <c r="S132" s="117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64"/>
      <c r="O133" s="161"/>
      <c r="P133" s="118"/>
      <c r="Q133" s="118"/>
      <c r="R133" s="117"/>
      <c r="S133" s="117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64"/>
      <c r="O134" s="161"/>
      <c r="P134" s="118"/>
      <c r="Q134" s="118"/>
      <c r="R134" s="117"/>
      <c r="S134" s="117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64"/>
      <c r="O135" s="161"/>
      <c r="P135" s="118"/>
      <c r="Q135" s="118"/>
      <c r="R135" s="117"/>
      <c r="S135" s="117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64"/>
      <c r="O136" s="161"/>
      <c r="P136" s="118"/>
      <c r="Q136" s="118"/>
      <c r="R136" s="117"/>
      <c r="S136" s="117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64"/>
      <c r="O137" s="161"/>
      <c r="P137" s="118"/>
      <c r="Q137" s="118"/>
      <c r="R137" s="117"/>
      <c r="S137" s="117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64"/>
      <c r="O138" s="161"/>
      <c r="P138" s="118"/>
      <c r="Q138" s="118"/>
      <c r="R138" s="117"/>
      <c r="S138" s="117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64"/>
      <c r="O139" s="161"/>
      <c r="P139" s="118"/>
      <c r="Q139" s="118"/>
      <c r="R139" s="117"/>
      <c r="S139" s="117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64"/>
      <c r="O140" s="161"/>
      <c r="P140" s="118"/>
      <c r="Q140" s="118"/>
      <c r="R140" s="117"/>
      <c r="S140" s="117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64"/>
      <c r="O141" s="161"/>
      <c r="P141" s="118"/>
      <c r="Q141" s="118"/>
      <c r="R141" s="117"/>
      <c r="S141" s="117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64"/>
      <c r="O142" s="161"/>
      <c r="P142" s="118"/>
      <c r="Q142" s="118"/>
      <c r="R142" s="117"/>
      <c r="S142" s="117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64"/>
      <c r="O143" s="161"/>
      <c r="P143" s="118"/>
      <c r="Q143" s="118"/>
      <c r="R143" s="117"/>
      <c r="S143" s="117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64"/>
      <c r="O144" s="161"/>
      <c r="P144" s="118"/>
      <c r="Q144" s="118"/>
      <c r="R144" s="117"/>
      <c r="S144" s="117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64"/>
      <c r="O145" s="161"/>
      <c r="P145" s="118"/>
      <c r="Q145" s="118"/>
      <c r="R145" s="117"/>
      <c r="S145" s="117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64"/>
      <c r="O146" s="161"/>
      <c r="P146" s="118"/>
      <c r="Q146" s="118"/>
      <c r="R146" s="117"/>
      <c r="S146" s="117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64"/>
      <c r="O147" s="161"/>
      <c r="P147" s="118"/>
      <c r="Q147" s="118"/>
      <c r="R147" s="117"/>
      <c r="S147" s="117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64"/>
      <c r="O148" s="161"/>
      <c r="P148" s="118"/>
      <c r="Q148" s="118"/>
      <c r="R148" s="117"/>
      <c r="S148" s="117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64"/>
      <c r="O149" s="161"/>
      <c r="P149" s="118"/>
      <c r="Q149" s="118"/>
      <c r="R149" s="117"/>
      <c r="S149" s="117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64"/>
      <c r="O150" s="161"/>
      <c r="P150" s="118"/>
      <c r="Q150" s="118"/>
      <c r="R150" s="117"/>
      <c r="S150" s="117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64"/>
      <c r="O151" s="161"/>
      <c r="P151" s="118"/>
      <c r="Q151" s="118"/>
      <c r="R151" s="117"/>
      <c r="S151" s="117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64"/>
      <c r="O152" s="161"/>
      <c r="P152" s="118"/>
      <c r="Q152" s="118"/>
      <c r="R152" s="117"/>
      <c r="S152" s="117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64"/>
      <c r="O153" s="161"/>
      <c r="P153" s="118"/>
      <c r="Q153" s="118"/>
      <c r="R153" s="117"/>
      <c r="S153" s="117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64"/>
      <c r="O154" s="161"/>
      <c r="P154" s="118"/>
      <c r="Q154" s="118"/>
      <c r="R154" s="117"/>
      <c r="S154" s="117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64"/>
      <c r="O155" s="161"/>
      <c r="P155" s="118"/>
      <c r="Q155" s="118"/>
      <c r="R155" s="117"/>
      <c r="S155" s="117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64"/>
      <c r="O156" s="161"/>
      <c r="P156" s="118"/>
      <c r="Q156" s="118"/>
      <c r="R156" s="117"/>
      <c r="S156" s="117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64"/>
      <c r="O157" s="161"/>
      <c r="P157" s="118"/>
      <c r="Q157" s="118"/>
      <c r="R157" s="117"/>
      <c r="S157" s="117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64"/>
      <c r="O158" s="161"/>
      <c r="P158" s="118"/>
      <c r="Q158" s="118"/>
      <c r="R158" s="117"/>
      <c r="S158" s="117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64"/>
      <c r="O159" s="161"/>
      <c r="P159" s="118"/>
      <c r="Q159" s="118"/>
      <c r="R159" s="117"/>
      <c r="S159" s="117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64"/>
      <c r="O160" s="161"/>
      <c r="P160" s="118"/>
      <c r="Q160" s="118"/>
      <c r="R160" s="117"/>
      <c r="S160" s="117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64"/>
      <c r="O161" s="161"/>
      <c r="P161" s="118"/>
      <c r="Q161" s="118"/>
      <c r="R161" s="117"/>
      <c r="S161" s="117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64"/>
      <c r="O162" s="161"/>
      <c r="P162" s="118"/>
      <c r="Q162" s="118"/>
      <c r="R162" s="117"/>
      <c r="S162" s="117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64"/>
      <c r="O163" s="161"/>
      <c r="P163" s="118"/>
      <c r="Q163" s="118"/>
      <c r="R163" s="117"/>
      <c r="S163" s="117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64"/>
      <c r="O164" s="161"/>
      <c r="P164" s="118"/>
      <c r="Q164" s="118"/>
      <c r="R164" s="117"/>
      <c r="S164" s="117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64"/>
      <c r="O165" s="161"/>
      <c r="P165" s="118"/>
      <c r="Q165" s="118"/>
      <c r="R165" s="117"/>
      <c r="S165" s="117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64"/>
      <c r="O166" s="161"/>
      <c r="P166" s="118"/>
      <c r="Q166" s="118"/>
      <c r="R166" s="117"/>
      <c r="S166" s="117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64"/>
      <c r="O167" s="161"/>
      <c r="P167" s="118"/>
      <c r="Q167" s="118"/>
      <c r="R167" s="117"/>
      <c r="S167" s="117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64"/>
      <c r="O168" s="161"/>
      <c r="P168" s="118"/>
      <c r="Q168" s="118"/>
      <c r="R168" s="117"/>
      <c r="S168" s="117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64"/>
      <c r="O169" s="161"/>
      <c r="P169" s="118"/>
      <c r="Q169" s="118"/>
      <c r="R169" s="117"/>
      <c r="S169" s="117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64"/>
      <c r="O170" s="161"/>
      <c r="P170" s="118"/>
      <c r="Q170" s="118"/>
      <c r="R170" s="117"/>
      <c r="S170" s="117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64"/>
      <c r="O171" s="161"/>
      <c r="P171" s="118"/>
      <c r="Q171" s="118"/>
      <c r="R171" s="117"/>
      <c r="S171" s="117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64"/>
      <c r="O172" s="161"/>
      <c r="P172" s="118"/>
      <c r="Q172" s="118"/>
      <c r="R172" s="117"/>
      <c r="S172" s="117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64"/>
      <c r="O173" s="161"/>
      <c r="P173" s="118"/>
      <c r="Q173" s="118"/>
      <c r="R173" s="117"/>
      <c r="S173" s="117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64"/>
      <c r="O174" s="161"/>
      <c r="P174" s="118"/>
      <c r="Q174" s="118"/>
      <c r="R174" s="117"/>
      <c r="S174" s="117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64"/>
      <c r="O175" s="161"/>
      <c r="P175" s="118"/>
      <c r="Q175" s="118"/>
      <c r="R175" s="117"/>
      <c r="S175" s="117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64"/>
      <c r="O176" s="161"/>
      <c r="P176" s="118"/>
      <c r="Q176" s="118"/>
      <c r="R176" s="117"/>
      <c r="S176" s="117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64"/>
      <c r="O177" s="161"/>
      <c r="P177" s="118"/>
      <c r="Q177" s="118"/>
      <c r="R177" s="117"/>
      <c r="S177" s="117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64"/>
      <c r="O178" s="161"/>
      <c r="P178" s="118"/>
      <c r="Q178" s="118"/>
      <c r="R178" s="117"/>
      <c r="S178" s="117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64"/>
      <c r="O179" s="161"/>
      <c r="P179" s="118"/>
      <c r="Q179" s="118"/>
      <c r="R179" s="117"/>
      <c r="S179" s="117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64"/>
      <c r="O180" s="161"/>
      <c r="P180" s="118"/>
      <c r="Q180" s="118"/>
      <c r="R180" s="117"/>
      <c r="S180" s="117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64"/>
      <c r="O181" s="161"/>
      <c r="P181" s="118"/>
      <c r="Q181" s="118"/>
      <c r="R181" s="117"/>
      <c r="S181" s="117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64"/>
      <c r="O182" s="161"/>
      <c r="P182" s="118"/>
      <c r="Q182" s="118"/>
      <c r="R182" s="117"/>
      <c r="S182" s="117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64"/>
      <c r="O183" s="161"/>
      <c r="P183" s="118"/>
      <c r="Q183" s="118"/>
      <c r="R183" s="117"/>
      <c r="S183" s="117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64"/>
      <c r="O184" s="161"/>
      <c r="P184" s="118"/>
      <c r="Q184" s="118"/>
      <c r="R184" s="117"/>
      <c r="S184" s="117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64"/>
      <c r="O185" s="161"/>
      <c r="P185" s="118"/>
      <c r="Q185" s="118"/>
      <c r="R185" s="117"/>
      <c r="S185" s="117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64"/>
      <c r="O186" s="161"/>
      <c r="P186" s="118"/>
      <c r="Q186" s="118"/>
      <c r="R186" s="117"/>
      <c r="S186" s="117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64"/>
      <c r="O187" s="161"/>
      <c r="P187" s="118"/>
      <c r="Q187" s="118"/>
      <c r="R187" s="117"/>
      <c r="S187" s="117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64"/>
      <c r="O188" s="161"/>
      <c r="P188" s="118"/>
      <c r="Q188" s="118"/>
      <c r="R188" s="117"/>
      <c r="S188" s="117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64"/>
      <c r="O189" s="161"/>
      <c r="P189" s="118"/>
      <c r="Q189" s="118"/>
      <c r="R189" s="117"/>
      <c r="S189" s="117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64"/>
      <c r="O190" s="161"/>
      <c r="P190" s="118"/>
      <c r="Q190" s="118"/>
      <c r="R190" s="117"/>
      <c r="S190" s="117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64"/>
      <c r="O191" s="161"/>
      <c r="P191" s="118"/>
      <c r="Q191" s="118"/>
      <c r="R191" s="117"/>
      <c r="S191" s="117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64"/>
      <c r="O192" s="161"/>
      <c r="P192" s="118"/>
      <c r="Q192" s="118"/>
      <c r="R192" s="117"/>
      <c r="S192" s="117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64"/>
      <c r="O193" s="161"/>
      <c r="P193" s="118"/>
      <c r="Q193" s="118"/>
      <c r="R193" s="117"/>
      <c r="S193" s="117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64"/>
      <c r="O194" s="161"/>
      <c r="P194" s="118"/>
      <c r="Q194" s="118"/>
      <c r="R194" s="117"/>
      <c r="S194" s="117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64"/>
      <c r="O195" s="161"/>
      <c r="P195" s="118"/>
      <c r="Q195" s="118"/>
      <c r="R195" s="117"/>
      <c r="S195" s="117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64"/>
      <c r="O196" s="161"/>
      <c r="P196" s="118"/>
      <c r="Q196" s="118"/>
      <c r="R196" s="117"/>
      <c r="S196" s="117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64"/>
      <c r="O197" s="161"/>
      <c r="P197" s="118"/>
      <c r="Q197" s="118"/>
      <c r="R197" s="117"/>
      <c r="S197" s="117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64"/>
      <c r="O198" s="161"/>
      <c r="P198" s="118"/>
      <c r="Q198" s="118"/>
      <c r="R198" s="117"/>
      <c r="S198" s="117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64"/>
      <c r="O199" s="161"/>
      <c r="P199" s="118"/>
      <c r="Q199" s="118"/>
      <c r="R199" s="117"/>
      <c r="S199" s="117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64"/>
      <c r="O200" s="161"/>
      <c r="P200" s="118"/>
      <c r="Q200" s="118"/>
      <c r="R200" s="117"/>
      <c r="S200" s="117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64"/>
      <c r="O201" s="161"/>
      <c r="P201" s="118"/>
      <c r="Q201" s="118"/>
      <c r="R201" s="117"/>
      <c r="S201" s="117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64"/>
      <c r="O202" s="161"/>
      <c r="P202" s="118"/>
      <c r="Q202" s="118"/>
      <c r="R202" s="117"/>
      <c r="S202" s="117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64"/>
      <c r="O203" s="161"/>
      <c r="P203" s="118"/>
      <c r="Q203" s="118"/>
      <c r="R203" s="117"/>
      <c r="S203" s="117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64"/>
      <c r="O204" s="161"/>
      <c r="P204" s="118"/>
      <c r="Q204" s="118"/>
      <c r="R204" s="117"/>
      <c r="S204" s="117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64"/>
      <c r="O205" s="161"/>
      <c r="P205" s="118"/>
      <c r="Q205" s="118"/>
      <c r="R205" s="117"/>
      <c r="S205" s="117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64"/>
      <c r="O206" s="161"/>
      <c r="P206" s="118"/>
      <c r="Q206" s="118"/>
      <c r="R206" s="117"/>
      <c r="S206" s="117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64"/>
      <c r="O207" s="161"/>
      <c r="P207" s="118"/>
      <c r="Q207" s="118"/>
      <c r="R207" s="117"/>
      <c r="S207" s="117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64"/>
      <c r="O208" s="161"/>
      <c r="P208" s="118"/>
      <c r="Q208" s="118"/>
      <c r="R208" s="117"/>
      <c r="S208" s="117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64"/>
      <c r="O209" s="161"/>
      <c r="P209" s="118"/>
      <c r="Q209" s="118"/>
      <c r="R209" s="117"/>
      <c r="S209" s="117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64"/>
      <c r="O210" s="161"/>
      <c r="P210" s="118"/>
      <c r="Q210" s="118"/>
      <c r="R210" s="117"/>
      <c r="S210" s="117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64"/>
      <c r="O211" s="161"/>
      <c r="P211" s="118"/>
      <c r="Q211" s="118"/>
      <c r="R211" s="117"/>
      <c r="S211" s="117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64"/>
      <c r="O212" s="161"/>
      <c r="P212" s="118"/>
      <c r="Q212" s="118"/>
      <c r="R212" s="117"/>
      <c r="S212" s="117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64"/>
      <c r="O213" s="161"/>
      <c r="P213" s="118"/>
      <c r="Q213" s="118"/>
      <c r="R213" s="117"/>
      <c r="S213" s="117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64"/>
      <c r="O214" s="161"/>
      <c r="P214" s="118"/>
      <c r="Q214" s="118"/>
      <c r="R214" s="117"/>
      <c r="S214" s="117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64"/>
      <c r="O215" s="161"/>
      <c r="P215" s="118"/>
      <c r="Q215" s="118"/>
      <c r="R215" s="117"/>
      <c r="S215" s="117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64"/>
      <c r="O216" s="161"/>
      <c r="P216" s="118"/>
      <c r="Q216" s="118"/>
      <c r="R216" s="117"/>
      <c r="S216" s="117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64"/>
      <c r="O217" s="161"/>
      <c r="P217" s="118"/>
      <c r="Q217" s="118"/>
      <c r="R217" s="117"/>
      <c r="S217" s="117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64"/>
      <c r="O218" s="161"/>
      <c r="P218" s="118"/>
      <c r="Q218" s="118"/>
      <c r="R218" s="117"/>
      <c r="S218" s="117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64"/>
      <c r="O219" s="161"/>
      <c r="P219" s="118"/>
      <c r="Q219" s="118"/>
      <c r="R219" s="117"/>
      <c r="S219" s="117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64"/>
      <c r="O220" s="161"/>
      <c r="P220" s="118"/>
      <c r="Q220" s="118"/>
      <c r="R220" s="117"/>
      <c r="S220" s="117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64"/>
      <c r="O221" s="161"/>
      <c r="P221" s="118"/>
      <c r="Q221" s="118"/>
      <c r="R221" s="117"/>
      <c r="S221" s="117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64"/>
      <c r="O222" s="161"/>
      <c r="P222" s="118"/>
      <c r="Q222" s="118"/>
      <c r="R222" s="117"/>
      <c r="S222" s="117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64"/>
      <c r="O223" s="161"/>
      <c r="P223" s="118"/>
      <c r="Q223" s="118"/>
      <c r="R223" s="117"/>
      <c r="S223" s="117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64"/>
      <c r="O224" s="161"/>
      <c r="P224" s="118"/>
      <c r="Q224" s="118"/>
      <c r="R224" s="117"/>
      <c r="S224" s="117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64"/>
      <c r="O225" s="161"/>
      <c r="P225" s="118"/>
      <c r="Q225" s="118"/>
      <c r="R225" s="117"/>
      <c r="S225" s="117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64"/>
      <c r="O226" s="161"/>
      <c r="P226" s="118"/>
      <c r="Q226" s="118"/>
      <c r="R226" s="117"/>
      <c r="S226" s="117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64"/>
      <c r="O227" s="161"/>
      <c r="P227" s="118"/>
      <c r="Q227" s="118"/>
      <c r="R227" s="117"/>
      <c r="S227" s="117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64"/>
      <c r="O228" s="161"/>
      <c r="P228" s="118"/>
      <c r="Q228" s="118"/>
      <c r="R228" s="117"/>
      <c r="S228" s="117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64"/>
      <c r="O229" s="161"/>
      <c r="P229" s="118"/>
      <c r="Q229" s="118"/>
      <c r="R229" s="117"/>
      <c r="S229" s="117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64"/>
      <c r="O230" s="161"/>
      <c r="P230" s="118"/>
      <c r="Q230" s="118"/>
      <c r="R230" s="117"/>
      <c r="S230" s="117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64"/>
      <c r="O231" s="161"/>
      <c r="P231" s="118"/>
      <c r="Q231" s="118"/>
      <c r="R231" s="117"/>
      <c r="S231" s="117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64"/>
      <c r="O232" s="161"/>
      <c r="P232" s="118"/>
      <c r="Q232" s="118"/>
      <c r="R232" s="117"/>
      <c r="S232" s="117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64"/>
      <c r="O233" s="161"/>
      <c r="P233" s="118"/>
      <c r="Q233" s="118"/>
      <c r="R233" s="117"/>
      <c r="S233" s="117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64"/>
      <c r="O234" s="161"/>
      <c r="P234" s="118"/>
      <c r="Q234" s="118"/>
      <c r="R234" s="117"/>
      <c r="S234" s="117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64"/>
      <c r="O235" s="161"/>
      <c r="P235" s="118"/>
      <c r="Q235" s="118"/>
      <c r="R235" s="117"/>
      <c r="S235" s="117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64"/>
      <c r="O236" s="161"/>
      <c r="P236" s="118"/>
      <c r="Q236" s="118"/>
      <c r="R236" s="117"/>
      <c r="S236" s="117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64"/>
      <c r="O237" s="161"/>
      <c r="P237" s="118"/>
      <c r="Q237" s="118"/>
      <c r="R237" s="117"/>
      <c r="S237" s="117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64"/>
      <c r="O238" s="161"/>
      <c r="P238" s="118"/>
      <c r="Q238" s="118"/>
      <c r="R238" s="117"/>
      <c r="S238" s="117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64"/>
      <c r="O239" s="161"/>
      <c r="P239" s="118"/>
      <c r="Q239" s="118"/>
      <c r="R239" s="117"/>
      <c r="S239" s="117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64"/>
      <c r="O240" s="161"/>
      <c r="P240" s="118"/>
      <c r="Q240" s="118"/>
      <c r="R240" s="117"/>
      <c r="S240" s="117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64"/>
      <c r="O241" s="161"/>
      <c r="P241" s="118"/>
      <c r="Q241" s="118"/>
      <c r="R241" s="117"/>
      <c r="S241" s="117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64"/>
      <c r="O242" s="161"/>
      <c r="P242" s="118"/>
      <c r="Q242" s="118"/>
      <c r="R242" s="117"/>
      <c r="S242" s="117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64"/>
      <c r="O243" s="161"/>
      <c r="P243" s="118"/>
      <c r="Q243" s="118"/>
      <c r="R243" s="117"/>
      <c r="S243" s="117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64"/>
      <c r="O244" s="161"/>
      <c r="P244" s="118"/>
      <c r="Q244" s="118"/>
      <c r="R244" s="117"/>
      <c r="S244" s="117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64"/>
      <c r="O245" s="161"/>
      <c r="P245" s="118"/>
      <c r="Q245" s="118"/>
      <c r="R245" s="117"/>
      <c r="S245" s="117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/>
      <c r="AR245" s="118"/>
      <c r="AS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64"/>
      <c r="O246" s="161"/>
      <c r="P246" s="118"/>
      <c r="Q246" s="118"/>
      <c r="R246" s="117"/>
      <c r="S246" s="117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64"/>
      <c r="O247" s="161"/>
      <c r="P247" s="118"/>
      <c r="Q247" s="118"/>
      <c r="R247" s="117"/>
      <c r="S247" s="117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64"/>
      <c r="O248" s="161"/>
      <c r="P248" s="118"/>
      <c r="Q248" s="118"/>
      <c r="R248" s="117"/>
      <c r="S248" s="117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64"/>
      <c r="O249" s="161"/>
      <c r="P249" s="118"/>
      <c r="Q249" s="118"/>
      <c r="R249" s="117"/>
      <c r="S249" s="117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AQ249" s="118"/>
      <c r="AR249" s="118"/>
      <c r="AS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64"/>
      <c r="O250" s="161"/>
      <c r="P250" s="118"/>
      <c r="Q250" s="118"/>
      <c r="R250" s="117"/>
      <c r="S250" s="117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64"/>
      <c r="O251" s="161"/>
      <c r="P251" s="118"/>
      <c r="Q251" s="118"/>
      <c r="R251" s="117"/>
      <c r="S251" s="117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/>
      <c r="AS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64"/>
      <c r="O252" s="161"/>
      <c r="P252" s="118"/>
      <c r="Q252" s="118"/>
      <c r="R252" s="117"/>
      <c r="S252" s="117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AQ252" s="118"/>
      <c r="AR252" s="118"/>
      <c r="AS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64"/>
      <c r="O253" s="161"/>
      <c r="P253" s="118"/>
      <c r="Q253" s="118"/>
      <c r="R253" s="117"/>
      <c r="S253" s="117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64"/>
      <c r="O254" s="161"/>
      <c r="P254" s="118"/>
      <c r="Q254" s="118"/>
      <c r="R254" s="117"/>
      <c r="S254" s="117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64"/>
      <c r="O255" s="161"/>
      <c r="P255" s="118"/>
      <c r="Q255" s="118"/>
      <c r="R255" s="117"/>
      <c r="S255" s="117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64"/>
      <c r="O256" s="161"/>
      <c r="P256" s="118"/>
      <c r="Q256" s="118"/>
      <c r="R256" s="117"/>
      <c r="S256" s="117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64"/>
      <c r="O257" s="161"/>
      <c r="P257" s="118"/>
      <c r="Q257" s="118"/>
      <c r="R257" s="117"/>
      <c r="S257" s="117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64"/>
      <c r="O258" s="161"/>
      <c r="P258" s="118"/>
      <c r="Q258" s="118"/>
      <c r="R258" s="117"/>
      <c r="S258" s="117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64"/>
      <c r="O259" s="161"/>
      <c r="P259" s="118"/>
      <c r="Q259" s="118"/>
      <c r="R259" s="117"/>
      <c r="S259" s="117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/>
      <c r="AR259" s="118"/>
      <c r="AS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64"/>
      <c r="O260" s="161"/>
      <c r="P260" s="118"/>
      <c r="Q260" s="118"/>
      <c r="R260" s="117"/>
      <c r="S260" s="117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64"/>
      <c r="O261" s="161"/>
      <c r="P261" s="118"/>
      <c r="Q261" s="118"/>
      <c r="R261" s="117"/>
      <c r="S261" s="117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AQ261" s="118"/>
      <c r="AR261" s="118"/>
      <c r="AS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64"/>
      <c r="O262" s="161"/>
      <c r="P262" s="118"/>
      <c r="Q262" s="118"/>
      <c r="R262" s="117"/>
      <c r="S262" s="117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118"/>
      <c r="AQ262" s="118"/>
      <c r="AR262" s="118"/>
      <c r="AS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64"/>
      <c r="O263" s="161"/>
      <c r="P263" s="118"/>
      <c r="Q263" s="118"/>
      <c r="R263" s="117"/>
      <c r="S263" s="117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  <c r="AL263" s="118"/>
      <c r="AM263" s="118"/>
      <c r="AN263" s="118"/>
      <c r="AO263" s="118"/>
      <c r="AP263" s="118"/>
      <c r="AQ263" s="118"/>
      <c r="AR263" s="118"/>
      <c r="AS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64"/>
      <c r="O264" s="161"/>
      <c r="P264" s="118"/>
      <c r="Q264" s="118"/>
      <c r="R264" s="117"/>
      <c r="S264" s="117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AQ264" s="118"/>
      <c r="AR264" s="118"/>
      <c r="AS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64"/>
      <c r="O265" s="161"/>
      <c r="P265" s="118"/>
      <c r="Q265" s="118"/>
      <c r="R265" s="117"/>
      <c r="S265" s="117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AQ265" s="118"/>
      <c r="AR265" s="118"/>
      <c r="AS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64"/>
      <c r="O266" s="161"/>
      <c r="P266" s="118"/>
      <c r="Q266" s="118"/>
      <c r="R266" s="117"/>
      <c r="S266" s="117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AQ266" s="118"/>
      <c r="AR266" s="118"/>
      <c r="AS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64"/>
      <c r="O267" s="161"/>
      <c r="P267" s="118"/>
      <c r="Q267" s="118"/>
      <c r="R267" s="117"/>
      <c r="S267" s="117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AQ267" s="118"/>
      <c r="AR267" s="118"/>
      <c r="AS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64"/>
      <c r="O268" s="161"/>
      <c r="P268" s="118"/>
      <c r="Q268" s="118"/>
      <c r="R268" s="117"/>
      <c r="S268" s="117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AQ268" s="118"/>
      <c r="AR268" s="118"/>
      <c r="AS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64"/>
      <c r="O269" s="161"/>
      <c r="P269" s="118"/>
      <c r="Q269" s="118"/>
      <c r="R269" s="117"/>
      <c r="S269" s="117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64"/>
      <c r="O270" s="161"/>
      <c r="P270" s="118"/>
      <c r="Q270" s="118"/>
      <c r="R270" s="117"/>
      <c r="S270" s="117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AQ270" s="118"/>
      <c r="AR270" s="118"/>
      <c r="AS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64"/>
      <c r="O271" s="161"/>
      <c r="P271" s="118"/>
      <c r="Q271" s="118"/>
      <c r="R271" s="117"/>
      <c r="S271" s="117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64"/>
      <c r="O272" s="161"/>
      <c r="P272" s="118"/>
      <c r="Q272" s="118"/>
      <c r="R272" s="117"/>
      <c r="S272" s="117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  <c r="AK272" s="118"/>
      <c r="AL272" s="118"/>
      <c r="AM272" s="118"/>
      <c r="AN272" s="118"/>
      <c r="AO272" s="118"/>
      <c r="AP272" s="118"/>
      <c r="AQ272" s="118"/>
      <c r="AR272" s="118"/>
      <c r="AS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64"/>
      <c r="O273" s="161"/>
      <c r="P273" s="118"/>
      <c r="Q273" s="118"/>
      <c r="R273" s="117"/>
      <c r="S273" s="117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64"/>
      <c r="O274" s="161"/>
      <c r="P274" s="118"/>
      <c r="Q274" s="118"/>
      <c r="R274" s="117"/>
      <c r="S274" s="117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  <c r="AL274" s="118"/>
      <c r="AM274" s="118"/>
      <c r="AN274" s="118"/>
      <c r="AO274" s="118"/>
      <c r="AP274" s="118"/>
      <c r="AQ274" s="118"/>
      <c r="AR274" s="118"/>
      <c r="AS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64"/>
      <c r="O275" s="161"/>
      <c r="P275" s="118"/>
      <c r="Q275" s="118"/>
      <c r="R275" s="117"/>
      <c r="S275" s="117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  <c r="AL275" s="118"/>
      <c r="AM275" s="118"/>
      <c r="AN275" s="118"/>
      <c r="AO275" s="118"/>
      <c r="AP275" s="118"/>
      <c r="AQ275" s="118"/>
      <c r="AR275" s="118"/>
      <c r="AS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64"/>
      <c r="O276" s="161"/>
      <c r="P276" s="118"/>
      <c r="Q276" s="118"/>
      <c r="R276" s="117"/>
      <c r="S276" s="117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64"/>
      <c r="O277" s="161"/>
      <c r="P277" s="118"/>
      <c r="Q277" s="118"/>
      <c r="R277" s="117"/>
      <c r="S277" s="117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  <c r="AL277" s="118"/>
      <c r="AM277" s="118"/>
      <c r="AN277" s="118"/>
      <c r="AO277" s="118"/>
      <c r="AP277" s="118"/>
      <c r="AQ277" s="118"/>
      <c r="AR277" s="118"/>
      <c r="AS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64"/>
      <c r="O278" s="161"/>
      <c r="P278" s="118"/>
      <c r="Q278" s="118"/>
      <c r="R278" s="117"/>
      <c r="S278" s="117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64"/>
      <c r="O279" s="161"/>
      <c r="P279" s="118"/>
      <c r="Q279" s="118"/>
      <c r="R279" s="117"/>
      <c r="S279" s="117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64"/>
      <c r="O280" s="161"/>
      <c r="P280" s="118"/>
      <c r="Q280" s="118"/>
      <c r="R280" s="117"/>
      <c r="S280" s="117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64"/>
      <c r="O281" s="161"/>
      <c r="P281" s="118"/>
      <c r="Q281" s="118"/>
      <c r="R281" s="117"/>
      <c r="S281" s="117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64"/>
      <c r="O282" s="161"/>
      <c r="P282" s="118"/>
      <c r="Q282" s="118"/>
      <c r="R282" s="117"/>
      <c r="S282" s="117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64"/>
      <c r="O283" s="161"/>
      <c r="P283" s="118"/>
      <c r="Q283" s="118"/>
      <c r="R283" s="117"/>
      <c r="S283" s="117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64"/>
      <c r="O284" s="161"/>
      <c r="P284" s="118"/>
      <c r="Q284" s="118"/>
      <c r="R284" s="117"/>
      <c r="S284" s="117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64"/>
      <c r="O285" s="161"/>
      <c r="P285" s="118"/>
      <c r="Q285" s="118"/>
      <c r="R285" s="117"/>
      <c r="S285" s="117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64"/>
      <c r="O286" s="161"/>
      <c r="P286" s="118"/>
      <c r="Q286" s="118"/>
      <c r="R286" s="117"/>
      <c r="S286" s="117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64"/>
      <c r="O287" s="161"/>
      <c r="P287" s="118"/>
      <c r="Q287" s="118"/>
      <c r="R287" s="117"/>
      <c r="S287" s="117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64"/>
      <c r="O288" s="161"/>
      <c r="P288" s="118"/>
      <c r="Q288" s="118"/>
      <c r="R288" s="117"/>
      <c r="S288" s="117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64"/>
      <c r="O289" s="161"/>
      <c r="P289" s="118"/>
      <c r="Q289" s="118"/>
      <c r="R289" s="117"/>
      <c r="S289" s="117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64"/>
      <c r="O290" s="161"/>
      <c r="P290" s="118"/>
      <c r="Q290" s="118"/>
      <c r="R290" s="117"/>
      <c r="S290" s="117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64"/>
      <c r="O291" s="161"/>
      <c r="P291" s="118"/>
      <c r="Q291" s="118"/>
      <c r="R291" s="117"/>
      <c r="S291" s="117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64"/>
      <c r="O292" s="161"/>
      <c r="P292" s="118"/>
      <c r="Q292" s="118"/>
      <c r="R292" s="117"/>
      <c r="S292" s="117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64"/>
      <c r="O293" s="161"/>
      <c r="P293" s="118"/>
      <c r="Q293" s="118"/>
      <c r="R293" s="117"/>
      <c r="S293" s="117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64"/>
      <c r="O294" s="161"/>
      <c r="P294" s="118"/>
      <c r="Q294" s="118"/>
      <c r="R294" s="117"/>
      <c r="S294" s="117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64"/>
      <c r="O295" s="161"/>
      <c r="P295" s="118"/>
      <c r="Q295" s="118"/>
      <c r="R295" s="117"/>
      <c r="S295" s="117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64"/>
      <c r="O296" s="161"/>
      <c r="P296" s="118"/>
      <c r="Q296" s="118"/>
      <c r="R296" s="117"/>
      <c r="S296" s="117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64"/>
      <c r="O297" s="161"/>
      <c r="P297" s="118"/>
      <c r="Q297" s="118"/>
      <c r="R297" s="117"/>
      <c r="S297" s="117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64"/>
      <c r="O298" s="161"/>
      <c r="P298" s="118"/>
      <c r="Q298" s="118"/>
      <c r="R298" s="117"/>
      <c r="S298" s="117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  <c r="AL298" s="118"/>
      <c r="AM298" s="118"/>
      <c r="AN298" s="118"/>
      <c r="AO298" s="118"/>
      <c r="AP298" s="118"/>
      <c r="AQ298" s="118"/>
      <c r="AR298" s="118"/>
      <c r="AS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64"/>
      <c r="O299" s="161"/>
      <c r="P299" s="118"/>
      <c r="Q299" s="118"/>
      <c r="R299" s="117"/>
      <c r="S299" s="117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  <c r="AL299" s="118"/>
      <c r="AM299" s="118"/>
      <c r="AN299" s="118"/>
      <c r="AO299" s="118"/>
      <c r="AP299" s="118"/>
      <c r="AQ299" s="118"/>
      <c r="AR299" s="118"/>
      <c r="AS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64"/>
      <c r="O300" s="161"/>
      <c r="P300" s="118"/>
      <c r="Q300" s="118"/>
      <c r="R300" s="117"/>
      <c r="S300" s="117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  <c r="AL300" s="118"/>
      <c r="AM300" s="118"/>
      <c r="AN300" s="118"/>
      <c r="AO300" s="118"/>
      <c r="AP300" s="118"/>
      <c r="AQ300" s="118"/>
      <c r="AR300" s="118"/>
      <c r="AS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64"/>
      <c r="O301" s="161"/>
      <c r="P301" s="118"/>
      <c r="Q301" s="118"/>
      <c r="R301" s="117"/>
      <c r="S301" s="117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/>
      <c r="AO301" s="118"/>
      <c r="AP301" s="118"/>
      <c r="AQ301" s="118"/>
      <c r="AR301" s="118"/>
      <c r="AS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64"/>
      <c r="O302" s="161"/>
      <c r="P302" s="118"/>
      <c r="Q302" s="118"/>
      <c r="R302" s="117"/>
      <c r="S302" s="117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  <c r="AL302" s="118"/>
      <c r="AM302" s="118"/>
      <c r="AN302" s="118"/>
      <c r="AO302" s="118"/>
      <c r="AP302" s="118"/>
      <c r="AQ302" s="118"/>
      <c r="AR302" s="118"/>
      <c r="AS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64"/>
      <c r="O303" s="161"/>
      <c r="P303" s="118"/>
      <c r="Q303" s="118"/>
      <c r="R303" s="117"/>
      <c r="S303" s="117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64"/>
      <c r="O304" s="161"/>
      <c r="P304" s="118"/>
      <c r="Q304" s="118"/>
      <c r="R304" s="117"/>
      <c r="S304" s="117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  <c r="AO304" s="118"/>
      <c r="AP304" s="118"/>
      <c r="AQ304" s="118"/>
      <c r="AR304" s="118"/>
      <c r="AS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64"/>
      <c r="O305" s="161"/>
      <c r="P305" s="118"/>
      <c r="Q305" s="118"/>
      <c r="R305" s="117"/>
      <c r="S305" s="117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64"/>
      <c r="O306" s="161"/>
      <c r="P306" s="118"/>
      <c r="Q306" s="118"/>
      <c r="R306" s="117"/>
      <c r="S306" s="117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64"/>
      <c r="O307" s="161"/>
      <c r="P307" s="118"/>
      <c r="Q307" s="118"/>
      <c r="R307" s="117"/>
      <c r="S307" s="117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64"/>
      <c r="O308" s="161"/>
      <c r="P308" s="118"/>
      <c r="Q308" s="118"/>
      <c r="R308" s="117"/>
      <c r="S308" s="117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64"/>
      <c r="O309" s="161"/>
      <c r="P309" s="118"/>
      <c r="Q309" s="118"/>
      <c r="R309" s="117"/>
      <c r="S309" s="117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64"/>
      <c r="O310" s="161"/>
      <c r="P310" s="118"/>
      <c r="Q310" s="118"/>
      <c r="R310" s="117"/>
      <c r="S310" s="117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64"/>
      <c r="O311" s="161"/>
      <c r="P311" s="118"/>
      <c r="Q311" s="118"/>
      <c r="R311" s="117"/>
      <c r="S311" s="117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64"/>
      <c r="O312" s="161"/>
      <c r="P312" s="118"/>
      <c r="Q312" s="118"/>
      <c r="R312" s="117"/>
      <c r="S312" s="117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64"/>
      <c r="O313" s="161"/>
      <c r="P313" s="118"/>
      <c r="Q313" s="118"/>
      <c r="R313" s="117"/>
      <c r="S313" s="117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64"/>
      <c r="O314" s="161"/>
      <c r="P314" s="118"/>
      <c r="Q314" s="118"/>
      <c r="R314" s="117"/>
      <c r="S314" s="117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64"/>
      <c r="O315" s="161"/>
      <c r="P315" s="118"/>
      <c r="Q315" s="118"/>
      <c r="R315" s="117"/>
      <c r="S315" s="117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64"/>
      <c r="O316" s="161"/>
      <c r="P316" s="118"/>
      <c r="Q316" s="118"/>
      <c r="R316" s="117"/>
      <c r="S316" s="117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64"/>
      <c r="O317" s="161"/>
      <c r="P317" s="118"/>
      <c r="Q317" s="118"/>
      <c r="R317" s="117"/>
      <c r="S317" s="117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64"/>
      <c r="O318" s="161"/>
      <c r="P318" s="118"/>
      <c r="Q318" s="118"/>
      <c r="R318" s="117"/>
      <c r="S318" s="117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64"/>
      <c r="O319" s="161"/>
      <c r="P319" s="118"/>
      <c r="Q319" s="118"/>
      <c r="R319" s="117"/>
      <c r="S319" s="117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64"/>
      <c r="O320" s="161"/>
      <c r="P320" s="118"/>
      <c r="Q320" s="118"/>
      <c r="R320" s="117"/>
      <c r="S320" s="117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64"/>
      <c r="O321" s="161"/>
      <c r="P321" s="118"/>
      <c r="Q321" s="118"/>
      <c r="R321" s="117"/>
      <c r="S321" s="117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  <c r="AL321" s="118"/>
      <c r="AM321" s="118"/>
      <c r="AN321" s="118"/>
      <c r="AO321" s="118"/>
      <c r="AP321" s="118"/>
      <c r="AQ321" s="118"/>
      <c r="AR321" s="118"/>
      <c r="AS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64"/>
      <c r="O322" s="161"/>
      <c r="P322" s="118"/>
      <c r="Q322" s="118"/>
      <c r="R322" s="117"/>
      <c r="S322" s="117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  <c r="AL322" s="118"/>
      <c r="AM322" s="118"/>
      <c r="AN322" s="118"/>
      <c r="AO322" s="118"/>
      <c r="AP322" s="118"/>
      <c r="AQ322" s="118"/>
      <c r="AR322" s="118"/>
      <c r="AS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64"/>
      <c r="O323" s="161"/>
      <c r="P323" s="118"/>
      <c r="Q323" s="118"/>
      <c r="R323" s="117"/>
      <c r="S323" s="117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8"/>
      <c r="AJ323" s="118"/>
      <c r="AK323" s="118"/>
      <c r="AL323" s="118"/>
      <c r="AM323" s="118"/>
      <c r="AN323" s="118"/>
      <c r="AO323" s="118"/>
      <c r="AP323" s="118"/>
      <c r="AQ323" s="118"/>
      <c r="AR323" s="118"/>
      <c r="AS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64"/>
      <c r="O324" s="161"/>
      <c r="P324" s="118"/>
      <c r="Q324" s="118"/>
      <c r="R324" s="117"/>
      <c r="S324" s="117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64"/>
      <c r="O325" s="161"/>
      <c r="P325" s="118"/>
      <c r="Q325" s="118"/>
      <c r="R325" s="117"/>
      <c r="S325" s="117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64"/>
      <c r="O326" s="161"/>
      <c r="P326" s="118"/>
      <c r="Q326" s="118"/>
      <c r="R326" s="117"/>
      <c r="S326" s="117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64"/>
      <c r="O327" s="161"/>
      <c r="P327" s="118"/>
      <c r="Q327" s="118"/>
      <c r="R327" s="117"/>
      <c r="S327" s="117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8"/>
      <c r="AJ327" s="118"/>
      <c r="AK327" s="118"/>
      <c r="AL327" s="118"/>
      <c r="AM327" s="118"/>
      <c r="AN327" s="118"/>
      <c r="AO327" s="118"/>
      <c r="AP327" s="118"/>
      <c r="AQ327" s="118"/>
      <c r="AR327" s="118"/>
      <c r="AS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64"/>
      <c r="O328" s="161"/>
      <c r="P328" s="118"/>
      <c r="Q328" s="118"/>
      <c r="R328" s="117"/>
      <c r="S328" s="117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8"/>
      <c r="AN328" s="118"/>
      <c r="AO328" s="118"/>
      <c r="AP328" s="118"/>
      <c r="AQ328" s="118"/>
      <c r="AR328" s="118"/>
      <c r="AS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64"/>
      <c r="O329" s="161"/>
      <c r="P329" s="118"/>
      <c r="Q329" s="118"/>
      <c r="R329" s="117"/>
      <c r="S329" s="117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64"/>
      <c r="O330" s="161"/>
      <c r="P330" s="118"/>
      <c r="Q330" s="118"/>
      <c r="R330" s="117"/>
      <c r="S330" s="117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64"/>
      <c r="O331" s="161"/>
      <c r="P331" s="118"/>
      <c r="Q331" s="118"/>
      <c r="R331" s="117"/>
      <c r="S331" s="117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64"/>
      <c r="O332" s="161"/>
      <c r="P332" s="118"/>
      <c r="Q332" s="118"/>
      <c r="R332" s="117"/>
      <c r="S332" s="117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  <c r="AL332" s="118"/>
      <c r="AM332" s="118"/>
      <c r="AN332" s="118"/>
      <c r="AO332" s="118"/>
      <c r="AP332" s="118"/>
      <c r="AQ332" s="118"/>
      <c r="AR332" s="118"/>
      <c r="AS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64"/>
      <c r="O333" s="161"/>
      <c r="P333" s="118"/>
      <c r="Q333" s="118"/>
      <c r="R333" s="117"/>
      <c r="S333" s="117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  <c r="AL333" s="118"/>
      <c r="AM333" s="118"/>
      <c r="AN333" s="118"/>
      <c r="AO333" s="118"/>
      <c r="AP333" s="118"/>
      <c r="AQ333" s="118"/>
      <c r="AR333" s="118"/>
      <c r="AS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64"/>
      <c r="O334" s="161"/>
      <c r="P334" s="118"/>
      <c r="Q334" s="118"/>
      <c r="R334" s="117"/>
      <c r="S334" s="117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8"/>
      <c r="AJ334" s="118"/>
      <c r="AK334" s="118"/>
      <c r="AL334" s="118"/>
      <c r="AM334" s="118"/>
      <c r="AN334" s="118"/>
      <c r="AO334" s="118"/>
      <c r="AP334" s="118"/>
      <c r="AQ334" s="118"/>
      <c r="AR334" s="118"/>
      <c r="AS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64"/>
      <c r="O335" s="161"/>
      <c r="P335" s="118"/>
      <c r="Q335" s="118"/>
      <c r="R335" s="117"/>
      <c r="S335" s="117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8"/>
      <c r="AJ335" s="118"/>
      <c r="AK335" s="118"/>
      <c r="AL335" s="118"/>
      <c r="AM335" s="118"/>
      <c r="AN335" s="118"/>
      <c r="AO335" s="118"/>
      <c r="AP335" s="118"/>
      <c r="AQ335" s="118"/>
      <c r="AR335" s="118"/>
      <c r="AS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64"/>
      <c r="O336" s="161"/>
      <c r="P336" s="118"/>
      <c r="Q336" s="118"/>
      <c r="R336" s="117"/>
      <c r="S336" s="117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8"/>
      <c r="AJ336" s="118"/>
      <c r="AK336" s="118"/>
      <c r="AL336" s="118"/>
      <c r="AM336" s="118"/>
      <c r="AN336" s="118"/>
      <c r="AO336" s="118"/>
      <c r="AP336" s="118"/>
      <c r="AQ336" s="118"/>
      <c r="AR336" s="118"/>
      <c r="AS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64"/>
      <c r="O337" s="161"/>
      <c r="P337" s="118"/>
      <c r="Q337" s="118"/>
      <c r="R337" s="117"/>
      <c r="S337" s="117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  <c r="AI337" s="118"/>
      <c r="AJ337" s="118"/>
      <c r="AK337" s="118"/>
      <c r="AL337" s="118"/>
      <c r="AM337" s="118"/>
      <c r="AN337" s="118"/>
      <c r="AO337" s="118"/>
      <c r="AP337" s="118"/>
      <c r="AQ337" s="118"/>
      <c r="AR337" s="118"/>
      <c r="AS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64"/>
      <c r="O338" s="161"/>
      <c r="P338" s="118"/>
      <c r="Q338" s="118"/>
      <c r="R338" s="117"/>
      <c r="S338" s="117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64"/>
      <c r="O339" s="161"/>
      <c r="P339" s="118"/>
      <c r="Q339" s="118"/>
      <c r="R339" s="117"/>
      <c r="S339" s="117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64"/>
      <c r="O340" s="161"/>
      <c r="P340" s="118"/>
      <c r="Q340" s="118"/>
      <c r="R340" s="117"/>
      <c r="S340" s="117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64"/>
      <c r="O341" s="161"/>
      <c r="P341" s="118"/>
      <c r="Q341" s="118"/>
      <c r="R341" s="117"/>
      <c r="S341" s="117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18"/>
      <c r="AS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64"/>
      <c r="O342" s="161"/>
      <c r="P342" s="118"/>
      <c r="Q342" s="118"/>
      <c r="R342" s="117"/>
      <c r="S342" s="117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18"/>
      <c r="AS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64"/>
      <c r="O343" s="161"/>
      <c r="P343" s="118"/>
      <c r="Q343" s="118"/>
      <c r="R343" s="117"/>
      <c r="S343" s="117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18"/>
      <c r="AS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64"/>
      <c r="O344" s="161"/>
      <c r="P344" s="118"/>
      <c r="Q344" s="118"/>
      <c r="R344" s="117"/>
      <c r="S344" s="117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18"/>
      <c r="AS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64"/>
      <c r="O345" s="161"/>
      <c r="P345" s="118"/>
      <c r="Q345" s="118"/>
      <c r="R345" s="117"/>
      <c r="S345" s="117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64"/>
      <c r="O346" s="161"/>
      <c r="P346" s="118"/>
      <c r="Q346" s="118"/>
      <c r="R346" s="117"/>
      <c r="S346" s="117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64"/>
      <c r="O347" s="161"/>
      <c r="P347" s="118"/>
      <c r="Q347" s="118"/>
      <c r="R347" s="117"/>
      <c r="S347" s="117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64"/>
      <c r="O348" s="161"/>
      <c r="P348" s="118"/>
      <c r="Q348" s="118"/>
      <c r="R348" s="117"/>
      <c r="S348" s="117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64"/>
      <c r="O349" s="161"/>
      <c r="P349" s="118"/>
      <c r="Q349" s="118"/>
      <c r="R349" s="117"/>
      <c r="S349" s="117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64"/>
      <c r="O350" s="161"/>
      <c r="P350" s="118"/>
      <c r="Q350" s="118"/>
      <c r="R350" s="117"/>
      <c r="S350" s="117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  <c r="AL350" s="118"/>
      <c r="AM350" s="118"/>
      <c r="AN350" s="118"/>
      <c r="AO350" s="118"/>
      <c r="AP350" s="118"/>
      <c r="AQ350" s="118"/>
      <c r="AR350" s="118"/>
      <c r="AS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64"/>
      <c r="O351" s="161"/>
      <c r="P351" s="118"/>
      <c r="Q351" s="118"/>
      <c r="R351" s="117"/>
      <c r="S351" s="117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64"/>
      <c r="O352" s="161"/>
      <c r="P352" s="118"/>
      <c r="Q352" s="118"/>
      <c r="R352" s="117"/>
      <c r="S352" s="117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64"/>
      <c r="O353" s="161"/>
      <c r="P353" s="118"/>
      <c r="Q353" s="118"/>
      <c r="R353" s="117"/>
      <c r="S353" s="117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64"/>
      <c r="O354" s="161"/>
      <c r="P354" s="118"/>
      <c r="Q354" s="118"/>
      <c r="R354" s="117"/>
      <c r="S354" s="117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64"/>
      <c r="O355" s="161"/>
      <c r="P355" s="118"/>
      <c r="Q355" s="118"/>
      <c r="R355" s="117"/>
      <c r="S355" s="117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  <c r="AL355" s="118"/>
      <c r="AM355" s="118"/>
      <c r="AN355" s="118"/>
      <c r="AO355" s="118"/>
      <c r="AP355" s="118"/>
      <c r="AQ355" s="118"/>
      <c r="AR355" s="118"/>
      <c r="AS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64"/>
      <c r="O356" s="161"/>
      <c r="P356" s="118"/>
      <c r="Q356" s="118"/>
      <c r="R356" s="117"/>
      <c r="S356" s="117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118"/>
      <c r="AN356" s="118"/>
      <c r="AO356" s="118"/>
      <c r="AP356" s="118"/>
      <c r="AQ356" s="118"/>
      <c r="AR356" s="118"/>
      <c r="AS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64"/>
      <c r="O357" s="161"/>
      <c r="P357" s="118"/>
      <c r="Q357" s="118"/>
      <c r="R357" s="117"/>
      <c r="S357" s="117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118"/>
      <c r="AN357" s="118"/>
      <c r="AO357" s="118"/>
      <c r="AP357" s="118"/>
      <c r="AQ357" s="118"/>
      <c r="AR357" s="118"/>
      <c r="AS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64"/>
      <c r="O358" s="161"/>
      <c r="P358" s="118"/>
      <c r="Q358" s="118"/>
      <c r="R358" s="117"/>
      <c r="S358" s="117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64"/>
      <c r="O359" s="161"/>
      <c r="P359" s="118"/>
      <c r="Q359" s="118"/>
      <c r="R359" s="117"/>
      <c r="S359" s="117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64"/>
      <c r="O360" s="161"/>
      <c r="P360" s="118"/>
      <c r="Q360" s="118"/>
      <c r="R360" s="117"/>
      <c r="S360" s="117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64"/>
      <c r="O361" s="161"/>
      <c r="P361" s="118"/>
      <c r="Q361" s="118"/>
      <c r="R361" s="117"/>
      <c r="S361" s="117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64"/>
      <c r="O362" s="161"/>
      <c r="P362" s="118"/>
      <c r="Q362" s="118"/>
      <c r="R362" s="117"/>
      <c r="S362" s="117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64"/>
      <c r="O363" s="161"/>
      <c r="P363" s="118"/>
      <c r="Q363" s="118"/>
      <c r="R363" s="117"/>
      <c r="S363" s="117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64"/>
      <c r="O364" s="161"/>
      <c r="P364" s="118"/>
      <c r="Q364" s="118"/>
      <c r="R364" s="117"/>
      <c r="S364" s="117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64"/>
      <c r="O365" s="161"/>
      <c r="P365" s="118"/>
      <c r="Q365" s="118"/>
      <c r="R365" s="117"/>
      <c r="S365" s="117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64"/>
      <c r="O366" s="161"/>
      <c r="P366" s="118"/>
      <c r="Q366" s="118"/>
      <c r="R366" s="117"/>
      <c r="S366" s="117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64"/>
      <c r="O367" s="161"/>
      <c r="P367" s="118"/>
      <c r="Q367" s="118"/>
      <c r="R367" s="117"/>
      <c r="S367" s="117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64"/>
      <c r="O368" s="161"/>
      <c r="P368" s="118"/>
      <c r="Q368" s="118"/>
      <c r="R368" s="117"/>
      <c r="S368" s="117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64"/>
      <c r="O369" s="161"/>
      <c r="P369" s="118"/>
      <c r="Q369" s="118"/>
      <c r="R369" s="117"/>
      <c r="S369" s="117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64"/>
      <c r="O370" s="161"/>
      <c r="P370" s="118"/>
      <c r="Q370" s="118"/>
      <c r="R370" s="117"/>
      <c r="S370" s="117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64"/>
      <c r="O371" s="161"/>
      <c r="P371" s="118"/>
      <c r="Q371" s="118"/>
      <c r="R371" s="117"/>
      <c r="S371" s="117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64"/>
      <c r="O372" s="161"/>
      <c r="P372" s="118"/>
      <c r="Q372" s="118"/>
      <c r="R372" s="117"/>
      <c r="S372" s="117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64"/>
      <c r="O373" s="161"/>
      <c r="P373" s="118"/>
      <c r="Q373" s="118"/>
      <c r="R373" s="117"/>
      <c r="S373" s="117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64"/>
      <c r="O374" s="161"/>
      <c r="P374" s="118"/>
      <c r="Q374" s="118"/>
      <c r="R374" s="117"/>
      <c r="S374" s="117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64"/>
      <c r="O375" s="161"/>
      <c r="P375" s="118"/>
      <c r="Q375" s="118"/>
      <c r="R375" s="117"/>
      <c r="S375" s="117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64"/>
      <c r="O376" s="161"/>
      <c r="P376" s="118"/>
      <c r="Q376" s="118"/>
      <c r="R376" s="117"/>
      <c r="S376" s="117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64"/>
      <c r="O377" s="161"/>
      <c r="P377" s="118"/>
      <c r="Q377" s="118"/>
      <c r="R377" s="117"/>
      <c r="S377" s="117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  <c r="AI377" s="118"/>
      <c r="AJ377" s="118"/>
      <c r="AK377" s="118"/>
      <c r="AL377" s="118"/>
      <c r="AM377" s="118"/>
      <c r="AN377" s="118"/>
      <c r="AO377" s="118"/>
      <c r="AP377" s="118"/>
      <c r="AQ377" s="118"/>
      <c r="AR377" s="118"/>
      <c r="AS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64"/>
      <c r="O378" s="161"/>
      <c r="P378" s="118"/>
      <c r="Q378" s="118"/>
      <c r="R378" s="117"/>
      <c r="S378" s="117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64"/>
      <c r="O379" s="161"/>
      <c r="P379" s="118"/>
      <c r="Q379" s="118"/>
      <c r="R379" s="117"/>
      <c r="S379" s="117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  <c r="AI379" s="118"/>
      <c r="AJ379" s="118"/>
      <c r="AK379" s="118"/>
      <c r="AL379" s="118"/>
      <c r="AM379" s="118"/>
      <c r="AN379" s="118"/>
      <c r="AO379" s="118"/>
      <c r="AP379" s="118"/>
      <c r="AQ379" s="118"/>
      <c r="AR379" s="118"/>
      <c r="AS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64"/>
      <c r="O380" s="161"/>
      <c r="P380" s="118"/>
      <c r="Q380" s="118"/>
      <c r="R380" s="117"/>
      <c r="S380" s="117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  <c r="AI380" s="118"/>
      <c r="AJ380" s="118"/>
      <c r="AK380" s="118"/>
      <c r="AL380" s="118"/>
      <c r="AM380" s="118"/>
      <c r="AN380" s="118"/>
      <c r="AO380" s="118"/>
      <c r="AP380" s="118"/>
      <c r="AQ380" s="118"/>
      <c r="AR380" s="118"/>
      <c r="AS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64"/>
      <c r="O381" s="161"/>
      <c r="P381" s="118"/>
      <c r="Q381" s="118"/>
      <c r="R381" s="117"/>
      <c r="S381" s="117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64"/>
      <c r="O382" s="161"/>
      <c r="P382" s="118"/>
      <c r="Q382" s="118"/>
      <c r="R382" s="117"/>
      <c r="S382" s="117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64"/>
      <c r="O383" s="161"/>
      <c r="P383" s="118"/>
      <c r="Q383" s="118"/>
      <c r="R383" s="117"/>
      <c r="S383" s="117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64"/>
      <c r="O384" s="161"/>
      <c r="P384" s="118"/>
      <c r="Q384" s="118"/>
      <c r="R384" s="117"/>
      <c r="S384" s="117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64"/>
      <c r="O385" s="161"/>
      <c r="P385" s="118"/>
      <c r="Q385" s="118"/>
      <c r="R385" s="117"/>
      <c r="S385" s="117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64"/>
      <c r="O386" s="161"/>
      <c r="P386" s="118"/>
      <c r="Q386" s="118"/>
      <c r="R386" s="117"/>
      <c r="S386" s="117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  <c r="AI386" s="118"/>
      <c r="AJ386" s="118"/>
      <c r="AK386" s="118"/>
      <c r="AL386" s="118"/>
      <c r="AM386" s="118"/>
      <c r="AN386" s="118"/>
      <c r="AO386" s="118"/>
      <c r="AP386" s="118"/>
      <c r="AQ386" s="118"/>
      <c r="AR386" s="118"/>
      <c r="AS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64"/>
      <c r="O387" s="161"/>
      <c r="P387" s="118"/>
      <c r="Q387" s="118"/>
      <c r="R387" s="117"/>
      <c r="S387" s="117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64"/>
      <c r="O388" s="161"/>
      <c r="P388" s="118"/>
      <c r="Q388" s="118"/>
      <c r="R388" s="117"/>
      <c r="S388" s="117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  <c r="AI388" s="118"/>
      <c r="AJ388" s="118"/>
      <c r="AK388" s="118"/>
      <c r="AL388" s="118"/>
      <c r="AM388" s="118"/>
      <c r="AN388" s="118"/>
      <c r="AO388" s="118"/>
      <c r="AP388" s="118"/>
      <c r="AQ388" s="118"/>
      <c r="AR388" s="118"/>
      <c r="AS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64"/>
      <c r="O389" s="161"/>
      <c r="P389" s="118"/>
      <c r="Q389" s="118"/>
      <c r="R389" s="117"/>
      <c r="S389" s="117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  <c r="AI389" s="118"/>
      <c r="AJ389" s="118"/>
      <c r="AK389" s="118"/>
      <c r="AL389" s="118"/>
      <c r="AM389" s="118"/>
      <c r="AN389" s="118"/>
      <c r="AO389" s="118"/>
      <c r="AP389" s="118"/>
      <c r="AQ389" s="118"/>
      <c r="AR389" s="118"/>
      <c r="AS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64"/>
      <c r="O390" s="161"/>
      <c r="P390" s="118"/>
      <c r="Q390" s="118"/>
      <c r="R390" s="117"/>
      <c r="S390" s="117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64"/>
      <c r="O391" s="161"/>
      <c r="P391" s="118"/>
      <c r="Q391" s="118"/>
      <c r="R391" s="117"/>
      <c r="S391" s="117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64"/>
      <c r="O392" s="161"/>
      <c r="P392" s="118"/>
      <c r="Q392" s="118"/>
      <c r="R392" s="117"/>
      <c r="S392" s="117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64"/>
      <c r="O393" s="161"/>
      <c r="P393" s="118"/>
      <c r="Q393" s="118"/>
      <c r="R393" s="117"/>
      <c r="S393" s="117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64"/>
      <c r="O394" s="161"/>
      <c r="P394" s="118"/>
      <c r="Q394" s="118"/>
      <c r="R394" s="117"/>
      <c r="S394" s="117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64"/>
      <c r="O395" s="161"/>
      <c r="P395" s="118"/>
      <c r="Q395" s="118"/>
      <c r="R395" s="117"/>
      <c r="S395" s="117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64"/>
      <c r="O396" s="161"/>
      <c r="P396" s="118"/>
      <c r="Q396" s="118"/>
      <c r="R396" s="117"/>
      <c r="S396" s="117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64"/>
      <c r="O397" s="161"/>
      <c r="P397" s="118"/>
      <c r="Q397" s="118"/>
      <c r="R397" s="117"/>
      <c r="S397" s="117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64"/>
      <c r="O398" s="161"/>
      <c r="P398" s="118"/>
      <c r="Q398" s="118"/>
      <c r="R398" s="117"/>
      <c r="S398" s="117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64"/>
      <c r="O399" s="161"/>
      <c r="P399" s="118"/>
      <c r="Q399" s="118"/>
      <c r="R399" s="117"/>
      <c r="S399" s="117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64"/>
      <c r="O400" s="161"/>
      <c r="P400" s="118"/>
      <c r="Q400" s="118"/>
      <c r="R400" s="117"/>
      <c r="S400" s="117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64"/>
      <c r="O401" s="161"/>
      <c r="P401" s="118"/>
      <c r="Q401" s="118"/>
      <c r="R401" s="117"/>
      <c r="S401" s="117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64"/>
      <c r="O402" s="161"/>
      <c r="P402" s="118"/>
      <c r="Q402" s="118"/>
      <c r="R402" s="117"/>
      <c r="S402" s="117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64"/>
      <c r="O403" s="161"/>
      <c r="P403" s="118"/>
      <c r="Q403" s="118"/>
      <c r="R403" s="117"/>
      <c r="S403" s="117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  <c r="AL403" s="118"/>
      <c r="AM403" s="118"/>
      <c r="AN403" s="118"/>
      <c r="AO403" s="118"/>
      <c r="AP403" s="118"/>
      <c r="AQ403" s="118"/>
      <c r="AR403" s="118"/>
      <c r="AS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64"/>
      <c r="O404" s="161"/>
      <c r="P404" s="118"/>
      <c r="Q404" s="118"/>
      <c r="R404" s="117"/>
      <c r="S404" s="117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64"/>
      <c r="O405" s="161"/>
      <c r="P405" s="118"/>
      <c r="Q405" s="118"/>
      <c r="R405" s="117"/>
      <c r="S405" s="117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64"/>
      <c r="O406" s="161"/>
      <c r="P406" s="118"/>
      <c r="Q406" s="118"/>
      <c r="R406" s="117"/>
      <c r="S406" s="117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64"/>
      <c r="O407" s="161"/>
      <c r="P407" s="118"/>
      <c r="Q407" s="118"/>
      <c r="R407" s="117"/>
      <c r="S407" s="117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64"/>
      <c r="O408" s="161"/>
      <c r="P408" s="118"/>
      <c r="Q408" s="118"/>
      <c r="R408" s="117"/>
      <c r="S408" s="117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/>
      <c r="AO408" s="118"/>
      <c r="AP408" s="118"/>
      <c r="AQ408" s="118"/>
      <c r="AR408" s="118"/>
      <c r="AS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64"/>
      <c r="O409" s="161"/>
      <c r="P409" s="118"/>
      <c r="Q409" s="118"/>
      <c r="R409" s="117"/>
      <c r="S409" s="117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64"/>
      <c r="O410" s="161"/>
      <c r="P410" s="118"/>
      <c r="Q410" s="118"/>
      <c r="R410" s="117"/>
      <c r="S410" s="117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  <c r="AL410" s="118"/>
      <c r="AM410" s="118"/>
      <c r="AN410" s="118"/>
      <c r="AO410" s="118"/>
      <c r="AP410" s="118"/>
      <c r="AQ410" s="118"/>
      <c r="AR410" s="118"/>
      <c r="AS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64"/>
      <c r="O411" s="161"/>
      <c r="P411" s="118"/>
      <c r="Q411" s="118"/>
      <c r="R411" s="117"/>
      <c r="S411" s="117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  <c r="AL411" s="118"/>
      <c r="AM411" s="118"/>
      <c r="AN411" s="118"/>
      <c r="AO411" s="118"/>
      <c r="AP411" s="118"/>
      <c r="AQ411" s="118"/>
      <c r="AR411" s="118"/>
      <c r="AS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64"/>
      <c r="O412" s="161"/>
      <c r="P412" s="118"/>
      <c r="Q412" s="118"/>
      <c r="R412" s="117"/>
      <c r="S412" s="117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64"/>
      <c r="O413" s="161"/>
      <c r="P413" s="118"/>
      <c r="Q413" s="118"/>
      <c r="R413" s="117"/>
      <c r="S413" s="117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64"/>
      <c r="O414" s="161"/>
      <c r="P414" s="118"/>
      <c r="Q414" s="118"/>
      <c r="R414" s="117"/>
      <c r="S414" s="117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  <c r="AL414" s="118"/>
      <c r="AM414" s="118"/>
      <c r="AN414" s="118"/>
      <c r="AO414" s="118"/>
      <c r="AP414" s="118"/>
      <c r="AQ414" s="118"/>
      <c r="AR414" s="118"/>
      <c r="AS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64"/>
      <c r="O415" s="161"/>
      <c r="P415" s="118"/>
      <c r="Q415" s="118"/>
      <c r="R415" s="117"/>
      <c r="S415" s="117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18"/>
      <c r="AN415" s="118"/>
      <c r="AO415" s="118"/>
      <c r="AP415" s="118"/>
      <c r="AQ415" s="118"/>
      <c r="AR415" s="118"/>
      <c r="AS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64"/>
      <c r="O416" s="161"/>
      <c r="P416" s="118"/>
      <c r="Q416" s="118"/>
      <c r="R416" s="117"/>
      <c r="S416" s="117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18"/>
      <c r="AK416" s="118"/>
      <c r="AL416" s="118"/>
      <c r="AM416" s="118"/>
      <c r="AN416" s="118"/>
      <c r="AO416" s="118"/>
      <c r="AP416" s="118"/>
      <c r="AQ416" s="118"/>
      <c r="AR416" s="118"/>
      <c r="AS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64"/>
      <c r="O417" s="161"/>
      <c r="P417" s="118"/>
      <c r="Q417" s="118"/>
      <c r="R417" s="117"/>
      <c r="S417" s="117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  <c r="AI417" s="118"/>
      <c r="AJ417" s="118"/>
      <c r="AK417" s="118"/>
      <c r="AL417" s="118"/>
      <c r="AM417" s="118"/>
      <c r="AN417" s="118"/>
      <c r="AO417" s="118"/>
      <c r="AP417" s="118"/>
      <c r="AQ417" s="118"/>
      <c r="AR417" s="118"/>
      <c r="AS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64"/>
      <c r="O418" s="161"/>
      <c r="P418" s="118"/>
      <c r="Q418" s="118"/>
      <c r="R418" s="117"/>
      <c r="S418" s="117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64"/>
      <c r="O419" s="161"/>
      <c r="P419" s="118"/>
      <c r="Q419" s="118"/>
      <c r="R419" s="117"/>
      <c r="S419" s="117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64"/>
      <c r="O420" s="161"/>
      <c r="P420" s="118"/>
      <c r="Q420" s="118"/>
      <c r="R420" s="117"/>
      <c r="S420" s="117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64"/>
      <c r="O421" s="161"/>
      <c r="P421" s="118"/>
      <c r="Q421" s="118"/>
      <c r="R421" s="117"/>
      <c r="S421" s="117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  <c r="AK421" s="118"/>
      <c r="AL421" s="118"/>
      <c r="AM421" s="118"/>
      <c r="AN421" s="118"/>
      <c r="AO421" s="118"/>
      <c r="AP421" s="118"/>
      <c r="AQ421" s="118"/>
      <c r="AR421" s="118"/>
      <c r="AS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64"/>
      <c r="O422" s="161"/>
      <c r="P422" s="118"/>
      <c r="Q422" s="118"/>
      <c r="R422" s="117"/>
      <c r="S422" s="117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  <c r="AK422" s="118"/>
      <c r="AL422" s="118"/>
      <c r="AM422" s="118"/>
      <c r="AN422" s="118"/>
      <c r="AO422" s="118"/>
      <c r="AP422" s="118"/>
      <c r="AQ422" s="118"/>
      <c r="AR422" s="118"/>
      <c r="AS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64"/>
      <c r="O423" s="161"/>
      <c r="P423" s="118"/>
      <c r="Q423" s="118"/>
      <c r="R423" s="117"/>
      <c r="S423" s="117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  <c r="AK423" s="118"/>
      <c r="AL423" s="118"/>
      <c r="AM423" s="118"/>
      <c r="AN423" s="118"/>
      <c r="AO423" s="118"/>
      <c r="AP423" s="118"/>
      <c r="AQ423" s="118"/>
      <c r="AR423" s="118"/>
      <c r="AS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64"/>
      <c r="O424" s="161"/>
      <c r="P424" s="118"/>
      <c r="Q424" s="118"/>
      <c r="R424" s="117"/>
      <c r="S424" s="117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  <c r="AK424" s="118"/>
      <c r="AL424" s="118"/>
      <c r="AM424" s="118"/>
      <c r="AN424" s="118"/>
      <c r="AO424" s="118"/>
      <c r="AP424" s="118"/>
      <c r="AQ424" s="118"/>
      <c r="AR424" s="118"/>
      <c r="AS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64"/>
      <c r="O425" s="161"/>
      <c r="P425" s="118"/>
      <c r="Q425" s="118"/>
      <c r="R425" s="117"/>
      <c r="S425" s="117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64"/>
      <c r="O426" s="161"/>
      <c r="P426" s="118"/>
      <c r="Q426" s="118"/>
      <c r="R426" s="117"/>
      <c r="S426" s="117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64"/>
      <c r="O427" s="161"/>
      <c r="P427" s="118"/>
      <c r="Q427" s="118"/>
      <c r="R427" s="117"/>
      <c r="S427" s="117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64"/>
      <c r="O428" s="161"/>
      <c r="P428" s="118"/>
      <c r="Q428" s="118"/>
      <c r="R428" s="117"/>
      <c r="S428" s="117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  <c r="AK428" s="118"/>
      <c r="AL428" s="118"/>
      <c r="AM428" s="118"/>
      <c r="AN428" s="118"/>
      <c r="AO428" s="118"/>
      <c r="AP428" s="118"/>
      <c r="AQ428" s="118"/>
      <c r="AR428" s="118"/>
      <c r="AS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64"/>
      <c r="O429" s="161"/>
      <c r="P429" s="118"/>
      <c r="Q429" s="118"/>
      <c r="R429" s="117"/>
      <c r="S429" s="117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  <c r="AK429" s="118"/>
      <c r="AL429" s="118"/>
      <c r="AM429" s="118"/>
      <c r="AN429" s="118"/>
      <c r="AO429" s="118"/>
      <c r="AP429" s="118"/>
      <c r="AQ429" s="118"/>
      <c r="AR429" s="118"/>
      <c r="AS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64"/>
      <c r="O430" s="161"/>
      <c r="P430" s="118"/>
      <c r="Q430" s="118"/>
      <c r="R430" s="117"/>
      <c r="S430" s="117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  <c r="AL430" s="118"/>
      <c r="AM430" s="118"/>
      <c r="AN430" s="118"/>
      <c r="AO430" s="118"/>
      <c r="AP430" s="118"/>
      <c r="AQ430" s="118"/>
      <c r="AR430" s="118"/>
      <c r="AS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64"/>
      <c r="O431" s="161"/>
      <c r="P431" s="118"/>
      <c r="Q431" s="118"/>
      <c r="R431" s="117"/>
      <c r="S431" s="117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  <c r="AL431" s="118"/>
      <c r="AM431" s="118"/>
      <c r="AN431" s="118"/>
      <c r="AO431" s="118"/>
      <c r="AP431" s="118"/>
      <c r="AQ431" s="118"/>
      <c r="AR431" s="118"/>
      <c r="AS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64"/>
      <c r="O432" s="161"/>
      <c r="P432" s="118"/>
      <c r="Q432" s="118"/>
      <c r="R432" s="117"/>
      <c r="S432" s="117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64"/>
      <c r="O433" s="161"/>
      <c r="P433" s="118"/>
      <c r="Q433" s="118"/>
      <c r="R433" s="117"/>
      <c r="S433" s="117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64"/>
      <c r="O434" s="161"/>
      <c r="P434" s="118"/>
      <c r="Q434" s="118"/>
      <c r="R434" s="117"/>
      <c r="S434" s="117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  <c r="AK434" s="118"/>
      <c r="AL434" s="118"/>
      <c r="AM434" s="118"/>
      <c r="AN434" s="118"/>
      <c r="AO434" s="118"/>
      <c r="AP434" s="118"/>
      <c r="AQ434" s="118"/>
      <c r="AR434" s="118"/>
      <c r="AS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64"/>
      <c r="O435" s="161"/>
      <c r="P435" s="118"/>
      <c r="Q435" s="118"/>
      <c r="R435" s="117"/>
      <c r="S435" s="117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  <c r="AK435" s="118"/>
      <c r="AL435" s="118"/>
      <c r="AM435" s="118"/>
      <c r="AN435" s="118"/>
      <c r="AO435" s="118"/>
      <c r="AP435" s="118"/>
      <c r="AQ435" s="118"/>
      <c r="AR435" s="118"/>
      <c r="AS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64"/>
      <c r="O436" s="161"/>
      <c r="P436" s="118"/>
      <c r="Q436" s="118"/>
      <c r="R436" s="117"/>
      <c r="S436" s="117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  <c r="AK436" s="118"/>
      <c r="AL436" s="118"/>
      <c r="AM436" s="118"/>
      <c r="AN436" s="118"/>
      <c r="AO436" s="118"/>
      <c r="AP436" s="118"/>
      <c r="AQ436" s="118"/>
      <c r="AR436" s="118"/>
      <c r="AS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64"/>
      <c r="O437" s="161"/>
      <c r="P437" s="118"/>
      <c r="Q437" s="118"/>
      <c r="R437" s="117"/>
      <c r="S437" s="117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  <c r="AK437" s="118"/>
      <c r="AL437" s="118"/>
      <c r="AM437" s="118"/>
      <c r="AN437" s="118"/>
      <c r="AO437" s="118"/>
      <c r="AP437" s="118"/>
      <c r="AQ437" s="118"/>
      <c r="AR437" s="118"/>
      <c r="AS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64"/>
      <c r="O438" s="161"/>
      <c r="P438" s="118"/>
      <c r="Q438" s="118"/>
      <c r="R438" s="117"/>
      <c r="S438" s="117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  <c r="AL438" s="118"/>
      <c r="AM438" s="118"/>
      <c r="AN438" s="118"/>
      <c r="AO438" s="118"/>
      <c r="AP438" s="118"/>
      <c r="AQ438" s="118"/>
      <c r="AR438" s="118"/>
      <c r="AS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64"/>
      <c r="O439" s="161"/>
      <c r="P439" s="118"/>
      <c r="Q439" s="118"/>
      <c r="R439" s="117"/>
      <c r="S439" s="117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  <c r="AL439" s="118"/>
      <c r="AM439" s="118"/>
      <c r="AN439" s="118"/>
      <c r="AO439" s="118"/>
      <c r="AP439" s="118"/>
      <c r="AQ439" s="118"/>
      <c r="AR439" s="118"/>
      <c r="AS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64"/>
      <c r="O440" s="161"/>
      <c r="P440" s="118"/>
      <c r="Q440" s="118"/>
      <c r="R440" s="117"/>
      <c r="S440" s="117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64"/>
      <c r="O441" s="161"/>
      <c r="P441" s="118"/>
      <c r="Q441" s="118"/>
      <c r="R441" s="117"/>
      <c r="S441" s="117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  <c r="AL441" s="118"/>
      <c r="AM441" s="118"/>
      <c r="AN441" s="118"/>
      <c r="AO441" s="118"/>
      <c r="AP441" s="118"/>
      <c r="AQ441" s="118"/>
      <c r="AR441" s="118"/>
      <c r="AS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64"/>
      <c r="O442" s="161"/>
      <c r="P442" s="118"/>
      <c r="Q442" s="118"/>
      <c r="R442" s="117"/>
      <c r="S442" s="117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8"/>
      <c r="AN442" s="118"/>
      <c r="AO442" s="118"/>
      <c r="AP442" s="118"/>
      <c r="AQ442" s="118"/>
      <c r="AR442" s="118"/>
      <c r="AS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64"/>
      <c r="O443" s="161"/>
      <c r="P443" s="118"/>
      <c r="Q443" s="118"/>
      <c r="R443" s="117"/>
      <c r="S443" s="117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  <c r="AL443" s="118"/>
      <c r="AM443" s="118"/>
      <c r="AN443" s="118"/>
      <c r="AO443" s="118"/>
      <c r="AP443" s="118"/>
      <c r="AQ443" s="118"/>
      <c r="AR443" s="118"/>
      <c r="AS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64"/>
      <c r="O444" s="161"/>
      <c r="P444" s="118"/>
      <c r="Q444" s="118"/>
      <c r="R444" s="117"/>
      <c r="S444" s="117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64"/>
      <c r="O445" s="161"/>
      <c r="P445" s="118"/>
      <c r="Q445" s="118"/>
      <c r="R445" s="117"/>
      <c r="S445" s="117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64"/>
      <c r="O446" s="161"/>
      <c r="P446" s="118"/>
      <c r="Q446" s="118"/>
      <c r="R446" s="117"/>
      <c r="S446" s="117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64"/>
      <c r="O447" s="161"/>
      <c r="P447" s="118"/>
      <c r="Q447" s="118"/>
      <c r="R447" s="117"/>
      <c r="S447" s="117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  <c r="AL447" s="118"/>
      <c r="AM447" s="118"/>
      <c r="AN447" s="118"/>
      <c r="AO447" s="118"/>
      <c r="AP447" s="118"/>
      <c r="AQ447" s="118"/>
      <c r="AR447" s="118"/>
      <c r="AS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64"/>
      <c r="O448" s="161"/>
      <c r="P448" s="118"/>
      <c r="Q448" s="118"/>
      <c r="R448" s="117"/>
      <c r="S448" s="117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  <c r="AL448" s="118"/>
      <c r="AM448" s="118"/>
      <c r="AN448" s="118"/>
      <c r="AO448" s="118"/>
      <c r="AP448" s="118"/>
      <c r="AQ448" s="118"/>
      <c r="AR448" s="118"/>
      <c r="AS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64"/>
      <c r="O449" s="161"/>
      <c r="P449" s="118"/>
      <c r="Q449" s="118"/>
      <c r="R449" s="117"/>
      <c r="S449" s="117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64"/>
      <c r="O450" s="161"/>
      <c r="P450" s="118"/>
      <c r="Q450" s="118"/>
      <c r="R450" s="117"/>
      <c r="S450" s="117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64"/>
      <c r="O451" s="161"/>
      <c r="P451" s="118"/>
      <c r="Q451" s="118"/>
      <c r="R451" s="117"/>
      <c r="S451" s="117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64"/>
      <c r="O452" s="161"/>
      <c r="P452" s="118"/>
      <c r="Q452" s="118"/>
      <c r="R452" s="117"/>
      <c r="S452" s="117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  <c r="AL452" s="118"/>
      <c r="AM452" s="118"/>
      <c r="AN452" s="118"/>
      <c r="AO452" s="118"/>
      <c r="AP452" s="118"/>
      <c r="AQ452" s="118"/>
      <c r="AR452" s="118"/>
      <c r="AS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64"/>
      <c r="O453" s="161"/>
      <c r="P453" s="118"/>
      <c r="Q453" s="118"/>
      <c r="R453" s="117"/>
      <c r="S453" s="117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  <c r="AL453" s="118"/>
      <c r="AM453" s="118"/>
      <c r="AN453" s="118"/>
      <c r="AO453" s="118"/>
      <c r="AP453" s="118"/>
      <c r="AQ453" s="118"/>
      <c r="AR453" s="118"/>
      <c r="AS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64"/>
      <c r="O454" s="161"/>
      <c r="P454" s="118"/>
      <c r="Q454" s="118"/>
      <c r="R454" s="117"/>
      <c r="S454" s="117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  <c r="AL454" s="118"/>
      <c r="AM454" s="118"/>
      <c r="AN454" s="118"/>
      <c r="AO454" s="118"/>
      <c r="AP454" s="118"/>
      <c r="AQ454" s="118"/>
      <c r="AR454" s="118"/>
      <c r="AS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64"/>
      <c r="O455" s="161"/>
      <c r="P455" s="118"/>
      <c r="Q455" s="118"/>
      <c r="R455" s="117"/>
      <c r="S455" s="117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  <c r="AL455" s="118"/>
      <c r="AM455" s="118"/>
      <c r="AN455" s="118"/>
      <c r="AO455" s="118"/>
      <c r="AP455" s="118"/>
      <c r="AQ455" s="118"/>
      <c r="AR455" s="118"/>
      <c r="AS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64"/>
      <c r="O456" s="161"/>
      <c r="P456" s="118"/>
      <c r="Q456" s="118"/>
      <c r="R456" s="117"/>
      <c r="S456" s="117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64"/>
      <c r="O457" s="161"/>
      <c r="P457" s="118"/>
      <c r="Q457" s="118"/>
      <c r="R457" s="117"/>
      <c r="S457" s="117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64"/>
      <c r="O458" s="161"/>
      <c r="P458" s="118"/>
      <c r="Q458" s="118"/>
      <c r="R458" s="117"/>
      <c r="S458" s="117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64"/>
      <c r="O459" s="161"/>
      <c r="P459" s="118"/>
      <c r="Q459" s="118"/>
      <c r="R459" s="117"/>
      <c r="S459" s="117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  <c r="AL459" s="118"/>
      <c r="AM459" s="118"/>
      <c r="AN459" s="118"/>
      <c r="AO459" s="118"/>
      <c r="AP459" s="118"/>
      <c r="AQ459" s="118"/>
      <c r="AR459" s="118"/>
      <c r="AS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64"/>
      <c r="O460" s="161"/>
      <c r="P460" s="118"/>
      <c r="Q460" s="118"/>
      <c r="R460" s="117"/>
      <c r="S460" s="117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  <c r="AL460" s="118"/>
      <c r="AM460" s="118"/>
      <c r="AN460" s="118"/>
      <c r="AO460" s="118"/>
      <c r="AP460" s="118"/>
      <c r="AQ460" s="118"/>
      <c r="AR460" s="118"/>
      <c r="AS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64"/>
      <c r="O461" s="161"/>
      <c r="P461" s="118"/>
      <c r="Q461" s="118"/>
      <c r="R461" s="117"/>
      <c r="S461" s="117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  <c r="AL461" s="118"/>
      <c r="AM461" s="118"/>
      <c r="AN461" s="118"/>
      <c r="AO461" s="118"/>
      <c r="AP461" s="118"/>
      <c r="AQ461" s="118"/>
      <c r="AR461" s="118"/>
      <c r="AS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64"/>
      <c r="O462" s="161"/>
      <c r="P462" s="118"/>
      <c r="Q462" s="118"/>
      <c r="R462" s="117"/>
      <c r="S462" s="117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  <c r="AL462" s="118"/>
      <c r="AM462" s="118"/>
      <c r="AN462" s="118"/>
      <c r="AO462" s="118"/>
      <c r="AP462" s="118"/>
      <c r="AQ462" s="118"/>
      <c r="AR462" s="118"/>
      <c r="AS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64"/>
      <c r="O463" s="161"/>
      <c r="P463" s="118"/>
      <c r="Q463" s="118"/>
      <c r="R463" s="117"/>
      <c r="S463" s="117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64"/>
      <c r="O464" s="161"/>
      <c r="P464" s="118"/>
      <c r="Q464" s="118"/>
      <c r="R464" s="117"/>
      <c r="S464" s="117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64"/>
      <c r="O465" s="161"/>
      <c r="P465" s="118"/>
      <c r="Q465" s="118"/>
      <c r="R465" s="117"/>
      <c r="S465" s="117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  <c r="AI465" s="118"/>
      <c r="AJ465" s="118"/>
      <c r="AK465" s="118"/>
      <c r="AL465" s="118"/>
      <c r="AM465" s="118"/>
      <c r="AN465" s="118"/>
      <c r="AO465" s="118"/>
      <c r="AP465" s="118"/>
      <c r="AQ465" s="118"/>
      <c r="AR465" s="118"/>
      <c r="AS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64"/>
      <c r="O466" s="161"/>
      <c r="P466" s="118"/>
      <c r="Q466" s="118"/>
      <c r="R466" s="117"/>
      <c r="S466" s="117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  <c r="AI466" s="118"/>
      <c r="AJ466" s="118"/>
      <c r="AK466" s="118"/>
      <c r="AL466" s="118"/>
      <c r="AM466" s="118"/>
      <c r="AN466" s="118"/>
      <c r="AO466" s="118"/>
      <c r="AP466" s="118"/>
      <c r="AQ466" s="118"/>
      <c r="AR466" s="118"/>
      <c r="AS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64"/>
      <c r="O467" s="161"/>
      <c r="P467" s="118"/>
      <c r="Q467" s="118"/>
      <c r="R467" s="117"/>
      <c r="S467" s="117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  <c r="AI467" s="118"/>
      <c r="AJ467" s="118"/>
      <c r="AK467" s="118"/>
      <c r="AL467" s="118"/>
      <c r="AM467" s="118"/>
      <c r="AN467" s="118"/>
      <c r="AO467" s="118"/>
      <c r="AP467" s="118"/>
      <c r="AQ467" s="118"/>
      <c r="AR467" s="118"/>
      <c r="AS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64"/>
      <c r="O468" s="161"/>
      <c r="P468" s="118"/>
      <c r="Q468" s="118"/>
      <c r="R468" s="117"/>
      <c r="S468" s="117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  <c r="AI468" s="118"/>
      <c r="AJ468" s="118"/>
      <c r="AK468" s="118"/>
      <c r="AL468" s="118"/>
      <c r="AM468" s="118"/>
      <c r="AN468" s="118"/>
      <c r="AO468" s="118"/>
      <c r="AP468" s="118"/>
      <c r="AQ468" s="118"/>
      <c r="AR468" s="118"/>
      <c r="AS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64"/>
      <c r="O469" s="161"/>
      <c r="P469" s="118"/>
      <c r="Q469" s="118"/>
      <c r="R469" s="117"/>
      <c r="S469" s="117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  <c r="AI469" s="118"/>
      <c r="AJ469" s="118"/>
      <c r="AK469" s="118"/>
      <c r="AL469" s="118"/>
      <c r="AM469" s="118"/>
      <c r="AN469" s="118"/>
      <c r="AO469" s="118"/>
      <c r="AP469" s="118"/>
      <c r="AQ469" s="118"/>
      <c r="AR469" s="118"/>
      <c r="AS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64"/>
      <c r="O470" s="161"/>
      <c r="P470" s="118"/>
      <c r="Q470" s="118"/>
      <c r="R470" s="117"/>
      <c r="S470" s="117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  <c r="AI470" s="118"/>
      <c r="AJ470" s="118"/>
      <c r="AK470" s="118"/>
      <c r="AL470" s="118"/>
      <c r="AM470" s="118"/>
      <c r="AN470" s="118"/>
      <c r="AO470" s="118"/>
      <c r="AP470" s="118"/>
      <c r="AQ470" s="118"/>
      <c r="AR470" s="118"/>
      <c r="AS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64"/>
      <c r="O471" s="161"/>
      <c r="P471" s="118"/>
      <c r="Q471" s="118"/>
      <c r="R471" s="117"/>
      <c r="S471" s="117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  <c r="AI471" s="118"/>
      <c r="AJ471" s="118"/>
      <c r="AK471" s="118"/>
      <c r="AL471" s="118"/>
      <c r="AM471" s="118"/>
      <c r="AN471" s="118"/>
      <c r="AO471" s="118"/>
      <c r="AP471" s="118"/>
      <c r="AQ471" s="118"/>
      <c r="AR471" s="118"/>
      <c r="AS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64"/>
      <c r="O472" s="161"/>
      <c r="P472" s="118"/>
      <c r="Q472" s="118"/>
      <c r="R472" s="117"/>
      <c r="S472" s="117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  <c r="AI472" s="118"/>
      <c r="AJ472" s="118"/>
      <c r="AK472" s="118"/>
      <c r="AL472" s="118"/>
      <c r="AM472" s="118"/>
      <c r="AN472" s="118"/>
      <c r="AO472" s="118"/>
      <c r="AP472" s="118"/>
      <c r="AQ472" s="118"/>
      <c r="AR472" s="118"/>
      <c r="AS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64"/>
      <c r="O473" s="161"/>
      <c r="P473" s="118"/>
      <c r="Q473" s="118"/>
      <c r="R473" s="117"/>
      <c r="S473" s="117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  <c r="AI473" s="118"/>
      <c r="AJ473" s="118"/>
      <c r="AK473" s="118"/>
      <c r="AL473" s="118"/>
      <c r="AM473" s="118"/>
      <c r="AN473" s="118"/>
      <c r="AO473" s="118"/>
      <c r="AP473" s="118"/>
      <c r="AQ473" s="118"/>
      <c r="AR473" s="118"/>
      <c r="AS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64"/>
      <c r="O474" s="161"/>
      <c r="P474" s="118"/>
      <c r="Q474" s="118"/>
      <c r="R474" s="117"/>
      <c r="S474" s="117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64"/>
      <c r="O475" s="161"/>
      <c r="P475" s="118"/>
      <c r="Q475" s="118"/>
      <c r="R475" s="117"/>
      <c r="S475" s="117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  <c r="AL475" s="118"/>
      <c r="AM475" s="118"/>
      <c r="AN475" s="118"/>
      <c r="AO475" s="118"/>
      <c r="AP475" s="118"/>
      <c r="AQ475" s="118"/>
      <c r="AR475" s="118"/>
      <c r="AS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64"/>
      <c r="O476" s="161"/>
      <c r="P476" s="118"/>
      <c r="Q476" s="118"/>
      <c r="R476" s="117"/>
      <c r="S476" s="117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  <c r="AL476" s="118"/>
      <c r="AM476" s="118"/>
      <c r="AN476" s="118"/>
      <c r="AO476" s="118"/>
      <c r="AP476" s="118"/>
      <c r="AQ476" s="118"/>
      <c r="AR476" s="118"/>
      <c r="AS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64"/>
      <c r="O477" s="161"/>
      <c r="P477" s="118"/>
      <c r="Q477" s="118"/>
      <c r="R477" s="117"/>
      <c r="S477" s="117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  <c r="AL477" s="118"/>
      <c r="AM477" s="118"/>
      <c r="AN477" s="118"/>
      <c r="AO477" s="118"/>
      <c r="AP477" s="118"/>
      <c r="AQ477" s="118"/>
      <c r="AR477" s="118"/>
      <c r="AS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64"/>
      <c r="O478" s="161"/>
      <c r="P478" s="118"/>
      <c r="Q478" s="118"/>
      <c r="R478" s="117"/>
      <c r="S478" s="117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  <c r="AL478" s="118"/>
      <c r="AM478" s="118"/>
      <c r="AN478" s="118"/>
      <c r="AO478" s="118"/>
      <c r="AP478" s="118"/>
      <c r="AQ478" s="118"/>
      <c r="AR478" s="118"/>
      <c r="AS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64"/>
      <c r="O479" s="161"/>
      <c r="P479" s="118"/>
      <c r="Q479" s="118"/>
      <c r="R479" s="117"/>
      <c r="S479" s="117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64"/>
      <c r="O480" s="161"/>
      <c r="P480" s="118"/>
      <c r="Q480" s="118"/>
      <c r="R480" s="117"/>
      <c r="S480" s="117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64"/>
      <c r="O481" s="161"/>
      <c r="P481" s="118"/>
      <c r="Q481" s="118"/>
      <c r="R481" s="117"/>
      <c r="S481" s="117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64"/>
      <c r="O482" s="161"/>
      <c r="P482" s="118"/>
      <c r="Q482" s="118"/>
      <c r="R482" s="117"/>
      <c r="S482" s="117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  <c r="AL482" s="118"/>
      <c r="AM482" s="118"/>
      <c r="AN482" s="118"/>
      <c r="AO482" s="118"/>
      <c r="AP482" s="118"/>
      <c r="AQ482" s="118"/>
      <c r="AR482" s="118"/>
      <c r="AS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64"/>
      <c r="O483" s="161"/>
      <c r="P483" s="118"/>
      <c r="Q483" s="118"/>
      <c r="R483" s="117"/>
      <c r="S483" s="117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  <c r="AL483" s="118"/>
      <c r="AM483" s="118"/>
      <c r="AN483" s="118"/>
      <c r="AO483" s="118"/>
      <c r="AP483" s="118"/>
      <c r="AQ483" s="118"/>
      <c r="AR483" s="118"/>
      <c r="AS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64"/>
      <c r="O484" s="161"/>
      <c r="P484" s="118"/>
      <c r="Q484" s="118"/>
      <c r="R484" s="117"/>
      <c r="S484" s="117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  <c r="AL484" s="118"/>
      <c r="AM484" s="118"/>
      <c r="AN484" s="118"/>
      <c r="AO484" s="118"/>
      <c r="AP484" s="118"/>
      <c r="AQ484" s="118"/>
      <c r="AR484" s="118"/>
      <c r="AS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64"/>
      <c r="O485" s="161"/>
      <c r="P485" s="118"/>
      <c r="Q485" s="118"/>
      <c r="R485" s="117"/>
      <c r="S485" s="117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  <c r="AL485" s="118"/>
      <c r="AM485" s="118"/>
      <c r="AN485" s="118"/>
      <c r="AO485" s="118"/>
      <c r="AP485" s="118"/>
      <c r="AQ485" s="118"/>
      <c r="AR485" s="118"/>
      <c r="AS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64"/>
      <c r="O486" s="161"/>
      <c r="P486" s="118"/>
      <c r="Q486" s="118"/>
      <c r="R486" s="117"/>
      <c r="S486" s="117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64"/>
      <c r="O487" s="161"/>
      <c r="P487" s="118"/>
      <c r="Q487" s="118"/>
      <c r="R487" s="117"/>
      <c r="S487" s="117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64"/>
      <c r="O488" s="161"/>
      <c r="P488" s="118"/>
      <c r="Q488" s="118"/>
      <c r="R488" s="117"/>
      <c r="S488" s="117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64"/>
      <c r="O489" s="161"/>
      <c r="P489" s="118"/>
      <c r="Q489" s="118"/>
      <c r="R489" s="117"/>
      <c r="S489" s="117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  <c r="AL489" s="118"/>
      <c r="AM489" s="118"/>
      <c r="AN489" s="118"/>
      <c r="AO489" s="118"/>
      <c r="AP489" s="118"/>
      <c r="AQ489" s="118"/>
      <c r="AR489" s="118"/>
      <c r="AS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64"/>
      <c r="O490" s="161"/>
      <c r="P490" s="118"/>
      <c r="Q490" s="118"/>
      <c r="R490" s="117"/>
      <c r="S490" s="117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64"/>
      <c r="O491" s="161"/>
      <c r="P491" s="118"/>
      <c r="Q491" s="118"/>
      <c r="R491" s="117"/>
      <c r="S491" s="117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  <c r="AL491" s="118"/>
      <c r="AM491" s="118"/>
      <c r="AN491" s="118"/>
      <c r="AO491" s="118"/>
      <c r="AP491" s="118"/>
      <c r="AQ491" s="118"/>
      <c r="AR491" s="118"/>
      <c r="AS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64"/>
      <c r="O492" s="161"/>
      <c r="P492" s="118"/>
      <c r="Q492" s="118"/>
      <c r="R492" s="117"/>
      <c r="S492" s="117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  <c r="AL492" s="118"/>
      <c r="AM492" s="118"/>
      <c r="AN492" s="118"/>
      <c r="AO492" s="118"/>
      <c r="AP492" s="118"/>
      <c r="AQ492" s="118"/>
      <c r="AR492" s="118"/>
      <c r="AS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64"/>
      <c r="O493" s="161"/>
      <c r="P493" s="118"/>
      <c r="Q493" s="118"/>
      <c r="R493" s="117"/>
      <c r="S493" s="117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64"/>
      <c r="O494" s="161"/>
      <c r="P494" s="118"/>
      <c r="Q494" s="118"/>
      <c r="R494" s="117"/>
      <c r="S494" s="117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64"/>
      <c r="O495" s="161"/>
      <c r="P495" s="118"/>
      <c r="Q495" s="118"/>
      <c r="R495" s="117"/>
      <c r="S495" s="117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  <c r="AL495" s="118"/>
      <c r="AM495" s="118"/>
      <c r="AN495" s="118"/>
      <c r="AO495" s="118"/>
      <c r="AP495" s="118"/>
      <c r="AQ495" s="118"/>
      <c r="AR495" s="118"/>
      <c r="AS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64"/>
      <c r="O496" s="161"/>
      <c r="P496" s="118"/>
      <c r="Q496" s="118"/>
      <c r="R496" s="117"/>
      <c r="S496" s="117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  <c r="AL496" s="118"/>
      <c r="AM496" s="118"/>
      <c r="AN496" s="118"/>
      <c r="AO496" s="118"/>
      <c r="AP496" s="118"/>
      <c r="AQ496" s="118"/>
      <c r="AR496" s="118"/>
      <c r="AS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64"/>
      <c r="O497" s="161"/>
      <c r="P497" s="118"/>
      <c r="Q497" s="118"/>
      <c r="R497" s="117"/>
      <c r="S497" s="117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  <c r="AL497" s="118"/>
      <c r="AM497" s="118"/>
      <c r="AN497" s="118"/>
      <c r="AO497" s="118"/>
      <c r="AP497" s="118"/>
      <c r="AQ497" s="118"/>
      <c r="AR497" s="118"/>
      <c r="AS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64"/>
      <c r="O498" s="161"/>
      <c r="P498" s="118"/>
      <c r="Q498" s="118"/>
      <c r="R498" s="117"/>
      <c r="S498" s="117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64"/>
      <c r="O499" s="161"/>
      <c r="P499" s="118"/>
      <c r="Q499" s="118"/>
      <c r="R499" s="117"/>
      <c r="S499" s="117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  <c r="AL499" s="118"/>
      <c r="AM499" s="118"/>
      <c r="AN499" s="118"/>
      <c r="AO499" s="118"/>
      <c r="AP499" s="118"/>
      <c r="AQ499" s="118"/>
      <c r="AR499" s="118"/>
      <c r="AS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64"/>
      <c r="O500" s="161"/>
      <c r="P500" s="118"/>
      <c r="Q500" s="118"/>
      <c r="R500" s="117"/>
      <c r="S500" s="117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  <c r="AL500" s="118"/>
      <c r="AM500" s="118"/>
      <c r="AN500" s="118"/>
      <c r="AO500" s="118"/>
      <c r="AP500" s="118"/>
      <c r="AQ500" s="118"/>
      <c r="AR500" s="118"/>
      <c r="AS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64"/>
      <c r="O501" s="161"/>
      <c r="P501" s="118"/>
      <c r="Q501" s="118"/>
      <c r="R501" s="117"/>
      <c r="S501" s="117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  <c r="AL501" s="118"/>
      <c r="AM501" s="118"/>
      <c r="AN501" s="118"/>
      <c r="AO501" s="118"/>
      <c r="AP501" s="118"/>
      <c r="AQ501" s="118"/>
      <c r="AR501" s="118"/>
      <c r="AS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64"/>
      <c r="O502" s="161"/>
      <c r="P502" s="118"/>
      <c r="Q502" s="118"/>
      <c r="R502" s="117"/>
      <c r="S502" s="117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64"/>
      <c r="O503" s="161"/>
      <c r="P503" s="118"/>
      <c r="Q503" s="118"/>
      <c r="R503" s="117"/>
      <c r="S503" s="117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  <c r="AL503" s="118"/>
      <c r="AM503" s="118"/>
      <c r="AN503" s="118"/>
      <c r="AO503" s="118"/>
      <c r="AP503" s="118"/>
      <c r="AQ503" s="118"/>
      <c r="AR503" s="118"/>
      <c r="AS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64"/>
      <c r="O504" s="161"/>
      <c r="P504" s="118"/>
      <c r="Q504" s="118"/>
      <c r="R504" s="117"/>
      <c r="S504" s="117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  <c r="AL504" s="118"/>
      <c r="AM504" s="118"/>
      <c r="AN504" s="118"/>
      <c r="AO504" s="118"/>
      <c r="AP504" s="118"/>
      <c r="AQ504" s="118"/>
      <c r="AR504" s="118"/>
      <c r="AS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64"/>
      <c r="O505" s="161"/>
      <c r="P505" s="118"/>
      <c r="Q505" s="118"/>
      <c r="R505" s="117"/>
      <c r="S505" s="117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  <c r="AL505" s="118"/>
      <c r="AM505" s="118"/>
      <c r="AN505" s="118"/>
      <c r="AO505" s="118"/>
      <c r="AP505" s="118"/>
      <c r="AQ505" s="118"/>
      <c r="AR505" s="118"/>
      <c r="AS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64"/>
      <c r="O506" s="161"/>
      <c r="P506" s="118"/>
      <c r="Q506" s="118"/>
      <c r="R506" s="117"/>
      <c r="S506" s="117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  <c r="AL506" s="118"/>
      <c r="AM506" s="118"/>
      <c r="AN506" s="118"/>
      <c r="AO506" s="118"/>
      <c r="AP506" s="118"/>
      <c r="AQ506" s="118"/>
      <c r="AR506" s="118"/>
      <c r="AS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64"/>
      <c r="O507" s="161"/>
      <c r="P507" s="118"/>
      <c r="Q507" s="118"/>
      <c r="R507" s="117"/>
      <c r="S507" s="117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  <c r="AL507" s="118"/>
      <c r="AM507" s="118"/>
      <c r="AN507" s="118"/>
      <c r="AO507" s="118"/>
      <c r="AP507" s="118"/>
      <c r="AQ507" s="118"/>
      <c r="AR507" s="118"/>
      <c r="AS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64"/>
      <c r="O508" s="161"/>
      <c r="P508" s="118"/>
      <c r="Q508" s="118"/>
      <c r="R508" s="117"/>
      <c r="S508" s="117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  <c r="AL508" s="118"/>
      <c r="AM508" s="118"/>
      <c r="AN508" s="118"/>
      <c r="AO508" s="118"/>
      <c r="AP508" s="118"/>
      <c r="AQ508" s="118"/>
      <c r="AR508" s="118"/>
      <c r="AS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64"/>
      <c r="O509" s="161"/>
      <c r="P509" s="118"/>
      <c r="Q509" s="118"/>
      <c r="R509" s="117"/>
      <c r="S509" s="117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  <c r="AL509" s="118"/>
      <c r="AM509" s="118"/>
      <c r="AN509" s="118"/>
      <c r="AO509" s="118"/>
      <c r="AP509" s="118"/>
      <c r="AQ509" s="118"/>
      <c r="AR509" s="118"/>
      <c r="AS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64"/>
      <c r="O510" s="161"/>
      <c r="P510" s="118"/>
      <c r="Q510" s="118"/>
      <c r="R510" s="117"/>
      <c r="S510" s="117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  <c r="AL510" s="118"/>
      <c r="AM510" s="118"/>
      <c r="AN510" s="118"/>
      <c r="AO510" s="118"/>
      <c r="AP510" s="118"/>
      <c r="AQ510" s="118"/>
      <c r="AR510" s="118"/>
      <c r="AS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64"/>
      <c r="O511" s="161"/>
      <c r="P511" s="118"/>
      <c r="Q511" s="118"/>
      <c r="R511" s="117"/>
      <c r="S511" s="117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  <c r="AL511" s="118"/>
      <c r="AM511" s="118"/>
      <c r="AN511" s="118"/>
      <c r="AO511" s="118"/>
      <c r="AP511" s="118"/>
      <c r="AQ511" s="118"/>
      <c r="AR511" s="118"/>
      <c r="AS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64"/>
      <c r="O512" s="161"/>
      <c r="P512" s="118"/>
      <c r="Q512" s="118"/>
      <c r="R512" s="117"/>
      <c r="S512" s="117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64"/>
      <c r="O513" s="161"/>
      <c r="P513" s="118"/>
      <c r="Q513" s="118"/>
      <c r="R513" s="117"/>
      <c r="S513" s="117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  <c r="AL513" s="118"/>
      <c r="AM513" s="118"/>
      <c r="AN513" s="118"/>
      <c r="AO513" s="118"/>
      <c r="AP513" s="118"/>
      <c r="AQ513" s="118"/>
      <c r="AR513" s="118"/>
      <c r="AS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64"/>
      <c r="O514" s="161"/>
      <c r="P514" s="118"/>
      <c r="Q514" s="118"/>
      <c r="R514" s="117"/>
      <c r="S514" s="117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  <c r="AL514" s="118"/>
      <c r="AM514" s="118"/>
      <c r="AN514" s="118"/>
      <c r="AO514" s="118"/>
      <c r="AP514" s="118"/>
      <c r="AQ514" s="118"/>
      <c r="AR514" s="118"/>
      <c r="AS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64"/>
      <c r="O515" s="161"/>
      <c r="P515" s="118"/>
      <c r="Q515" s="118"/>
      <c r="R515" s="117"/>
      <c r="S515" s="117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  <c r="AL515" s="118"/>
      <c r="AM515" s="118"/>
      <c r="AN515" s="118"/>
      <c r="AO515" s="118"/>
      <c r="AP515" s="118"/>
      <c r="AQ515" s="118"/>
      <c r="AR515" s="118"/>
      <c r="AS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64"/>
      <c r="O516" s="161"/>
      <c r="P516" s="118"/>
      <c r="Q516" s="118"/>
      <c r="R516" s="117"/>
      <c r="S516" s="117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  <c r="AL516" s="118"/>
      <c r="AM516" s="118"/>
      <c r="AN516" s="118"/>
      <c r="AO516" s="118"/>
      <c r="AP516" s="118"/>
      <c r="AQ516" s="118"/>
      <c r="AR516" s="118"/>
      <c r="AS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64"/>
      <c r="O517" s="161"/>
      <c r="P517" s="118"/>
      <c r="Q517" s="118"/>
      <c r="R517" s="117"/>
      <c r="S517" s="117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  <c r="AL517" s="118"/>
      <c r="AM517" s="118"/>
      <c r="AN517" s="118"/>
      <c r="AO517" s="118"/>
      <c r="AP517" s="118"/>
      <c r="AQ517" s="118"/>
      <c r="AR517" s="118"/>
      <c r="AS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64"/>
      <c r="O518" s="161"/>
      <c r="P518" s="118"/>
      <c r="Q518" s="118"/>
      <c r="R518" s="117"/>
      <c r="S518" s="117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8"/>
      <c r="AN518" s="118"/>
      <c r="AO518" s="118"/>
      <c r="AP518" s="118"/>
      <c r="AQ518" s="118"/>
      <c r="AR518" s="118"/>
      <c r="AS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64"/>
      <c r="O519" s="161"/>
      <c r="P519" s="118"/>
      <c r="Q519" s="118"/>
      <c r="R519" s="117"/>
      <c r="S519" s="117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  <c r="AL519" s="118"/>
      <c r="AM519" s="118"/>
      <c r="AN519" s="118"/>
      <c r="AO519" s="118"/>
      <c r="AP519" s="118"/>
      <c r="AQ519" s="118"/>
      <c r="AR519" s="118"/>
      <c r="AS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64"/>
      <c r="O520" s="161"/>
      <c r="P520" s="118"/>
      <c r="Q520" s="118"/>
      <c r="R520" s="117"/>
      <c r="S520" s="117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  <c r="AL520" s="118"/>
      <c r="AM520" s="118"/>
      <c r="AN520" s="118"/>
      <c r="AO520" s="118"/>
      <c r="AP520" s="118"/>
      <c r="AQ520" s="118"/>
      <c r="AR520" s="118"/>
      <c r="AS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64"/>
      <c r="O521" s="161"/>
      <c r="P521" s="118"/>
      <c r="Q521" s="118"/>
      <c r="R521" s="117"/>
      <c r="S521" s="117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AK521" s="118"/>
      <c r="AL521" s="118"/>
      <c r="AM521" s="118"/>
      <c r="AN521" s="118"/>
      <c r="AO521" s="118"/>
      <c r="AP521" s="118"/>
      <c r="AQ521" s="118"/>
      <c r="AR521" s="118"/>
      <c r="AS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64"/>
      <c r="O522" s="161"/>
      <c r="P522" s="118"/>
      <c r="Q522" s="118"/>
      <c r="R522" s="117"/>
      <c r="S522" s="117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  <c r="AL522" s="118"/>
      <c r="AM522" s="118"/>
      <c r="AN522" s="118"/>
      <c r="AO522" s="118"/>
      <c r="AP522" s="118"/>
      <c r="AQ522" s="118"/>
      <c r="AR522" s="118"/>
      <c r="AS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64"/>
      <c r="O523" s="161"/>
      <c r="P523" s="118"/>
      <c r="Q523" s="118"/>
      <c r="R523" s="117"/>
      <c r="S523" s="117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  <c r="AL523" s="118"/>
      <c r="AM523" s="118"/>
      <c r="AN523" s="118"/>
      <c r="AO523" s="118"/>
      <c r="AP523" s="118"/>
      <c r="AQ523" s="118"/>
      <c r="AR523" s="118"/>
      <c r="AS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64"/>
      <c r="O524" s="161"/>
      <c r="P524" s="118"/>
      <c r="Q524" s="118"/>
      <c r="R524" s="117"/>
      <c r="S524" s="117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  <c r="AL524" s="118"/>
      <c r="AM524" s="118"/>
      <c r="AN524" s="118"/>
      <c r="AO524" s="118"/>
      <c r="AP524" s="118"/>
      <c r="AQ524" s="118"/>
      <c r="AR524" s="118"/>
      <c r="AS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64"/>
      <c r="O525" s="161"/>
      <c r="P525" s="118"/>
      <c r="Q525" s="118"/>
      <c r="R525" s="117"/>
      <c r="S525" s="117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  <c r="AL525" s="118"/>
      <c r="AM525" s="118"/>
      <c r="AN525" s="118"/>
      <c r="AO525" s="118"/>
      <c r="AP525" s="118"/>
      <c r="AQ525" s="118"/>
      <c r="AR525" s="118"/>
      <c r="AS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64"/>
      <c r="O526" s="161"/>
      <c r="P526" s="118"/>
      <c r="Q526" s="118"/>
      <c r="R526" s="117"/>
      <c r="S526" s="117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  <c r="AL526" s="118"/>
      <c r="AM526" s="118"/>
      <c r="AN526" s="118"/>
      <c r="AO526" s="118"/>
      <c r="AP526" s="118"/>
      <c r="AQ526" s="118"/>
      <c r="AR526" s="118"/>
      <c r="AS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64"/>
      <c r="O527" s="161"/>
      <c r="P527" s="118"/>
      <c r="Q527" s="118"/>
      <c r="R527" s="117"/>
      <c r="S527" s="117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  <c r="AL527" s="118"/>
      <c r="AM527" s="118"/>
      <c r="AN527" s="118"/>
      <c r="AO527" s="118"/>
      <c r="AP527" s="118"/>
      <c r="AQ527" s="118"/>
      <c r="AR527" s="118"/>
      <c r="AS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64"/>
      <c r="O528" s="161"/>
      <c r="P528" s="118"/>
      <c r="Q528" s="118"/>
      <c r="R528" s="117"/>
      <c r="S528" s="117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  <c r="AL528" s="118"/>
      <c r="AM528" s="118"/>
      <c r="AN528" s="118"/>
      <c r="AO528" s="118"/>
      <c r="AP528" s="118"/>
      <c r="AQ528" s="118"/>
      <c r="AR528" s="118"/>
      <c r="AS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64"/>
      <c r="O529" s="161"/>
      <c r="P529" s="118"/>
      <c r="Q529" s="118"/>
      <c r="R529" s="117"/>
      <c r="S529" s="117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  <c r="AI529" s="118"/>
      <c r="AJ529" s="118"/>
      <c r="AK529" s="118"/>
      <c r="AL529" s="118"/>
      <c r="AM529" s="118"/>
      <c r="AN529" s="118"/>
      <c r="AO529" s="118"/>
      <c r="AP529" s="118"/>
      <c r="AQ529" s="118"/>
      <c r="AR529" s="118"/>
      <c r="AS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64"/>
      <c r="O530" s="161"/>
      <c r="P530" s="118"/>
      <c r="Q530" s="118"/>
      <c r="R530" s="117"/>
      <c r="S530" s="117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  <c r="AI530" s="118"/>
      <c r="AJ530" s="118"/>
      <c r="AK530" s="118"/>
      <c r="AL530" s="118"/>
      <c r="AM530" s="118"/>
      <c r="AN530" s="118"/>
      <c r="AO530" s="118"/>
      <c r="AP530" s="118"/>
      <c r="AQ530" s="118"/>
      <c r="AR530" s="118"/>
      <c r="AS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64"/>
      <c r="O531" s="161"/>
      <c r="P531" s="118"/>
      <c r="Q531" s="118"/>
      <c r="R531" s="117"/>
      <c r="S531" s="117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  <c r="AI531" s="118"/>
      <c r="AJ531" s="118"/>
      <c r="AK531" s="118"/>
      <c r="AL531" s="118"/>
      <c r="AM531" s="118"/>
      <c r="AN531" s="118"/>
      <c r="AO531" s="118"/>
      <c r="AP531" s="118"/>
      <c r="AQ531" s="118"/>
      <c r="AR531" s="118"/>
      <c r="AS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64"/>
      <c r="O532" s="161"/>
      <c r="P532" s="118"/>
      <c r="Q532" s="118"/>
      <c r="R532" s="117"/>
      <c r="S532" s="117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  <c r="AI532" s="118"/>
      <c r="AJ532" s="118"/>
      <c r="AK532" s="118"/>
      <c r="AL532" s="118"/>
      <c r="AM532" s="118"/>
      <c r="AN532" s="118"/>
      <c r="AO532" s="118"/>
      <c r="AP532" s="118"/>
      <c r="AQ532" s="118"/>
      <c r="AR532" s="118"/>
      <c r="AS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64"/>
      <c r="O533" s="161"/>
      <c r="P533" s="118"/>
      <c r="Q533" s="118"/>
      <c r="R533" s="117"/>
      <c r="S533" s="117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  <c r="AI533" s="118"/>
      <c r="AJ533" s="118"/>
      <c r="AK533" s="118"/>
      <c r="AL533" s="118"/>
      <c r="AM533" s="118"/>
      <c r="AN533" s="118"/>
      <c r="AO533" s="118"/>
      <c r="AP533" s="118"/>
      <c r="AQ533" s="118"/>
      <c r="AR533" s="118"/>
      <c r="AS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64"/>
      <c r="O534" s="161"/>
      <c r="P534" s="118"/>
      <c r="Q534" s="118"/>
      <c r="R534" s="117"/>
      <c r="S534" s="117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64"/>
      <c r="O535" s="161"/>
      <c r="P535" s="118"/>
      <c r="Q535" s="118"/>
      <c r="R535" s="117"/>
      <c r="S535" s="117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  <c r="AL535" s="118"/>
      <c r="AM535" s="118"/>
      <c r="AN535" s="118"/>
      <c r="AO535" s="118"/>
      <c r="AP535" s="118"/>
      <c r="AQ535" s="118"/>
      <c r="AR535" s="118"/>
      <c r="AS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64"/>
      <c r="O536" s="161"/>
      <c r="P536" s="118"/>
      <c r="Q536" s="118"/>
      <c r="R536" s="117"/>
      <c r="S536" s="117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  <c r="AL536" s="118"/>
      <c r="AM536" s="118"/>
      <c r="AN536" s="118"/>
      <c r="AO536" s="118"/>
      <c r="AP536" s="118"/>
      <c r="AQ536" s="118"/>
      <c r="AR536" s="118"/>
      <c r="AS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64"/>
      <c r="O537" s="161"/>
      <c r="P537" s="118"/>
      <c r="Q537" s="118"/>
      <c r="R537" s="117"/>
      <c r="S537" s="117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  <c r="AL537" s="118"/>
      <c r="AM537" s="118"/>
      <c r="AN537" s="118"/>
      <c r="AO537" s="118"/>
      <c r="AP537" s="118"/>
      <c r="AQ537" s="118"/>
      <c r="AR537" s="118"/>
      <c r="AS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64"/>
      <c r="O538" s="161"/>
      <c r="P538" s="118"/>
      <c r="Q538" s="118"/>
      <c r="R538" s="117"/>
      <c r="S538" s="117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  <c r="AL538" s="118"/>
      <c r="AM538" s="118"/>
      <c r="AN538" s="118"/>
      <c r="AO538" s="118"/>
      <c r="AP538" s="118"/>
      <c r="AQ538" s="118"/>
      <c r="AR538" s="118"/>
      <c r="AS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64"/>
      <c r="O539" s="161"/>
      <c r="P539" s="118"/>
      <c r="Q539" s="118"/>
      <c r="R539" s="117"/>
      <c r="S539" s="117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  <c r="AL539" s="118"/>
      <c r="AM539" s="118"/>
      <c r="AN539" s="118"/>
      <c r="AO539" s="118"/>
      <c r="AP539" s="118"/>
      <c r="AQ539" s="118"/>
      <c r="AR539" s="118"/>
      <c r="AS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64"/>
      <c r="O540" s="161"/>
      <c r="P540" s="118"/>
      <c r="Q540" s="118"/>
      <c r="R540" s="117"/>
      <c r="S540" s="117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  <c r="AL540" s="118"/>
      <c r="AM540" s="118"/>
      <c r="AN540" s="118"/>
      <c r="AO540" s="118"/>
      <c r="AP540" s="118"/>
      <c r="AQ540" s="118"/>
      <c r="AR540" s="118"/>
      <c r="AS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64"/>
      <c r="O541" s="161"/>
      <c r="P541" s="118"/>
      <c r="Q541" s="118"/>
      <c r="R541" s="117"/>
      <c r="S541" s="117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  <c r="AL541" s="118"/>
      <c r="AM541" s="118"/>
      <c r="AN541" s="118"/>
      <c r="AO541" s="118"/>
      <c r="AP541" s="118"/>
      <c r="AQ541" s="118"/>
      <c r="AR541" s="118"/>
      <c r="AS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64"/>
      <c r="O542" s="161"/>
      <c r="P542" s="118"/>
      <c r="Q542" s="118"/>
      <c r="R542" s="117"/>
      <c r="S542" s="117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  <c r="AL542" s="118"/>
      <c r="AM542" s="118"/>
      <c r="AN542" s="118"/>
      <c r="AO542" s="118"/>
      <c r="AP542" s="118"/>
      <c r="AQ542" s="118"/>
      <c r="AR542" s="118"/>
      <c r="AS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64"/>
      <c r="O543" s="161"/>
      <c r="P543" s="118"/>
      <c r="Q543" s="118"/>
      <c r="R543" s="117"/>
      <c r="S543" s="117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  <c r="AL543" s="118"/>
      <c r="AM543" s="118"/>
      <c r="AN543" s="118"/>
      <c r="AO543" s="118"/>
      <c r="AP543" s="118"/>
      <c r="AQ543" s="118"/>
      <c r="AR543" s="118"/>
      <c r="AS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64"/>
      <c r="O544" s="161"/>
      <c r="P544" s="118"/>
      <c r="Q544" s="118"/>
      <c r="R544" s="117"/>
      <c r="S544" s="117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64"/>
      <c r="O545" s="161"/>
      <c r="P545" s="118"/>
      <c r="Q545" s="118"/>
      <c r="R545" s="117"/>
      <c r="S545" s="117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  <c r="AL545" s="118"/>
      <c r="AM545" s="118"/>
      <c r="AN545" s="118"/>
      <c r="AO545" s="118"/>
      <c r="AP545" s="118"/>
      <c r="AQ545" s="118"/>
      <c r="AR545" s="118"/>
      <c r="AS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64"/>
      <c r="O546" s="161"/>
      <c r="P546" s="118"/>
      <c r="Q546" s="118"/>
      <c r="R546" s="117"/>
      <c r="S546" s="117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  <c r="AL546" s="118"/>
      <c r="AM546" s="118"/>
      <c r="AN546" s="118"/>
      <c r="AO546" s="118"/>
      <c r="AP546" s="118"/>
      <c r="AQ546" s="118"/>
      <c r="AR546" s="118"/>
      <c r="AS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64"/>
      <c r="O547" s="161"/>
      <c r="P547" s="118"/>
      <c r="Q547" s="118"/>
      <c r="R547" s="117"/>
      <c r="S547" s="117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  <c r="AL547" s="118"/>
      <c r="AM547" s="118"/>
      <c r="AN547" s="118"/>
      <c r="AO547" s="118"/>
      <c r="AP547" s="118"/>
      <c r="AQ547" s="118"/>
      <c r="AR547" s="118"/>
      <c r="AS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64"/>
      <c r="O548" s="161"/>
      <c r="P548" s="118"/>
      <c r="Q548" s="118"/>
      <c r="R548" s="117"/>
      <c r="S548" s="117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  <c r="AO548" s="118"/>
      <c r="AP548" s="118"/>
      <c r="AQ548" s="118"/>
      <c r="AR548" s="118"/>
      <c r="AS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64"/>
      <c r="O549" s="161"/>
      <c r="P549" s="118"/>
      <c r="Q549" s="118"/>
      <c r="R549" s="117"/>
      <c r="S549" s="117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  <c r="AL549" s="118"/>
      <c r="AM549" s="118"/>
      <c r="AN549" s="118"/>
      <c r="AO549" s="118"/>
      <c r="AP549" s="118"/>
      <c r="AQ549" s="118"/>
      <c r="AR549" s="118"/>
      <c r="AS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64"/>
      <c r="O550" s="161"/>
      <c r="P550" s="118"/>
      <c r="Q550" s="118"/>
      <c r="R550" s="117"/>
      <c r="S550" s="117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8"/>
      <c r="AM550" s="118"/>
      <c r="AN550" s="118"/>
      <c r="AO550" s="118"/>
      <c r="AP550" s="118"/>
      <c r="AQ550" s="118"/>
      <c r="AR550" s="118"/>
      <c r="AS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64"/>
      <c r="O551" s="161"/>
      <c r="P551" s="118"/>
      <c r="Q551" s="118"/>
      <c r="R551" s="117"/>
      <c r="S551" s="117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64"/>
      <c r="O552" s="161"/>
      <c r="P552" s="118"/>
      <c r="Q552" s="118"/>
      <c r="R552" s="117"/>
      <c r="S552" s="117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8"/>
      <c r="AM552" s="118"/>
      <c r="AN552" s="118"/>
      <c r="AO552" s="118"/>
      <c r="AP552" s="118"/>
      <c r="AQ552" s="118"/>
      <c r="AR552" s="118"/>
      <c r="AS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64"/>
      <c r="O553" s="161"/>
      <c r="P553" s="118"/>
      <c r="Q553" s="118"/>
      <c r="R553" s="117"/>
      <c r="S553" s="117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  <c r="AL553" s="118"/>
      <c r="AM553" s="118"/>
      <c r="AN553" s="118"/>
      <c r="AO553" s="118"/>
      <c r="AP553" s="118"/>
      <c r="AQ553" s="118"/>
      <c r="AR553" s="118"/>
      <c r="AS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64"/>
      <c r="O554" s="161"/>
      <c r="P554" s="118"/>
      <c r="Q554" s="118"/>
      <c r="R554" s="117"/>
      <c r="S554" s="117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  <c r="AL554" s="118"/>
      <c r="AM554" s="118"/>
      <c r="AN554" s="118"/>
      <c r="AO554" s="118"/>
      <c r="AP554" s="118"/>
      <c r="AQ554" s="118"/>
      <c r="AR554" s="118"/>
      <c r="AS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64"/>
      <c r="O555" s="161"/>
      <c r="P555" s="118"/>
      <c r="Q555" s="118"/>
      <c r="R555" s="117"/>
      <c r="S555" s="117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  <c r="AL555" s="118"/>
      <c r="AM555" s="118"/>
      <c r="AN555" s="118"/>
      <c r="AO555" s="118"/>
      <c r="AP555" s="118"/>
      <c r="AQ555" s="118"/>
      <c r="AR555" s="118"/>
      <c r="AS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64"/>
      <c r="O556" s="161"/>
      <c r="P556" s="118"/>
      <c r="Q556" s="118"/>
      <c r="R556" s="117"/>
      <c r="S556" s="117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8"/>
      <c r="AN556" s="118"/>
      <c r="AO556" s="118"/>
      <c r="AP556" s="118"/>
      <c r="AQ556" s="118"/>
      <c r="AR556" s="118"/>
      <c r="AS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64"/>
      <c r="O557" s="161"/>
      <c r="P557" s="118"/>
      <c r="Q557" s="118"/>
      <c r="R557" s="117"/>
      <c r="S557" s="117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  <c r="AL557" s="118"/>
      <c r="AM557" s="118"/>
      <c r="AN557" s="118"/>
      <c r="AO557" s="118"/>
      <c r="AP557" s="118"/>
      <c r="AQ557" s="118"/>
      <c r="AR557" s="118"/>
      <c r="AS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64"/>
      <c r="O558" s="161"/>
      <c r="P558" s="118"/>
      <c r="Q558" s="118"/>
      <c r="R558" s="117"/>
      <c r="S558" s="117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  <c r="AL558" s="118"/>
      <c r="AM558" s="118"/>
      <c r="AN558" s="118"/>
      <c r="AO558" s="118"/>
      <c r="AP558" s="118"/>
      <c r="AQ558" s="118"/>
      <c r="AR558" s="118"/>
      <c r="AS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64"/>
      <c r="O559" s="161"/>
      <c r="P559" s="118"/>
      <c r="Q559" s="118"/>
      <c r="R559" s="117"/>
      <c r="S559" s="117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  <c r="AL559" s="118"/>
      <c r="AM559" s="118"/>
      <c r="AN559" s="118"/>
      <c r="AO559" s="118"/>
      <c r="AP559" s="118"/>
      <c r="AQ559" s="118"/>
      <c r="AR559" s="118"/>
      <c r="AS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64"/>
      <c r="O560" s="161"/>
      <c r="P560" s="118"/>
      <c r="Q560" s="118"/>
      <c r="R560" s="117"/>
      <c r="S560" s="117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  <c r="AI560" s="118"/>
      <c r="AJ560" s="118"/>
      <c r="AK560" s="118"/>
      <c r="AL560" s="118"/>
      <c r="AM560" s="118"/>
      <c r="AN560" s="118"/>
      <c r="AO560" s="118"/>
      <c r="AP560" s="118"/>
      <c r="AQ560" s="118"/>
      <c r="AR560" s="118"/>
      <c r="AS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64"/>
      <c r="O561" s="161"/>
      <c r="P561" s="118"/>
      <c r="Q561" s="118"/>
      <c r="R561" s="117"/>
      <c r="S561" s="117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  <c r="AI561" s="118"/>
      <c r="AJ561" s="118"/>
      <c r="AK561" s="118"/>
      <c r="AL561" s="118"/>
      <c r="AM561" s="118"/>
      <c r="AN561" s="118"/>
      <c r="AO561" s="118"/>
      <c r="AP561" s="118"/>
      <c r="AQ561" s="118"/>
      <c r="AR561" s="118"/>
      <c r="AS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64"/>
      <c r="O562" s="161"/>
      <c r="P562" s="118"/>
      <c r="Q562" s="118"/>
      <c r="R562" s="117"/>
      <c r="S562" s="117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  <c r="AI562" s="118"/>
      <c r="AJ562" s="118"/>
      <c r="AK562" s="118"/>
      <c r="AL562" s="118"/>
      <c r="AM562" s="118"/>
      <c r="AN562" s="118"/>
      <c r="AO562" s="118"/>
      <c r="AP562" s="118"/>
      <c r="AQ562" s="118"/>
      <c r="AR562" s="118"/>
      <c r="AS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64"/>
      <c r="O563" s="161"/>
      <c r="P563" s="118"/>
      <c r="Q563" s="118"/>
      <c r="R563" s="117"/>
      <c r="S563" s="117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  <c r="AI563" s="118"/>
      <c r="AJ563" s="118"/>
      <c r="AK563" s="118"/>
      <c r="AL563" s="118"/>
      <c r="AM563" s="118"/>
      <c r="AN563" s="118"/>
      <c r="AO563" s="118"/>
      <c r="AP563" s="118"/>
      <c r="AQ563" s="118"/>
      <c r="AR563" s="118"/>
      <c r="AS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64"/>
      <c r="O564" s="161"/>
      <c r="P564" s="118"/>
      <c r="Q564" s="118"/>
      <c r="R564" s="117"/>
      <c r="S564" s="117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64"/>
      <c r="O565" s="161"/>
      <c r="P565" s="118"/>
      <c r="Q565" s="118"/>
      <c r="R565" s="117"/>
      <c r="S565" s="117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  <c r="AI565" s="118"/>
      <c r="AJ565" s="118"/>
      <c r="AK565" s="118"/>
      <c r="AL565" s="118"/>
      <c r="AM565" s="118"/>
      <c r="AN565" s="118"/>
      <c r="AO565" s="118"/>
      <c r="AP565" s="118"/>
      <c r="AQ565" s="118"/>
      <c r="AR565" s="118"/>
      <c r="AS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64"/>
      <c r="O566" s="161"/>
      <c r="P566" s="118"/>
      <c r="Q566" s="118"/>
      <c r="R566" s="117"/>
      <c r="S566" s="117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  <c r="AI566" s="118"/>
      <c r="AJ566" s="118"/>
      <c r="AK566" s="118"/>
      <c r="AL566" s="118"/>
      <c r="AM566" s="118"/>
      <c r="AN566" s="118"/>
      <c r="AO566" s="118"/>
      <c r="AP566" s="118"/>
      <c r="AQ566" s="118"/>
      <c r="AR566" s="118"/>
      <c r="AS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64"/>
      <c r="O567" s="161"/>
      <c r="P567" s="118"/>
      <c r="Q567" s="118"/>
      <c r="R567" s="117"/>
      <c r="S567" s="117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  <c r="AI567" s="118"/>
      <c r="AJ567" s="118"/>
      <c r="AK567" s="118"/>
      <c r="AL567" s="118"/>
      <c r="AM567" s="118"/>
      <c r="AN567" s="118"/>
      <c r="AO567" s="118"/>
      <c r="AP567" s="118"/>
      <c r="AQ567" s="118"/>
      <c r="AR567" s="118"/>
      <c r="AS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64"/>
      <c r="O568" s="161"/>
      <c r="P568" s="118"/>
      <c r="Q568" s="118"/>
      <c r="R568" s="117"/>
      <c r="S568" s="117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  <c r="AI568" s="118"/>
      <c r="AJ568" s="118"/>
      <c r="AK568" s="118"/>
      <c r="AL568" s="118"/>
      <c r="AM568" s="118"/>
      <c r="AN568" s="118"/>
      <c r="AO568" s="118"/>
      <c r="AP568" s="118"/>
      <c r="AQ568" s="118"/>
      <c r="AR568" s="118"/>
      <c r="AS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64"/>
      <c r="O569" s="161"/>
      <c r="P569" s="118"/>
      <c r="Q569" s="118"/>
      <c r="R569" s="117"/>
      <c r="S569" s="117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  <c r="AI569" s="118"/>
      <c r="AJ569" s="118"/>
      <c r="AK569" s="118"/>
      <c r="AL569" s="118"/>
      <c r="AM569" s="118"/>
      <c r="AN569" s="118"/>
      <c r="AO569" s="118"/>
      <c r="AP569" s="118"/>
      <c r="AQ569" s="118"/>
      <c r="AR569" s="118"/>
      <c r="AS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64"/>
      <c r="O570" s="161"/>
      <c r="P570" s="118"/>
      <c r="Q570" s="118"/>
      <c r="R570" s="117"/>
      <c r="S570" s="117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  <c r="AI570" s="118"/>
      <c r="AJ570" s="118"/>
      <c r="AK570" s="118"/>
      <c r="AL570" s="118"/>
      <c r="AM570" s="118"/>
      <c r="AN570" s="118"/>
      <c r="AO570" s="118"/>
      <c r="AP570" s="118"/>
      <c r="AQ570" s="118"/>
      <c r="AR570" s="118"/>
      <c r="AS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64"/>
      <c r="O571" s="161"/>
      <c r="P571" s="118"/>
      <c r="Q571" s="118"/>
      <c r="R571" s="117"/>
      <c r="S571" s="117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  <c r="AI571" s="118"/>
      <c r="AJ571" s="118"/>
      <c r="AK571" s="118"/>
      <c r="AL571" s="118"/>
      <c r="AM571" s="118"/>
      <c r="AN571" s="118"/>
      <c r="AO571" s="118"/>
      <c r="AP571" s="118"/>
      <c r="AQ571" s="118"/>
      <c r="AR571" s="118"/>
      <c r="AS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64"/>
      <c r="O572" s="161"/>
      <c r="P572" s="118"/>
      <c r="Q572" s="118"/>
      <c r="R572" s="117"/>
      <c r="S572" s="117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  <c r="AI572" s="118"/>
      <c r="AJ572" s="118"/>
      <c r="AK572" s="118"/>
      <c r="AL572" s="118"/>
      <c r="AM572" s="118"/>
      <c r="AN572" s="118"/>
      <c r="AO572" s="118"/>
      <c r="AP572" s="118"/>
      <c r="AQ572" s="118"/>
      <c r="AR572" s="118"/>
      <c r="AS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64"/>
      <c r="O573" s="161"/>
      <c r="P573" s="118"/>
      <c r="Q573" s="118"/>
      <c r="R573" s="117"/>
      <c r="S573" s="117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  <c r="AI573" s="118"/>
      <c r="AJ573" s="118"/>
      <c r="AK573" s="118"/>
      <c r="AL573" s="118"/>
      <c r="AM573" s="118"/>
      <c r="AN573" s="118"/>
      <c r="AO573" s="118"/>
      <c r="AP573" s="118"/>
      <c r="AQ573" s="118"/>
      <c r="AR573" s="118"/>
      <c r="AS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64"/>
      <c r="O574" s="161"/>
      <c r="P574" s="118"/>
      <c r="Q574" s="118"/>
      <c r="R574" s="117"/>
      <c r="S574" s="117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  <c r="AL574" s="118"/>
      <c r="AM574" s="118"/>
      <c r="AN574" s="118"/>
      <c r="AO574" s="118"/>
      <c r="AP574" s="118"/>
      <c r="AQ574" s="118"/>
      <c r="AR574" s="118"/>
      <c r="AS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64"/>
      <c r="O575" s="161"/>
      <c r="P575" s="118"/>
      <c r="Q575" s="118"/>
      <c r="R575" s="117"/>
      <c r="S575" s="117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  <c r="AL575" s="118"/>
      <c r="AM575" s="118"/>
      <c r="AN575" s="118"/>
      <c r="AO575" s="118"/>
      <c r="AP575" s="118"/>
      <c r="AQ575" s="118"/>
      <c r="AR575" s="118"/>
      <c r="AS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64"/>
      <c r="O576" s="161"/>
      <c r="P576" s="118"/>
      <c r="Q576" s="118"/>
      <c r="R576" s="117"/>
      <c r="S576" s="117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  <c r="AL576" s="118"/>
      <c r="AM576" s="118"/>
      <c r="AN576" s="118"/>
      <c r="AO576" s="118"/>
      <c r="AP576" s="118"/>
      <c r="AQ576" s="118"/>
      <c r="AR576" s="118"/>
      <c r="AS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64"/>
      <c r="O577" s="161"/>
      <c r="P577" s="118"/>
      <c r="Q577" s="118"/>
      <c r="R577" s="117"/>
      <c r="S577" s="117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  <c r="AI577" s="118"/>
      <c r="AJ577" s="118"/>
      <c r="AK577" s="118"/>
      <c r="AL577" s="118"/>
      <c r="AM577" s="118"/>
      <c r="AN577" s="118"/>
      <c r="AO577" s="118"/>
      <c r="AP577" s="118"/>
      <c r="AQ577" s="118"/>
      <c r="AR577" s="118"/>
      <c r="AS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64"/>
      <c r="O578" s="161"/>
      <c r="P578" s="118"/>
      <c r="Q578" s="118"/>
      <c r="R578" s="117"/>
      <c r="S578" s="117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64"/>
      <c r="O579" s="161"/>
      <c r="P579" s="118"/>
      <c r="Q579" s="118"/>
      <c r="R579" s="117"/>
      <c r="S579" s="117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  <c r="AI579" s="118"/>
      <c r="AJ579" s="118"/>
      <c r="AK579" s="118"/>
      <c r="AL579" s="118"/>
      <c r="AM579" s="118"/>
      <c r="AN579" s="118"/>
      <c r="AO579" s="118"/>
      <c r="AP579" s="118"/>
      <c r="AQ579" s="118"/>
      <c r="AR579" s="118"/>
      <c r="AS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64"/>
      <c r="O580" s="161"/>
      <c r="P580" s="118"/>
      <c r="Q580" s="118"/>
      <c r="R580" s="117"/>
      <c r="S580" s="117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  <c r="AI580" s="118"/>
      <c r="AJ580" s="118"/>
      <c r="AK580" s="118"/>
      <c r="AL580" s="118"/>
      <c r="AM580" s="118"/>
      <c r="AN580" s="118"/>
      <c r="AO580" s="118"/>
      <c r="AP580" s="118"/>
      <c r="AQ580" s="118"/>
      <c r="AR580" s="118"/>
      <c r="AS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64"/>
      <c r="O581" s="161"/>
      <c r="P581" s="118"/>
      <c r="Q581" s="118"/>
      <c r="R581" s="117"/>
      <c r="S581" s="117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118"/>
      <c r="AN581" s="118"/>
      <c r="AO581" s="118"/>
      <c r="AP581" s="118"/>
      <c r="AQ581" s="118"/>
      <c r="AR581" s="118"/>
      <c r="AS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64"/>
      <c r="O582" s="161"/>
      <c r="P582" s="118"/>
      <c r="Q582" s="118"/>
      <c r="R582" s="117"/>
      <c r="S582" s="117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118"/>
      <c r="AN582" s="118"/>
      <c r="AO582" s="118"/>
      <c r="AP582" s="118"/>
      <c r="AQ582" s="118"/>
      <c r="AR582" s="118"/>
      <c r="AS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64"/>
      <c r="O583" s="161"/>
      <c r="P583" s="118"/>
      <c r="Q583" s="118"/>
      <c r="R583" s="117"/>
      <c r="S583" s="117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  <c r="AL583" s="118"/>
      <c r="AM583" s="118"/>
      <c r="AN583" s="118"/>
      <c r="AO583" s="118"/>
      <c r="AP583" s="118"/>
      <c r="AQ583" s="118"/>
      <c r="AR583" s="118"/>
      <c r="AS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64"/>
      <c r="O584" s="161"/>
      <c r="P584" s="118"/>
      <c r="Q584" s="118"/>
      <c r="R584" s="117"/>
      <c r="S584" s="117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  <c r="AL584" s="118"/>
      <c r="AM584" s="118"/>
      <c r="AN584" s="118"/>
      <c r="AO584" s="118"/>
      <c r="AP584" s="118"/>
      <c r="AQ584" s="118"/>
      <c r="AR584" s="118"/>
      <c r="AS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64"/>
      <c r="O585" s="161"/>
      <c r="P585" s="118"/>
      <c r="Q585" s="118"/>
      <c r="R585" s="117"/>
      <c r="S585" s="117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  <c r="AL585" s="118"/>
      <c r="AM585" s="118"/>
      <c r="AN585" s="118"/>
      <c r="AO585" s="118"/>
      <c r="AP585" s="118"/>
      <c r="AQ585" s="118"/>
      <c r="AR585" s="118"/>
      <c r="AS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64"/>
      <c r="O586" s="161"/>
      <c r="P586" s="118"/>
      <c r="Q586" s="118"/>
      <c r="R586" s="117"/>
      <c r="S586" s="117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64"/>
      <c r="O587" s="161"/>
      <c r="P587" s="118"/>
      <c r="Q587" s="118"/>
      <c r="R587" s="117"/>
      <c r="S587" s="117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  <c r="AL587" s="118"/>
      <c r="AM587" s="118"/>
      <c r="AN587" s="118"/>
      <c r="AO587" s="118"/>
      <c r="AP587" s="118"/>
      <c r="AQ587" s="118"/>
      <c r="AR587" s="118"/>
      <c r="AS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64"/>
      <c r="O588" s="161"/>
      <c r="P588" s="118"/>
      <c r="Q588" s="118"/>
      <c r="R588" s="117"/>
      <c r="S588" s="117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118"/>
      <c r="AN588" s="118"/>
      <c r="AO588" s="118"/>
      <c r="AP588" s="118"/>
      <c r="AQ588" s="118"/>
      <c r="AR588" s="118"/>
      <c r="AS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64"/>
      <c r="O589" s="161"/>
      <c r="P589" s="118"/>
      <c r="Q589" s="118"/>
      <c r="R589" s="117"/>
      <c r="S589" s="117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  <c r="AL589" s="118"/>
      <c r="AM589" s="118"/>
      <c r="AN589" s="118"/>
      <c r="AO589" s="118"/>
      <c r="AP589" s="118"/>
      <c r="AQ589" s="118"/>
      <c r="AR589" s="118"/>
      <c r="AS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64"/>
      <c r="O590" s="161"/>
      <c r="P590" s="118"/>
      <c r="Q590" s="118"/>
      <c r="R590" s="117"/>
      <c r="S590" s="117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  <c r="AL590" s="118"/>
      <c r="AM590" s="118"/>
      <c r="AN590" s="118"/>
      <c r="AO590" s="118"/>
      <c r="AP590" s="118"/>
      <c r="AQ590" s="118"/>
      <c r="AR590" s="118"/>
      <c r="AS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64"/>
      <c r="O591" s="161"/>
      <c r="P591" s="118"/>
      <c r="Q591" s="118"/>
      <c r="R591" s="117"/>
      <c r="S591" s="117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  <c r="AL591" s="118"/>
      <c r="AM591" s="118"/>
      <c r="AN591" s="118"/>
      <c r="AO591" s="118"/>
      <c r="AP591" s="118"/>
      <c r="AQ591" s="118"/>
      <c r="AR591" s="118"/>
      <c r="AS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64"/>
      <c r="O592" s="161"/>
      <c r="P592" s="118"/>
      <c r="Q592" s="118"/>
      <c r="R592" s="117"/>
      <c r="S592" s="117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  <c r="AL592" s="118"/>
      <c r="AM592" s="118"/>
      <c r="AN592" s="118"/>
      <c r="AO592" s="118"/>
      <c r="AP592" s="118"/>
      <c r="AQ592" s="118"/>
      <c r="AR592" s="118"/>
      <c r="AS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64"/>
      <c r="O593" s="161"/>
      <c r="P593" s="118"/>
      <c r="Q593" s="118"/>
      <c r="R593" s="117"/>
      <c r="S593" s="117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  <c r="AL593" s="118"/>
      <c r="AM593" s="118"/>
      <c r="AN593" s="118"/>
      <c r="AO593" s="118"/>
      <c r="AP593" s="118"/>
      <c r="AQ593" s="118"/>
      <c r="AR593" s="118"/>
      <c r="AS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64"/>
      <c r="O594" s="161"/>
      <c r="P594" s="118"/>
      <c r="Q594" s="118"/>
      <c r="R594" s="117"/>
      <c r="S594" s="117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8"/>
      <c r="AN594" s="118"/>
      <c r="AO594" s="118"/>
      <c r="AP594" s="118"/>
      <c r="AQ594" s="118"/>
      <c r="AR594" s="118"/>
      <c r="AS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64"/>
      <c r="O595" s="161"/>
      <c r="P595" s="118"/>
      <c r="Q595" s="118"/>
      <c r="R595" s="117"/>
      <c r="S595" s="117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  <c r="AL595" s="118"/>
      <c r="AM595" s="118"/>
      <c r="AN595" s="118"/>
      <c r="AO595" s="118"/>
      <c r="AP595" s="118"/>
      <c r="AQ595" s="118"/>
      <c r="AR595" s="118"/>
      <c r="AS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64"/>
      <c r="O596" s="161"/>
      <c r="P596" s="118"/>
      <c r="Q596" s="118"/>
      <c r="R596" s="117"/>
      <c r="S596" s="117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  <c r="AL596" s="118"/>
      <c r="AM596" s="118"/>
      <c r="AN596" s="118"/>
      <c r="AO596" s="118"/>
      <c r="AP596" s="118"/>
      <c r="AQ596" s="118"/>
      <c r="AR596" s="118"/>
      <c r="AS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64"/>
      <c r="O597" s="161"/>
      <c r="P597" s="118"/>
      <c r="Q597" s="118"/>
      <c r="R597" s="117"/>
      <c r="S597" s="117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  <c r="AL597" s="118"/>
      <c r="AM597" s="118"/>
      <c r="AN597" s="118"/>
      <c r="AO597" s="118"/>
      <c r="AP597" s="118"/>
      <c r="AQ597" s="118"/>
      <c r="AR597" s="118"/>
      <c r="AS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64"/>
      <c r="O598" s="161"/>
      <c r="P598" s="118"/>
      <c r="Q598" s="118"/>
      <c r="R598" s="117"/>
      <c r="S598" s="117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  <c r="AL598" s="118"/>
      <c r="AM598" s="118"/>
      <c r="AN598" s="118"/>
      <c r="AO598" s="118"/>
      <c r="AP598" s="118"/>
      <c r="AQ598" s="118"/>
      <c r="AR598" s="118"/>
      <c r="AS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64"/>
      <c r="O599" s="161"/>
      <c r="P599" s="118"/>
      <c r="Q599" s="118"/>
      <c r="R599" s="117"/>
      <c r="S599" s="117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18"/>
      <c r="AS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64"/>
      <c r="O600" s="161"/>
      <c r="P600" s="118"/>
      <c r="Q600" s="118"/>
      <c r="R600" s="117"/>
      <c r="S600" s="117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18"/>
      <c r="AS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64"/>
      <c r="O601" s="161"/>
      <c r="P601" s="118"/>
      <c r="Q601" s="118"/>
      <c r="R601" s="117"/>
      <c r="S601" s="117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18"/>
      <c r="AS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64"/>
      <c r="O602" s="161"/>
      <c r="P602" s="118"/>
      <c r="Q602" s="118"/>
      <c r="R602" s="117"/>
      <c r="S602" s="117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18"/>
      <c r="AS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64"/>
      <c r="O603" s="161"/>
      <c r="P603" s="118"/>
      <c r="Q603" s="118"/>
      <c r="R603" s="117"/>
      <c r="S603" s="117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18"/>
      <c r="AS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64"/>
      <c r="O604" s="161"/>
      <c r="P604" s="118"/>
      <c r="Q604" s="118"/>
      <c r="R604" s="117"/>
      <c r="S604" s="117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64"/>
      <c r="O605" s="161"/>
      <c r="P605" s="118"/>
      <c r="Q605" s="118"/>
      <c r="R605" s="117"/>
      <c r="S605" s="117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18"/>
      <c r="AS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64"/>
      <c r="O606" s="161"/>
      <c r="P606" s="118"/>
      <c r="Q606" s="118"/>
      <c r="R606" s="117"/>
      <c r="S606" s="117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18"/>
      <c r="AS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64"/>
      <c r="O607" s="161"/>
      <c r="P607" s="118"/>
      <c r="Q607" s="118"/>
      <c r="R607" s="117"/>
      <c r="S607" s="117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18"/>
      <c r="AS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64"/>
      <c r="O608" s="161"/>
      <c r="P608" s="118"/>
      <c r="Q608" s="118"/>
      <c r="R608" s="117"/>
      <c r="S608" s="117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  <c r="AI608" s="118"/>
      <c r="AJ608" s="118"/>
      <c r="AK608" s="118"/>
      <c r="AL608" s="118"/>
      <c r="AM608" s="118"/>
      <c r="AN608" s="118"/>
      <c r="AO608" s="118"/>
      <c r="AP608" s="118"/>
      <c r="AQ608" s="118"/>
      <c r="AR608" s="118"/>
      <c r="AS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64"/>
      <c r="O609" s="161"/>
      <c r="P609" s="118"/>
      <c r="Q609" s="118"/>
      <c r="R609" s="117"/>
      <c r="S609" s="117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  <c r="AI609" s="118"/>
      <c r="AJ609" s="118"/>
      <c r="AK609" s="118"/>
      <c r="AL609" s="118"/>
      <c r="AM609" s="118"/>
      <c r="AN609" s="118"/>
      <c r="AO609" s="118"/>
      <c r="AP609" s="118"/>
      <c r="AQ609" s="118"/>
      <c r="AR609" s="118"/>
      <c r="AS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64"/>
      <c r="O610" s="161"/>
      <c r="P610" s="118"/>
      <c r="Q610" s="118"/>
      <c r="R610" s="117"/>
      <c r="S610" s="117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  <c r="AI610" s="118"/>
      <c r="AJ610" s="118"/>
      <c r="AK610" s="118"/>
      <c r="AL610" s="118"/>
      <c r="AM610" s="118"/>
      <c r="AN610" s="118"/>
      <c r="AO610" s="118"/>
      <c r="AP610" s="118"/>
      <c r="AQ610" s="118"/>
      <c r="AR610" s="118"/>
      <c r="AS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64"/>
      <c r="O611" s="161"/>
      <c r="P611" s="118"/>
      <c r="Q611" s="118"/>
      <c r="R611" s="117"/>
      <c r="S611" s="117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  <c r="AI611" s="118"/>
      <c r="AJ611" s="118"/>
      <c r="AK611" s="118"/>
      <c r="AL611" s="118"/>
      <c r="AM611" s="118"/>
      <c r="AN611" s="118"/>
      <c r="AO611" s="118"/>
      <c r="AP611" s="118"/>
      <c r="AQ611" s="118"/>
      <c r="AR611" s="118"/>
      <c r="AS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64"/>
      <c r="O612" s="161"/>
      <c r="P612" s="118"/>
      <c r="Q612" s="118"/>
      <c r="R612" s="117"/>
      <c r="S612" s="117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  <c r="AI612" s="118"/>
      <c r="AJ612" s="118"/>
      <c r="AK612" s="118"/>
      <c r="AL612" s="118"/>
      <c r="AM612" s="118"/>
      <c r="AN612" s="118"/>
      <c r="AO612" s="118"/>
      <c r="AP612" s="118"/>
      <c r="AQ612" s="118"/>
      <c r="AR612" s="118"/>
      <c r="AS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64"/>
      <c r="O613" s="161"/>
      <c r="P613" s="118"/>
      <c r="Q613" s="118"/>
      <c r="R613" s="117"/>
      <c r="S613" s="117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  <c r="AI613" s="118"/>
      <c r="AJ613" s="118"/>
      <c r="AK613" s="118"/>
      <c r="AL613" s="118"/>
      <c r="AM613" s="118"/>
      <c r="AN613" s="118"/>
      <c r="AO613" s="118"/>
      <c r="AP613" s="118"/>
      <c r="AQ613" s="118"/>
      <c r="AR613" s="118"/>
      <c r="AS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64"/>
      <c r="O614" s="161"/>
      <c r="P614" s="118"/>
      <c r="Q614" s="118"/>
      <c r="R614" s="117"/>
      <c r="S614" s="117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  <c r="AI614" s="118"/>
      <c r="AJ614" s="118"/>
      <c r="AK614" s="118"/>
      <c r="AL614" s="118"/>
      <c r="AM614" s="118"/>
      <c r="AN614" s="118"/>
      <c r="AO614" s="118"/>
      <c r="AP614" s="118"/>
      <c r="AQ614" s="118"/>
      <c r="AR614" s="118"/>
      <c r="AS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64"/>
      <c r="O615" s="161"/>
      <c r="P615" s="118"/>
      <c r="Q615" s="118"/>
      <c r="R615" s="117"/>
      <c r="S615" s="117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  <c r="AI615" s="118"/>
      <c r="AJ615" s="118"/>
      <c r="AK615" s="118"/>
      <c r="AL615" s="118"/>
      <c r="AM615" s="118"/>
      <c r="AN615" s="118"/>
      <c r="AO615" s="118"/>
      <c r="AP615" s="118"/>
      <c r="AQ615" s="118"/>
      <c r="AR615" s="118"/>
      <c r="AS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64"/>
      <c r="O616" s="161"/>
      <c r="P616" s="118"/>
      <c r="Q616" s="118"/>
      <c r="R616" s="117"/>
      <c r="S616" s="117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  <c r="AI616" s="118"/>
      <c r="AJ616" s="118"/>
      <c r="AK616" s="118"/>
      <c r="AL616" s="118"/>
      <c r="AM616" s="118"/>
      <c r="AN616" s="118"/>
      <c r="AO616" s="118"/>
      <c r="AP616" s="118"/>
      <c r="AQ616" s="118"/>
      <c r="AR616" s="118"/>
      <c r="AS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64"/>
      <c r="O617" s="161"/>
      <c r="P617" s="118"/>
      <c r="Q617" s="118"/>
      <c r="R617" s="117"/>
      <c r="S617" s="117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  <c r="AI617" s="118"/>
      <c r="AJ617" s="118"/>
      <c r="AK617" s="118"/>
      <c r="AL617" s="118"/>
      <c r="AM617" s="118"/>
      <c r="AN617" s="118"/>
      <c r="AO617" s="118"/>
      <c r="AP617" s="118"/>
      <c r="AQ617" s="118"/>
      <c r="AR617" s="118"/>
      <c r="AS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64"/>
      <c r="O618" s="161"/>
      <c r="P618" s="118"/>
      <c r="Q618" s="118"/>
      <c r="R618" s="117"/>
      <c r="S618" s="117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  <c r="AI618" s="118"/>
      <c r="AJ618" s="118"/>
      <c r="AK618" s="118"/>
      <c r="AL618" s="118"/>
      <c r="AM618" s="118"/>
      <c r="AN618" s="118"/>
      <c r="AO618" s="118"/>
      <c r="AP618" s="118"/>
      <c r="AQ618" s="118"/>
      <c r="AR618" s="118"/>
      <c r="AS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64"/>
      <c r="O619" s="161"/>
      <c r="P619" s="118"/>
      <c r="Q619" s="118"/>
      <c r="R619" s="117"/>
      <c r="S619" s="117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  <c r="AI619" s="118"/>
      <c r="AJ619" s="118"/>
      <c r="AK619" s="118"/>
      <c r="AL619" s="118"/>
      <c r="AM619" s="118"/>
      <c r="AN619" s="118"/>
      <c r="AO619" s="118"/>
      <c r="AP619" s="118"/>
      <c r="AQ619" s="118"/>
      <c r="AR619" s="118"/>
      <c r="AS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64"/>
      <c r="O620" s="161"/>
      <c r="P620" s="118"/>
      <c r="Q620" s="118"/>
      <c r="R620" s="117"/>
      <c r="S620" s="117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  <c r="AI620" s="118"/>
      <c r="AJ620" s="118"/>
      <c r="AK620" s="118"/>
      <c r="AL620" s="118"/>
      <c r="AM620" s="118"/>
      <c r="AN620" s="118"/>
      <c r="AO620" s="118"/>
      <c r="AP620" s="118"/>
      <c r="AQ620" s="118"/>
      <c r="AR620" s="118"/>
      <c r="AS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64"/>
      <c r="O621" s="161"/>
      <c r="P621" s="118"/>
      <c r="Q621" s="118"/>
      <c r="R621" s="117"/>
      <c r="S621" s="117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  <c r="AI621" s="118"/>
      <c r="AJ621" s="118"/>
      <c r="AK621" s="118"/>
      <c r="AL621" s="118"/>
      <c r="AM621" s="118"/>
      <c r="AN621" s="118"/>
      <c r="AO621" s="118"/>
      <c r="AP621" s="118"/>
      <c r="AQ621" s="118"/>
      <c r="AR621" s="118"/>
      <c r="AS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64"/>
      <c r="O622" s="161"/>
      <c r="P622" s="118"/>
      <c r="Q622" s="118"/>
      <c r="R622" s="117"/>
      <c r="S622" s="117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64"/>
      <c r="O623" s="161"/>
      <c r="P623" s="118"/>
      <c r="Q623" s="118"/>
      <c r="R623" s="117"/>
      <c r="S623" s="117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  <c r="AL623" s="118"/>
      <c r="AM623" s="118"/>
      <c r="AN623" s="118"/>
      <c r="AO623" s="118"/>
      <c r="AP623" s="118"/>
      <c r="AQ623" s="118"/>
      <c r="AR623" s="118"/>
      <c r="AS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64"/>
      <c r="O624" s="161"/>
      <c r="P624" s="118"/>
      <c r="Q624" s="118"/>
      <c r="R624" s="117"/>
      <c r="S624" s="117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  <c r="AL624" s="118"/>
      <c r="AM624" s="118"/>
      <c r="AN624" s="118"/>
      <c r="AO624" s="118"/>
      <c r="AP624" s="118"/>
      <c r="AQ624" s="118"/>
      <c r="AR624" s="118"/>
      <c r="AS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64"/>
      <c r="O625" s="161"/>
      <c r="P625" s="118"/>
      <c r="Q625" s="118"/>
      <c r="R625" s="117"/>
      <c r="S625" s="117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  <c r="AI625" s="118"/>
      <c r="AJ625" s="118"/>
      <c r="AK625" s="118"/>
      <c r="AL625" s="118"/>
      <c r="AM625" s="118"/>
      <c r="AN625" s="118"/>
      <c r="AO625" s="118"/>
      <c r="AP625" s="118"/>
      <c r="AQ625" s="118"/>
      <c r="AR625" s="118"/>
      <c r="AS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64"/>
      <c r="O626" s="161"/>
      <c r="P626" s="118"/>
      <c r="Q626" s="118"/>
      <c r="R626" s="117"/>
      <c r="S626" s="117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64"/>
      <c r="O627" s="161"/>
      <c r="P627" s="118"/>
      <c r="Q627" s="118"/>
      <c r="R627" s="117"/>
      <c r="S627" s="117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  <c r="AI627" s="118"/>
      <c r="AJ627" s="118"/>
      <c r="AK627" s="118"/>
      <c r="AL627" s="118"/>
      <c r="AM627" s="118"/>
      <c r="AN627" s="118"/>
      <c r="AO627" s="118"/>
      <c r="AP627" s="118"/>
      <c r="AQ627" s="118"/>
      <c r="AR627" s="118"/>
      <c r="AS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64"/>
      <c r="O628" s="161"/>
      <c r="P628" s="118"/>
      <c r="Q628" s="118"/>
      <c r="R628" s="117"/>
      <c r="S628" s="117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  <c r="AI628" s="118"/>
      <c r="AJ628" s="118"/>
      <c r="AK628" s="118"/>
      <c r="AL628" s="118"/>
      <c r="AM628" s="118"/>
      <c r="AN628" s="118"/>
      <c r="AO628" s="118"/>
      <c r="AP628" s="118"/>
      <c r="AQ628" s="118"/>
      <c r="AR628" s="118"/>
      <c r="AS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64"/>
      <c r="O629" s="161"/>
      <c r="P629" s="118"/>
      <c r="Q629" s="118"/>
      <c r="R629" s="117"/>
      <c r="S629" s="117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  <c r="AI629" s="118"/>
      <c r="AJ629" s="118"/>
      <c r="AK629" s="118"/>
      <c r="AL629" s="118"/>
      <c r="AM629" s="118"/>
      <c r="AN629" s="118"/>
      <c r="AO629" s="118"/>
      <c r="AP629" s="118"/>
      <c r="AQ629" s="118"/>
      <c r="AR629" s="118"/>
      <c r="AS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64"/>
      <c r="O630" s="161"/>
      <c r="P630" s="118"/>
      <c r="Q630" s="118"/>
      <c r="R630" s="117"/>
      <c r="S630" s="117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  <c r="AL630" s="118"/>
      <c r="AM630" s="118"/>
      <c r="AN630" s="118"/>
      <c r="AO630" s="118"/>
      <c r="AP630" s="118"/>
      <c r="AQ630" s="118"/>
      <c r="AR630" s="118"/>
      <c r="AS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64"/>
      <c r="O631" s="161"/>
      <c r="P631" s="118"/>
      <c r="Q631" s="118"/>
      <c r="R631" s="117"/>
      <c r="S631" s="117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  <c r="AL631" s="118"/>
      <c r="AM631" s="118"/>
      <c r="AN631" s="118"/>
      <c r="AO631" s="118"/>
      <c r="AP631" s="118"/>
      <c r="AQ631" s="118"/>
      <c r="AR631" s="118"/>
      <c r="AS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64"/>
      <c r="O632" s="161"/>
      <c r="P632" s="118"/>
      <c r="Q632" s="118"/>
      <c r="R632" s="117"/>
      <c r="S632" s="117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8"/>
      <c r="AN632" s="118"/>
      <c r="AO632" s="118"/>
      <c r="AP632" s="118"/>
      <c r="AQ632" s="118"/>
      <c r="AR632" s="118"/>
      <c r="AS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64"/>
      <c r="O633" s="161"/>
      <c r="P633" s="118"/>
      <c r="Q633" s="118"/>
      <c r="R633" s="117"/>
      <c r="S633" s="117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  <c r="AL633" s="118"/>
      <c r="AM633" s="118"/>
      <c r="AN633" s="118"/>
      <c r="AO633" s="118"/>
      <c r="AP633" s="118"/>
      <c r="AQ633" s="118"/>
      <c r="AR633" s="118"/>
      <c r="AS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64"/>
      <c r="O634" s="161"/>
      <c r="P634" s="118"/>
      <c r="Q634" s="118"/>
      <c r="R634" s="117"/>
      <c r="S634" s="117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  <c r="AL634" s="118"/>
      <c r="AM634" s="118"/>
      <c r="AN634" s="118"/>
      <c r="AO634" s="118"/>
      <c r="AP634" s="118"/>
      <c r="AQ634" s="118"/>
      <c r="AR634" s="118"/>
      <c r="AS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64"/>
      <c r="O635" s="161"/>
      <c r="P635" s="118"/>
      <c r="Q635" s="118"/>
      <c r="R635" s="117"/>
      <c r="S635" s="117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  <c r="AL635" s="118"/>
      <c r="AM635" s="118"/>
      <c r="AN635" s="118"/>
      <c r="AO635" s="118"/>
      <c r="AP635" s="118"/>
      <c r="AQ635" s="118"/>
      <c r="AR635" s="118"/>
      <c r="AS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64"/>
      <c r="O636" s="161"/>
      <c r="P636" s="118"/>
      <c r="Q636" s="118"/>
      <c r="R636" s="117"/>
      <c r="S636" s="117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  <c r="AL636" s="118"/>
      <c r="AM636" s="118"/>
      <c r="AN636" s="118"/>
      <c r="AO636" s="118"/>
      <c r="AP636" s="118"/>
      <c r="AQ636" s="118"/>
      <c r="AR636" s="118"/>
      <c r="AS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64"/>
      <c r="O637" s="161"/>
      <c r="P637" s="118"/>
      <c r="Q637" s="118"/>
      <c r="R637" s="117"/>
      <c r="S637" s="117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  <c r="AL637" s="118"/>
      <c r="AM637" s="118"/>
      <c r="AN637" s="118"/>
      <c r="AO637" s="118"/>
      <c r="AP637" s="118"/>
      <c r="AQ637" s="118"/>
      <c r="AR637" s="118"/>
      <c r="AS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64"/>
      <c r="O638" s="161"/>
      <c r="P638" s="118"/>
      <c r="Q638" s="118"/>
      <c r="R638" s="117"/>
      <c r="S638" s="117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  <c r="AL638" s="118"/>
      <c r="AM638" s="118"/>
      <c r="AN638" s="118"/>
      <c r="AO638" s="118"/>
      <c r="AP638" s="118"/>
      <c r="AQ638" s="118"/>
      <c r="AR638" s="118"/>
      <c r="AS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64"/>
      <c r="O639" s="161"/>
      <c r="P639" s="118"/>
      <c r="Q639" s="118"/>
      <c r="R639" s="117"/>
      <c r="S639" s="117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  <c r="AL639" s="118"/>
      <c r="AM639" s="118"/>
      <c r="AN639" s="118"/>
      <c r="AO639" s="118"/>
      <c r="AP639" s="118"/>
      <c r="AQ639" s="118"/>
      <c r="AR639" s="118"/>
      <c r="AS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64"/>
      <c r="O640" s="161"/>
      <c r="P640" s="118"/>
      <c r="Q640" s="118"/>
      <c r="R640" s="117"/>
      <c r="S640" s="117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64"/>
      <c r="O641" s="161"/>
      <c r="P641" s="118"/>
      <c r="Q641" s="118"/>
      <c r="R641" s="117"/>
      <c r="S641" s="117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  <c r="AL641" s="118"/>
      <c r="AM641" s="118"/>
      <c r="AN641" s="118"/>
      <c r="AO641" s="118"/>
      <c r="AP641" s="118"/>
      <c r="AQ641" s="118"/>
      <c r="AR641" s="118"/>
      <c r="AS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64"/>
      <c r="O642" s="161"/>
      <c r="P642" s="118"/>
      <c r="Q642" s="118"/>
      <c r="R642" s="117"/>
      <c r="S642" s="117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  <c r="AL642" s="118"/>
      <c r="AM642" s="118"/>
      <c r="AN642" s="118"/>
      <c r="AO642" s="118"/>
      <c r="AP642" s="118"/>
      <c r="AQ642" s="118"/>
      <c r="AR642" s="118"/>
      <c r="AS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64"/>
      <c r="O643" s="161"/>
      <c r="P643" s="118"/>
      <c r="Q643" s="118"/>
      <c r="R643" s="117"/>
      <c r="S643" s="117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  <c r="AL643" s="118"/>
      <c r="AM643" s="118"/>
      <c r="AN643" s="118"/>
      <c r="AO643" s="118"/>
      <c r="AP643" s="118"/>
      <c r="AQ643" s="118"/>
      <c r="AR643" s="118"/>
      <c r="AS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64"/>
      <c r="O644" s="161"/>
      <c r="P644" s="118"/>
      <c r="Q644" s="118"/>
      <c r="R644" s="117"/>
      <c r="S644" s="117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  <c r="AL644" s="118"/>
      <c r="AM644" s="118"/>
      <c r="AN644" s="118"/>
      <c r="AO644" s="118"/>
      <c r="AP644" s="118"/>
      <c r="AQ644" s="118"/>
      <c r="AR644" s="118"/>
      <c r="AS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64"/>
      <c r="O645" s="161"/>
      <c r="P645" s="118"/>
      <c r="Q645" s="118"/>
      <c r="R645" s="117"/>
      <c r="S645" s="117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  <c r="AL645" s="118"/>
      <c r="AM645" s="118"/>
      <c r="AN645" s="118"/>
      <c r="AO645" s="118"/>
      <c r="AP645" s="118"/>
      <c r="AQ645" s="118"/>
      <c r="AR645" s="118"/>
      <c r="AS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64"/>
      <c r="O646" s="161"/>
      <c r="P646" s="118"/>
      <c r="Q646" s="118"/>
      <c r="R646" s="117"/>
      <c r="S646" s="117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64"/>
      <c r="O647" s="161"/>
      <c r="P647" s="118"/>
      <c r="Q647" s="118"/>
      <c r="R647" s="117"/>
      <c r="S647" s="117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64"/>
      <c r="O648" s="161"/>
      <c r="P648" s="118"/>
      <c r="Q648" s="118"/>
      <c r="R648" s="117"/>
      <c r="S648" s="117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64"/>
      <c r="O649" s="161"/>
      <c r="P649" s="118"/>
      <c r="Q649" s="118"/>
      <c r="R649" s="117"/>
      <c r="S649" s="117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64"/>
      <c r="O650" s="161"/>
      <c r="P650" s="118"/>
      <c r="Q650" s="118"/>
      <c r="R650" s="117"/>
      <c r="S650" s="117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  <c r="AL650" s="118"/>
      <c r="AM650" s="118"/>
      <c r="AN650" s="118"/>
      <c r="AO650" s="118"/>
      <c r="AP650" s="118"/>
      <c r="AQ650" s="118"/>
      <c r="AR650" s="118"/>
      <c r="AS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64"/>
      <c r="O651" s="161"/>
      <c r="P651" s="118"/>
      <c r="Q651" s="118"/>
      <c r="R651" s="117"/>
      <c r="S651" s="117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  <c r="AL651" s="118"/>
      <c r="AM651" s="118"/>
      <c r="AN651" s="118"/>
      <c r="AO651" s="118"/>
      <c r="AP651" s="118"/>
      <c r="AQ651" s="118"/>
      <c r="AR651" s="118"/>
      <c r="AS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64"/>
      <c r="O652" s="161"/>
      <c r="P652" s="118"/>
      <c r="Q652" s="118"/>
      <c r="R652" s="117"/>
      <c r="S652" s="117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  <c r="AL652" s="118"/>
      <c r="AM652" s="118"/>
      <c r="AN652" s="118"/>
      <c r="AO652" s="118"/>
      <c r="AP652" s="118"/>
      <c r="AQ652" s="118"/>
      <c r="AR652" s="118"/>
      <c r="AS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64"/>
      <c r="O653" s="161"/>
      <c r="P653" s="118"/>
      <c r="Q653" s="118"/>
      <c r="R653" s="117"/>
      <c r="S653" s="117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  <c r="AL653" s="118"/>
      <c r="AM653" s="118"/>
      <c r="AN653" s="118"/>
      <c r="AO653" s="118"/>
      <c r="AP653" s="118"/>
      <c r="AQ653" s="118"/>
      <c r="AR653" s="118"/>
      <c r="AS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64"/>
      <c r="O654" s="161"/>
      <c r="P654" s="118"/>
      <c r="Q654" s="118"/>
      <c r="R654" s="117"/>
      <c r="S654" s="117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  <c r="AL654" s="118"/>
      <c r="AM654" s="118"/>
      <c r="AN654" s="118"/>
      <c r="AO654" s="118"/>
      <c r="AP654" s="118"/>
      <c r="AQ654" s="118"/>
      <c r="AR654" s="118"/>
      <c r="AS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64"/>
      <c r="O655" s="161"/>
      <c r="P655" s="118"/>
      <c r="Q655" s="118"/>
      <c r="R655" s="117"/>
      <c r="S655" s="117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  <c r="AL655" s="118"/>
      <c r="AM655" s="118"/>
      <c r="AN655" s="118"/>
      <c r="AO655" s="118"/>
      <c r="AP655" s="118"/>
      <c r="AQ655" s="118"/>
      <c r="AR655" s="118"/>
      <c r="AS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64"/>
      <c r="O656" s="161"/>
      <c r="P656" s="118"/>
      <c r="Q656" s="118"/>
      <c r="R656" s="117"/>
      <c r="S656" s="117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  <c r="AI656" s="118"/>
      <c r="AJ656" s="118"/>
      <c r="AK656" s="118"/>
      <c r="AL656" s="118"/>
      <c r="AM656" s="118"/>
      <c r="AN656" s="118"/>
      <c r="AO656" s="118"/>
      <c r="AP656" s="118"/>
      <c r="AQ656" s="118"/>
      <c r="AR656" s="118"/>
      <c r="AS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64"/>
      <c r="O657" s="161"/>
      <c r="P657" s="118"/>
      <c r="Q657" s="118"/>
      <c r="R657" s="117"/>
      <c r="S657" s="117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64"/>
      <c r="O658" s="161"/>
      <c r="P658" s="118"/>
      <c r="Q658" s="118"/>
      <c r="R658" s="117"/>
      <c r="S658" s="117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  <c r="AI658" s="118"/>
      <c r="AJ658" s="118"/>
      <c r="AK658" s="118"/>
      <c r="AL658" s="118"/>
      <c r="AM658" s="118"/>
      <c r="AN658" s="118"/>
      <c r="AO658" s="118"/>
      <c r="AP658" s="118"/>
      <c r="AQ658" s="118"/>
      <c r="AR658" s="118"/>
      <c r="AS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64"/>
      <c r="O659" s="161"/>
      <c r="P659" s="118"/>
      <c r="Q659" s="118"/>
      <c r="R659" s="117"/>
      <c r="S659" s="117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  <c r="AL659" s="118"/>
      <c r="AM659" s="118"/>
      <c r="AN659" s="118"/>
      <c r="AO659" s="118"/>
      <c r="AP659" s="118"/>
      <c r="AQ659" s="118"/>
      <c r="AR659" s="118"/>
      <c r="AS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64"/>
      <c r="O660" s="161"/>
      <c r="P660" s="118"/>
      <c r="Q660" s="118"/>
      <c r="R660" s="117"/>
      <c r="S660" s="117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  <c r="AL660" s="118"/>
      <c r="AM660" s="118"/>
      <c r="AN660" s="118"/>
      <c r="AO660" s="118"/>
      <c r="AP660" s="118"/>
      <c r="AQ660" s="118"/>
      <c r="AR660" s="118"/>
      <c r="AS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64"/>
      <c r="O661" s="161"/>
      <c r="P661" s="118"/>
      <c r="Q661" s="118"/>
      <c r="R661" s="117"/>
      <c r="S661" s="117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  <c r="AL661" s="118"/>
      <c r="AM661" s="118"/>
      <c r="AN661" s="118"/>
      <c r="AO661" s="118"/>
      <c r="AP661" s="118"/>
      <c r="AQ661" s="118"/>
      <c r="AR661" s="118"/>
      <c r="AS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64"/>
      <c r="O662" s="161"/>
      <c r="P662" s="118"/>
      <c r="Q662" s="118"/>
      <c r="R662" s="117"/>
      <c r="S662" s="117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  <c r="AL662" s="118"/>
      <c r="AM662" s="118"/>
      <c r="AN662" s="118"/>
      <c r="AO662" s="118"/>
      <c r="AP662" s="118"/>
      <c r="AQ662" s="118"/>
      <c r="AR662" s="118"/>
      <c r="AS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64"/>
      <c r="O663" s="161"/>
      <c r="P663" s="118"/>
      <c r="Q663" s="118"/>
      <c r="R663" s="117"/>
      <c r="S663" s="117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  <c r="AL663" s="118"/>
      <c r="AM663" s="118"/>
      <c r="AN663" s="118"/>
      <c r="AO663" s="118"/>
      <c r="AP663" s="118"/>
      <c r="AQ663" s="118"/>
      <c r="AR663" s="118"/>
      <c r="AS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64"/>
      <c r="O664" s="161"/>
      <c r="P664" s="118"/>
      <c r="Q664" s="118"/>
      <c r="R664" s="117"/>
      <c r="S664" s="117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  <c r="AL664" s="118"/>
      <c r="AM664" s="118"/>
      <c r="AN664" s="118"/>
      <c r="AO664" s="118"/>
      <c r="AP664" s="118"/>
      <c r="AQ664" s="118"/>
      <c r="AR664" s="118"/>
      <c r="AS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64"/>
      <c r="O665" s="161"/>
      <c r="P665" s="118"/>
      <c r="Q665" s="118"/>
      <c r="R665" s="117"/>
      <c r="S665" s="117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  <c r="AL665" s="118"/>
      <c r="AM665" s="118"/>
      <c r="AN665" s="118"/>
      <c r="AO665" s="118"/>
      <c r="AP665" s="118"/>
      <c r="AQ665" s="118"/>
      <c r="AR665" s="118"/>
      <c r="AS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64"/>
      <c r="O666" s="161"/>
      <c r="P666" s="118"/>
      <c r="Q666" s="118"/>
      <c r="R666" s="117"/>
      <c r="S666" s="117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  <c r="AL666" s="118"/>
      <c r="AM666" s="118"/>
      <c r="AN666" s="118"/>
      <c r="AO666" s="118"/>
      <c r="AP666" s="118"/>
      <c r="AQ666" s="118"/>
      <c r="AR666" s="118"/>
      <c r="AS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64"/>
      <c r="O667" s="161"/>
      <c r="P667" s="118"/>
      <c r="Q667" s="118"/>
      <c r="R667" s="117"/>
      <c r="S667" s="117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  <c r="AL667" s="118"/>
      <c r="AM667" s="118"/>
      <c r="AN667" s="118"/>
      <c r="AO667" s="118"/>
      <c r="AP667" s="118"/>
      <c r="AQ667" s="118"/>
      <c r="AR667" s="118"/>
      <c r="AS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64"/>
      <c r="O668" s="161"/>
      <c r="P668" s="118"/>
      <c r="Q668" s="118"/>
      <c r="R668" s="117"/>
      <c r="S668" s="117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  <c r="AL668" s="118"/>
      <c r="AM668" s="118"/>
      <c r="AN668" s="118"/>
      <c r="AO668" s="118"/>
      <c r="AP668" s="118"/>
      <c r="AQ668" s="118"/>
      <c r="AR668" s="118"/>
      <c r="AS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64"/>
      <c r="O669" s="161"/>
      <c r="P669" s="118"/>
      <c r="Q669" s="118"/>
      <c r="R669" s="117"/>
      <c r="S669" s="117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  <c r="AL669" s="118"/>
      <c r="AM669" s="118"/>
      <c r="AN669" s="118"/>
      <c r="AO669" s="118"/>
      <c r="AP669" s="118"/>
      <c r="AQ669" s="118"/>
      <c r="AR669" s="118"/>
      <c r="AS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64"/>
      <c r="O670" s="161"/>
      <c r="P670" s="118"/>
      <c r="Q670" s="118"/>
      <c r="R670" s="117"/>
      <c r="S670" s="117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8"/>
      <c r="AN670" s="118"/>
      <c r="AO670" s="118"/>
      <c r="AP670" s="118"/>
      <c r="AQ670" s="118"/>
      <c r="AR670" s="118"/>
      <c r="AS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64"/>
      <c r="O671" s="161"/>
      <c r="P671" s="118"/>
      <c r="Q671" s="118"/>
      <c r="R671" s="117"/>
      <c r="S671" s="117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  <c r="AL671" s="118"/>
      <c r="AM671" s="118"/>
      <c r="AN671" s="118"/>
      <c r="AO671" s="118"/>
      <c r="AP671" s="118"/>
      <c r="AQ671" s="118"/>
      <c r="AR671" s="118"/>
      <c r="AS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64"/>
      <c r="O672" s="161"/>
      <c r="P672" s="118"/>
      <c r="Q672" s="118"/>
      <c r="R672" s="117"/>
      <c r="S672" s="117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  <c r="AL672" s="118"/>
      <c r="AM672" s="118"/>
      <c r="AN672" s="118"/>
      <c r="AO672" s="118"/>
      <c r="AP672" s="118"/>
      <c r="AQ672" s="118"/>
      <c r="AR672" s="118"/>
      <c r="AS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64"/>
      <c r="O673" s="161"/>
      <c r="P673" s="118"/>
      <c r="Q673" s="118"/>
      <c r="R673" s="117"/>
      <c r="S673" s="117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  <c r="AL673" s="118"/>
      <c r="AM673" s="118"/>
      <c r="AN673" s="118"/>
      <c r="AO673" s="118"/>
      <c r="AP673" s="118"/>
      <c r="AQ673" s="118"/>
      <c r="AR673" s="118"/>
      <c r="AS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64"/>
      <c r="O674" s="161"/>
      <c r="P674" s="118"/>
      <c r="Q674" s="118"/>
      <c r="R674" s="117"/>
      <c r="S674" s="117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  <c r="AL674" s="118"/>
      <c r="AM674" s="118"/>
      <c r="AN674" s="118"/>
      <c r="AO674" s="118"/>
      <c r="AP674" s="118"/>
      <c r="AQ674" s="118"/>
      <c r="AR674" s="118"/>
      <c r="AS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64"/>
      <c r="O675" s="161"/>
      <c r="P675" s="118"/>
      <c r="Q675" s="118"/>
      <c r="R675" s="117"/>
      <c r="S675" s="117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  <c r="AL675" s="118"/>
      <c r="AM675" s="118"/>
      <c r="AN675" s="118"/>
      <c r="AO675" s="118"/>
      <c r="AP675" s="118"/>
      <c r="AQ675" s="118"/>
      <c r="AR675" s="118"/>
      <c r="AS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64"/>
      <c r="O676" s="161"/>
      <c r="P676" s="118"/>
      <c r="Q676" s="118"/>
      <c r="R676" s="117"/>
      <c r="S676" s="117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  <c r="AL676" s="118"/>
      <c r="AM676" s="118"/>
      <c r="AN676" s="118"/>
      <c r="AO676" s="118"/>
      <c r="AP676" s="118"/>
      <c r="AQ676" s="118"/>
      <c r="AR676" s="118"/>
      <c r="AS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64"/>
      <c r="O677" s="161"/>
      <c r="P677" s="118"/>
      <c r="Q677" s="118"/>
      <c r="R677" s="117"/>
      <c r="S677" s="117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  <c r="AL677" s="118"/>
      <c r="AM677" s="118"/>
      <c r="AN677" s="118"/>
      <c r="AO677" s="118"/>
      <c r="AP677" s="118"/>
      <c r="AQ677" s="118"/>
      <c r="AR677" s="118"/>
      <c r="AS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64"/>
      <c r="O678" s="161"/>
      <c r="P678" s="118"/>
      <c r="Q678" s="118"/>
      <c r="R678" s="117"/>
      <c r="S678" s="117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  <c r="AL678" s="118"/>
      <c r="AM678" s="118"/>
      <c r="AN678" s="118"/>
      <c r="AO678" s="118"/>
      <c r="AP678" s="118"/>
      <c r="AQ678" s="118"/>
      <c r="AR678" s="118"/>
      <c r="AS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64"/>
      <c r="O679" s="161"/>
      <c r="P679" s="118"/>
      <c r="Q679" s="118"/>
      <c r="R679" s="117"/>
      <c r="S679" s="117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  <c r="AL679" s="118"/>
      <c r="AM679" s="118"/>
      <c r="AN679" s="118"/>
      <c r="AO679" s="118"/>
      <c r="AP679" s="118"/>
      <c r="AQ679" s="118"/>
      <c r="AR679" s="118"/>
      <c r="AS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64"/>
      <c r="O680" s="161"/>
      <c r="P680" s="118"/>
      <c r="Q680" s="118"/>
      <c r="R680" s="117"/>
      <c r="S680" s="117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  <c r="AL680" s="118"/>
      <c r="AM680" s="118"/>
      <c r="AN680" s="118"/>
      <c r="AO680" s="118"/>
      <c r="AP680" s="118"/>
      <c r="AQ680" s="118"/>
      <c r="AR680" s="118"/>
      <c r="AS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64"/>
      <c r="O681" s="161"/>
      <c r="P681" s="118"/>
      <c r="Q681" s="118"/>
      <c r="R681" s="117"/>
      <c r="S681" s="117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  <c r="AL681" s="118"/>
      <c r="AM681" s="118"/>
      <c r="AN681" s="118"/>
      <c r="AO681" s="118"/>
      <c r="AP681" s="118"/>
      <c r="AQ681" s="118"/>
      <c r="AR681" s="118"/>
      <c r="AS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64"/>
      <c r="O682" s="161"/>
      <c r="P682" s="118"/>
      <c r="Q682" s="118"/>
      <c r="R682" s="117"/>
      <c r="S682" s="117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  <c r="AL682" s="118"/>
      <c r="AM682" s="118"/>
      <c r="AN682" s="118"/>
      <c r="AO682" s="118"/>
      <c r="AP682" s="118"/>
      <c r="AQ682" s="118"/>
      <c r="AR682" s="118"/>
      <c r="AS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64"/>
      <c r="O683" s="161"/>
      <c r="P683" s="118"/>
      <c r="Q683" s="118"/>
      <c r="R683" s="117"/>
      <c r="S683" s="117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  <c r="AL683" s="118"/>
      <c r="AM683" s="118"/>
      <c r="AN683" s="118"/>
      <c r="AO683" s="118"/>
      <c r="AP683" s="118"/>
      <c r="AQ683" s="118"/>
      <c r="AR683" s="118"/>
      <c r="AS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64"/>
      <c r="O684" s="161"/>
      <c r="P684" s="118"/>
      <c r="Q684" s="118"/>
      <c r="R684" s="117"/>
      <c r="S684" s="117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  <c r="AL684" s="118"/>
      <c r="AM684" s="118"/>
      <c r="AN684" s="118"/>
      <c r="AO684" s="118"/>
      <c r="AP684" s="118"/>
      <c r="AQ684" s="118"/>
      <c r="AR684" s="118"/>
      <c r="AS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64"/>
      <c r="O685" s="161"/>
      <c r="P685" s="118"/>
      <c r="Q685" s="118"/>
      <c r="R685" s="117"/>
      <c r="S685" s="117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  <c r="AL685" s="118"/>
      <c r="AM685" s="118"/>
      <c r="AN685" s="118"/>
      <c r="AO685" s="118"/>
      <c r="AP685" s="118"/>
      <c r="AQ685" s="118"/>
      <c r="AR685" s="118"/>
      <c r="AS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64"/>
      <c r="O686" s="161"/>
      <c r="P686" s="118"/>
      <c r="Q686" s="118"/>
      <c r="R686" s="117"/>
      <c r="S686" s="117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  <c r="AL686" s="118"/>
      <c r="AM686" s="118"/>
      <c r="AN686" s="118"/>
      <c r="AO686" s="118"/>
      <c r="AP686" s="118"/>
      <c r="AQ686" s="118"/>
      <c r="AR686" s="118"/>
      <c r="AS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64"/>
      <c r="O687" s="161"/>
      <c r="P687" s="118"/>
      <c r="Q687" s="118"/>
      <c r="R687" s="117"/>
      <c r="S687" s="117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  <c r="AL687" s="118"/>
      <c r="AM687" s="118"/>
      <c r="AN687" s="118"/>
      <c r="AO687" s="118"/>
      <c r="AP687" s="118"/>
      <c r="AQ687" s="118"/>
      <c r="AR687" s="118"/>
      <c r="AS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64"/>
      <c r="O688" s="161"/>
      <c r="P688" s="118"/>
      <c r="Q688" s="118"/>
      <c r="R688" s="117"/>
      <c r="S688" s="117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  <c r="AL688" s="118"/>
      <c r="AM688" s="118"/>
      <c r="AN688" s="118"/>
      <c r="AO688" s="118"/>
      <c r="AP688" s="118"/>
      <c r="AQ688" s="118"/>
      <c r="AR688" s="118"/>
      <c r="AS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64"/>
      <c r="O689" s="161"/>
      <c r="P689" s="118"/>
      <c r="Q689" s="118"/>
      <c r="R689" s="117"/>
      <c r="S689" s="117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  <c r="AL689" s="118"/>
      <c r="AM689" s="118"/>
      <c r="AN689" s="118"/>
      <c r="AO689" s="118"/>
      <c r="AP689" s="118"/>
      <c r="AQ689" s="118"/>
      <c r="AR689" s="118"/>
      <c r="AS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64"/>
      <c r="O690" s="161"/>
      <c r="P690" s="118"/>
      <c r="Q690" s="118"/>
      <c r="R690" s="117"/>
      <c r="S690" s="117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  <c r="AL690" s="118"/>
      <c r="AM690" s="118"/>
      <c r="AN690" s="118"/>
      <c r="AO690" s="118"/>
      <c r="AP690" s="118"/>
      <c r="AQ690" s="118"/>
      <c r="AR690" s="118"/>
      <c r="AS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64"/>
      <c r="O691" s="161"/>
      <c r="P691" s="118"/>
      <c r="Q691" s="118"/>
      <c r="R691" s="117"/>
      <c r="S691" s="117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  <c r="AL691" s="118"/>
      <c r="AM691" s="118"/>
      <c r="AN691" s="118"/>
      <c r="AO691" s="118"/>
      <c r="AP691" s="118"/>
      <c r="AQ691" s="118"/>
      <c r="AR691" s="118"/>
      <c r="AS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64"/>
      <c r="O692" s="161"/>
      <c r="P692" s="118"/>
      <c r="Q692" s="118"/>
      <c r="R692" s="117"/>
      <c r="S692" s="117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  <c r="AL692" s="118"/>
      <c r="AM692" s="118"/>
      <c r="AN692" s="118"/>
      <c r="AO692" s="118"/>
      <c r="AP692" s="118"/>
      <c r="AQ692" s="118"/>
      <c r="AR692" s="118"/>
      <c r="AS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64"/>
      <c r="O693" s="161"/>
      <c r="P693" s="118"/>
      <c r="Q693" s="118"/>
      <c r="R693" s="117"/>
      <c r="S693" s="117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  <c r="AL693" s="118"/>
      <c r="AM693" s="118"/>
      <c r="AN693" s="118"/>
      <c r="AO693" s="118"/>
      <c r="AP693" s="118"/>
      <c r="AQ693" s="118"/>
      <c r="AR693" s="118"/>
      <c r="AS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64"/>
      <c r="O694" s="161"/>
      <c r="P694" s="118"/>
      <c r="Q694" s="118"/>
      <c r="R694" s="117"/>
      <c r="S694" s="117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  <c r="AL694" s="118"/>
      <c r="AM694" s="118"/>
      <c r="AN694" s="118"/>
      <c r="AO694" s="118"/>
      <c r="AP694" s="118"/>
      <c r="AQ694" s="118"/>
      <c r="AR694" s="118"/>
      <c r="AS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64"/>
      <c r="O695" s="161"/>
      <c r="P695" s="118"/>
      <c r="Q695" s="118"/>
      <c r="R695" s="117"/>
      <c r="S695" s="117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  <c r="AI695" s="118"/>
      <c r="AJ695" s="118"/>
      <c r="AK695" s="118"/>
      <c r="AL695" s="118"/>
      <c r="AM695" s="118"/>
      <c r="AN695" s="118"/>
      <c r="AO695" s="118"/>
      <c r="AP695" s="118"/>
      <c r="AQ695" s="118"/>
      <c r="AR695" s="118"/>
      <c r="AS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64"/>
      <c r="O696" s="161"/>
      <c r="P696" s="118"/>
      <c r="Q696" s="118"/>
      <c r="R696" s="117"/>
      <c r="S696" s="117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  <c r="AI696" s="118"/>
      <c r="AJ696" s="118"/>
      <c r="AK696" s="118"/>
      <c r="AL696" s="118"/>
      <c r="AM696" s="118"/>
      <c r="AN696" s="118"/>
      <c r="AO696" s="118"/>
      <c r="AP696" s="118"/>
      <c r="AQ696" s="118"/>
      <c r="AR696" s="118"/>
      <c r="AS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64"/>
      <c r="O697" s="161"/>
      <c r="P697" s="118"/>
      <c r="Q697" s="118"/>
      <c r="R697" s="117"/>
      <c r="S697" s="117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  <c r="AI697" s="118"/>
      <c r="AJ697" s="118"/>
      <c r="AK697" s="118"/>
      <c r="AL697" s="118"/>
      <c r="AM697" s="118"/>
      <c r="AN697" s="118"/>
      <c r="AO697" s="118"/>
      <c r="AP697" s="118"/>
      <c r="AQ697" s="118"/>
      <c r="AR697" s="118"/>
      <c r="AS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64"/>
      <c r="O698" s="161"/>
      <c r="P698" s="118"/>
      <c r="Q698" s="118"/>
      <c r="R698" s="117"/>
      <c r="S698" s="117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  <c r="AI698" s="118"/>
      <c r="AJ698" s="118"/>
      <c r="AK698" s="118"/>
      <c r="AL698" s="118"/>
      <c r="AM698" s="118"/>
      <c r="AN698" s="118"/>
      <c r="AO698" s="118"/>
      <c r="AP698" s="118"/>
      <c r="AQ698" s="118"/>
      <c r="AR698" s="118"/>
      <c r="AS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64"/>
      <c r="O699" s="161"/>
      <c r="P699" s="118"/>
      <c r="Q699" s="118"/>
      <c r="R699" s="117"/>
      <c r="S699" s="117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  <c r="AI699" s="118"/>
      <c r="AJ699" s="118"/>
      <c r="AK699" s="118"/>
      <c r="AL699" s="118"/>
      <c r="AM699" s="118"/>
      <c r="AN699" s="118"/>
      <c r="AO699" s="118"/>
      <c r="AP699" s="118"/>
      <c r="AQ699" s="118"/>
      <c r="AR699" s="118"/>
      <c r="AS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64"/>
      <c r="O700" s="161"/>
      <c r="P700" s="118"/>
      <c r="Q700" s="118"/>
      <c r="R700" s="117"/>
      <c r="S700" s="117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  <c r="AI700" s="118"/>
      <c r="AJ700" s="118"/>
      <c r="AK700" s="118"/>
      <c r="AL700" s="118"/>
      <c r="AM700" s="118"/>
      <c r="AN700" s="118"/>
      <c r="AO700" s="118"/>
      <c r="AP700" s="118"/>
      <c r="AQ700" s="118"/>
      <c r="AR700" s="118"/>
      <c r="AS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64"/>
      <c r="O701" s="161"/>
      <c r="P701" s="118"/>
      <c r="Q701" s="118"/>
      <c r="R701" s="117"/>
      <c r="S701" s="117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  <c r="AI701" s="118"/>
      <c r="AJ701" s="118"/>
      <c r="AK701" s="118"/>
      <c r="AL701" s="118"/>
      <c r="AM701" s="118"/>
      <c r="AN701" s="118"/>
      <c r="AO701" s="118"/>
      <c r="AP701" s="118"/>
      <c r="AQ701" s="118"/>
      <c r="AR701" s="118"/>
      <c r="AS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64"/>
      <c r="O702" s="161"/>
      <c r="P702" s="118"/>
      <c r="Q702" s="118"/>
      <c r="R702" s="117"/>
      <c r="S702" s="117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  <c r="AI702" s="118"/>
      <c r="AJ702" s="118"/>
      <c r="AK702" s="118"/>
      <c r="AL702" s="118"/>
      <c r="AM702" s="118"/>
      <c r="AN702" s="118"/>
      <c r="AO702" s="118"/>
      <c r="AP702" s="118"/>
      <c r="AQ702" s="118"/>
      <c r="AR702" s="118"/>
      <c r="AS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64"/>
      <c r="O703" s="161"/>
      <c r="P703" s="118"/>
      <c r="Q703" s="118"/>
      <c r="R703" s="117"/>
      <c r="S703" s="117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  <c r="AI703" s="118"/>
      <c r="AJ703" s="118"/>
      <c r="AK703" s="118"/>
      <c r="AL703" s="118"/>
      <c r="AM703" s="118"/>
      <c r="AN703" s="118"/>
      <c r="AO703" s="118"/>
      <c r="AP703" s="118"/>
      <c r="AQ703" s="118"/>
      <c r="AR703" s="118"/>
      <c r="AS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64"/>
      <c r="O704" s="161"/>
      <c r="P704" s="118"/>
      <c r="Q704" s="118"/>
      <c r="R704" s="117"/>
      <c r="S704" s="117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  <c r="AI704" s="118"/>
      <c r="AJ704" s="118"/>
      <c r="AK704" s="118"/>
      <c r="AL704" s="118"/>
      <c r="AM704" s="118"/>
      <c r="AN704" s="118"/>
      <c r="AO704" s="118"/>
      <c r="AP704" s="118"/>
      <c r="AQ704" s="118"/>
      <c r="AR704" s="118"/>
      <c r="AS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64"/>
      <c r="O705" s="161"/>
      <c r="P705" s="118"/>
      <c r="Q705" s="118"/>
      <c r="R705" s="117"/>
      <c r="S705" s="117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  <c r="AI705" s="118"/>
      <c r="AJ705" s="118"/>
      <c r="AK705" s="118"/>
      <c r="AL705" s="118"/>
      <c r="AM705" s="118"/>
      <c r="AN705" s="118"/>
      <c r="AO705" s="118"/>
      <c r="AP705" s="118"/>
      <c r="AQ705" s="118"/>
      <c r="AR705" s="118"/>
      <c r="AS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64"/>
      <c r="O706" s="161"/>
      <c r="P706" s="118"/>
      <c r="Q706" s="118"/>
      <c r="R706" s="117"/>
      <c r="S706" s="117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  <c r="AI706" s="118"/>
      <c r="AJ706" s="118"/>
      <c r="AK706" s="118"/>
      <c r="AL706" s="118"/>
      <c r="AM706" s="118"/>
      <c r="AN706" s="118"/>
      <c r="AO706" s="118"/>
      <c r="AP706" s="118"/>
      <c r="AQ706" s="118"/>
      <c r="AR706" s="118"/>
      <c r="AS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64"/>
      <c r="O707" s="161"/>
      <c r="P707" s="118"/>
      <c r="Q707" s="118"/>
      <c r="R707" s="117"/>
      <c r="S707" s="117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  <c r="AI707" s="118"/>
      <c r="AJ707" s="118"/>
      <c r="AK707" s="118"/>
      <c r="AL707" s="118"/>
      <c r="AM707" s="118"/>
      <c r="AN707" s="118"/>
      <c r="AO707" s="118"/>
      <c r="AP707" s="118"/>
      <c r="AQ707" s="118"/>
      <c r="AR707" s="118"/>
      <c r="AS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64"/>
      <c r="O708" s="161"/>
      <c r="P708" s="118"/>
      <c r="Q708" s="118"/>
      <c r="R708" s="117"/>
      <c r="S708" s="117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8"/>
      <c r="AN708" s="118"/>
      <c r="AO708" s="118"/>
      <c r="AP708" s="118"/>
      <c r="AQ708" s="118"/>
      <c r="AR708" s="118"/>
      <c r="AS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64"/>
      <c r="O709" s="161"/>
      <c r="P709" s="118"/>
      <c r="Q709" s="118"/>
      <c r="R709" s="117"/>
      <c r="S709" s="117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  <c r="AI709" s="118"/>
      <c r="AJ709" s="118"/>
      <c r="AK709" s="118"/>
      <c r="AL709" s="118"/>
      <c r="AM709" s="118"/>
      <c r="AN709" s="118"/>
      <c r="AO709" s="118"/>
      <c r="AP709" s="118"/>
      <c r="AQ709" s="118"/>
      <c r="AR709" s="118"/>
      <c r="AS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64"/>
      <c r="O710" s="161"/>
      <c r="P710" s="118"/>
      <c r="Q710" s="118"/>
      <c r="R710" s="117"/>
      <c r="S710" s="117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64"/>
      <c r="O711" s="161"/>
      <c r="P711" s="118"/>
      <c r="Q711" s="118"/>
      <c r="R711" s="117"/>
      <c r="S711" s="117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  <c r="AI711" s="118"/>
      <c r="AJ711" s="118"/>
      <c r="AK711" s="118"/>
      <c r="AL711" s="118"/>
      <c r="AM711" s="118"/>
      <c r="AN711" s="118"/>
      <c r="AO711" s="118"/>
      <c r="AP711" s="118"/>
      <c r="AQ711" s="118"/>
      <c r="AR711" s="118"/>
      <c r="AS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64"/>
      <c r="O712" s="161"/>
      <c r="P712" s="118"/>
      <c r="Q712" s="118"/>
      <c r="R712" s="117"/>
      <c r="S712" s="117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  <c r="AI712" s="118"/>
      <c r="AJ712" s="118"/>
      <c r="AK712" s="118"/>
      <c r="AL712" s="118"/>
      <c r="AM712" s="118"/>
      <c r="AN712" s="118"/>
      <c r="AO712" s="118"/>
      <c r="AP712" s="118"/>
      <c r="AQ712" s="118"/>
      <c r="AR712" s="118"/>
      <c r="AS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64"/>
      <c r="O713" s="161"/>
      <c r="P713" s="118"/>
      <c r="Q713" s="118"/>
      <c r="R713" s="117"/>
      <c r="S713" s="117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  <c r="AI713" s="118"/>
      <c r="AJ713" s="118"/>
      <c r="AK713" s="118"/>
      <c r="AL713" s="118"/>
      <c r="AM713" s="118"/>
      <c r="AN713" s="118"/>
      <c r="AO713" s="118"/>
      <c r="AP713" s="118"/>
      <c r="AQ713" s="118"/>
      <c r="AR713" s="118"/>
      <c r="AS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64"/>
      <c r="O714" s="161"/>
      <c r="P714" s="118"/>
      <c r="Q714" s="118"/>
      <c r="R714" s="117"/>
      <c r="S714" s="117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/>
      <c r="AK714" s="118"/>
      <c r="AL714" s="118"/>
      <c r="AM714" s="118"/>
      <c r="AN714" s="118"/>
      <c r="AO714" s="118"/>
      <c r="AP714" s="118"/>
      <c r="AQ714" s="118"/>
      <c r="AR714" s="118"/>
      <c r="AS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64"/>
      <c r="O715" s="161"/>
      <c r="P715" s="118"/>
      <c r="Q715" s="118"/>
      <c r="R715" s="117"/>
      <c r="S715" s="117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  <c r="AI715" s="118"/>
      <c r="AJ715" s="118"/>
      <c r="AK715" s="118"/>
      <c r="AL715" s="118"/>
      <c r="AM715" s="118"/>
      <c r="AN715" s="118"/>
      <c r="AO715" s="118"/>
      <c r="AP715" s="118"/>
      <c r="AQ715" s="118"/>
      <c r="AR715" s="118"/>
      <c r="AS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64"/>
      <c r="O716" s="161"/>
      <c r="P716" s="118"/>
      <c r="Q716" s="118"/>
      <c r="R716" s="117"/>
      <c r="S716" s="117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  <c r="AI716" s="118"/>
      <c r="AJ716" s="118"/>
      <c r="AK716" s="118"/>
      <c r="AL716" s="118"/>
      <c r="AM716" s="118"/>
      <c r="AN716" s="118"/>
      <c r="AO716" s="118"/>
      <c r="AP716" s="118"/>
      <c r="AQ716" s="118"/>
      <c r="AR716" s="118"/>
      <c r="AS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64"/>
      <c r="O717" s="161"/>
      <c r="P717" s="118"/>
      <c r="Q717" s="118"/>
      <c r="R717" s="117"/>
      <c r="S717" s="117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  <c r="AI717" s="118"/>
      <c r="AJ717" s="118"/>
      <c r="AK717" s="118"/>
      <c r="AL717" s="118"/>
      <c r="AM717" s="118"/>
      <c r="AN717" s="118"/>
      <c r="AO717" s="118"/>
      <c r="AP717" s="118"/>
      <c r="AQ717" s="118"/>
      <c r="AR717" s="118"/>
      <c r="AS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64"/>
      <c r="O718" s="161"/>
      <c r="P718" s="118"/>
      <c r="Q718" s="118"/>
      <c r="R718" s="117"/>
      <c r="S718" s="117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  <c r="AI718" s="118"/>
      <c r="AJ718" s="118"/>
      <c r="AK718" s="118"/>
      <c r="AL718" s="118"/>
      <c r="AM718" s="118"/>
      <c r="AN718" s="118"/>
      <c r="AO718" s="118"/>
      <c r="AP718" s="118"/>
      <c r="AQ718" s="118"/>
      <c r="AR718" s="118"/>
      <c r="AS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64"/>
      <c r="O719" s="161"/>
      <c r="P719" s="118"/>
      <c r="Q719" s="118"/>
      <c r="R719" s="117"/>
      <c r="S719" s="117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  <c r="AI719" s="118"/>
      <c r="AJ719" s="118"/>
      <c r="AK719" s="118"/>
      <c r="AL719" s="118"/>
      <c r="AM719" s="118"/>
      <c r="AN719" s="118"/>
      <c r="AO719" s="118"/>
      <c r="AP719" s="118"/>
      <c r="AQ719" s="118"/>
      <c r="AR719" s="118"/>
      <c r="AS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64"/>
      <c r="O720" s="161"/>
      <c r="P720" s="118"/>
      <c r="Q720" s="118"/>
      <c r="R720" s="117"/>
      <c r="S720" s="117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  <c r="AI720" s="118"/>
      <c r="AJ720" s="118"/>
      <c r="AK720" s="118"/>
      <c r="AL720" s="118"/>
      <c r="AM720" s="118"/>
      <c r="AN720" s="118"/>
      <c r="AO720" s="118"/>
      <c r="AP720" s="118"/>
      <c r="AQ720" s="118"/>
      <c r="AR720" s="118"/>
      <c r="AS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64"/>
      <c r="O721" s="161"/>
      <c r="P721" s="118"/>
      <c r="Q721" s="118"/>
      <c r="R721" s="117"/>
      <c r="S721" s="117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  <c r="AI721" s="118"/>
      <c r="AJ721" s="118"/>
      <c r="AK721" s="118"/>
      <c r="AL721" s="118"/>
      <c r="AM721" s="118"/>
      <c r="AN721" s="118"/>
      <c r="AO721" s="118"/>
      <c r="AP721" s="118"/>
      <c r="AQ721" s="118"/>
      <c r="AR721" s="118"/>
      <c r="AS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64"/>
      <c r="O722" s="161"/>
      <c r="P722" s="118"/>
      <c r="Q722" s="118"/>
      <c r="R722" s="117"/>
      <c r="S722" s="117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  <c r="AI722" s="118"/>
      <c r="AJ722" s="118"/>
      <c r="AK722" s="118"/>
      <c r="AL722" s="118"/>
      <c r="AM722" s="118"/>
      <c r="AN722" s="118"/>
      <c r="AO722" s="118"/>
      <c r="AP722" s="118"/>
      <c r="AQ722" s="118"/>
      <c r="AR722" s="118"/>
      <c r="AS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64"/>
      <c r="O723" s="161"/>
      <c r="P723" s="118"/>
      <c r="Q723" s="118"/>
      <c r="R723" s="117"/>
      <c r="S723" s="117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/>
      <c r="AK723" s="118"/>
      <c r="AL723" s="118"/>
      <c r="AM723" s="118"/>
      <c r="AN723" s="118"/>
      <c r="AO723" s="118"/>
      <c r="AP723" s="118"/>
      <c r="AQ723" s="118"/>
      <c r="AR723" s="118"/>
      <c r="AS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64"/>
      <c r="O724" s="161"/>
      <c r="P724" s="118"/>
      <c r="Q724" s="118"/>
      <c r="R724" s="117"/>
      <c r="S724" s="117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  <c r="AI724" s="118"/>
      <c r="AJ724" s="118"/>
      <c r="AK724" s="118"/>
      <c r="AL724" s="118"/>
      <c r="AM724" s="118"/>
      <c r="AN724" s="118"/>
      <c r="AO724" s="118"/>
      <c r="AP724" s="118"/>
      <c r="AQ724" s="118"/>
      <c r="AR724" s="118"/>
      <c r="AS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64"/>
      <c r="O725" s="161"/>
      <c r="P725" s="118"/>
      <c r="Q725" s="118"/>
      <c r="R725" s="117"/>
      <c r="S725" s="117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  <c r="AI725" s="118"/>
      <c r="AJ725" s="118"/>
      <c r="AK725" s="118"/>
      <c r="AL725" s="118"/>
      <c r="AM725" s="118"/>
      <c r="AN725" s="118"/>
      <c r="AO725" s="118"/>
      <c r="AP725" s="118"/>
      <c r="AQ725" s="118"/>
      <c r="AR725" s="118"/>
      <c r="AS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64"/>
      <c r="O726" s="161"/>
      <c r="P726" s="118"/>
      <c r="Q726" s="118"/>
      <c r="R726" s="117"/>
      <c r="S726" s="117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  <c r="AI726" s="118"/>
      <c r="AJ726" s="118"/>
      <c r="AK726" s="118"/>
      <c r="AL726" s="118"/>
      <c r="AM726" s="118"/>
      <c r="AN726" s="118"/>
      <c r="AO726" s="118"/>
      <c r="AP726" s="118"/>
      <c r="AQ726" s="118"/>
      <c r="AR726" s="118"/>
      <c r="AS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64"/>
      <c r="O727" s="161"/>
      <c r="P727" s="118"/>
      <c r="Q727" s="118"/>
      <c r="R727" s="117"/>
      <c r="S727" s="117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  <c r="AI727" s="118"/>
      <c r="AJ727" s="118"/>
      <c r="AK727" s="118"/>
      <c r="AL727" s="118"/>
      <c r="AM727" s="118"/>
      <c r="AN727" s="118"/>
      <c r="AO727" s="118"/>
      <c r="AP727" s="118"/>
      <c r="AQ727" s="118"/>
      <c r="AR727" s="118"/>
      <c r="AS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64"/>
      <c r="O728" s="161"/>
      <c r="P728" s="118"/>
      <c r="Q728" s="118"/>
      <c r="R728" s="117"/>
      <c r="S728" s="117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  <c r="AI728" s="118"/>
      <c r="AJ728" s="118"/>
      <c r="AK728" s="118"/>
      <c r="AL728" s="118"/>
      <c r="AM728" s="118"/>
      <c r="AN728" s="118"/>
      <c r="AO728" s="118"/>
      <c r="AP728" s="118"/>
      <c r="AQ728" s="118"/>
      <c r="AR728" s="118"/>
      <c r="AS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64"/>
      <c r="O729" s="161"/>
      <c r="P729" s="118"/>
      <c r="Q729" s="118"/>
      <c r="R729" s="117"/>
      <c r="S729" s="117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  <c r="AI729" s="118"/>
      <c r="AJ729" s="118"/>
      <c r="AK729" s="118"/>
      <c r="AL729" s="118"/>
      <c r="AM729" s="118"/>
      <c r="AN729" s="118"/>
      <c r="AO729" s="118"/>
      <c r="AP729" s="118"/>
      <c r="AQ729" s="118"/>
      <c r="AR729" s="118"/>
      <c r="AS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64"/>
      <c r="O730" s="161"/>
      <c r="P730" s="118"/>
      <c r="Q730" s="118"/>
      <c r="R730" s="117"/>
      <c r="S730" s="117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/>
      <c r="AK730" s="118"/>
      <c r="AL730" s="118"/>
      <c r="AM730" s="118"/>
      <c r="AN730" s="118"/>
      <c r="AO730" s="118"/>
      <c r="AP730" s="118"/>
      <c r="AQ730" s="118"/>
      <c r="AR730" s="118"/>
      <c r="AS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64"/>
      <c r="O731" s="161"/>
      <c r="P731" s="118"/>
      <c r="Q731" s="118"/>
      <c r="R731" s="117"/>
      <c r="S731" s="117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/>
      <c r="AK731" s="118"/>
      <c r="AL731" s="118"/>
      <c r="AM731" s="118"/>
      <c r="AN731" s="118"/>
      <c r="AO731" s="118"/>
      <c r="AP731" s="118"/>
      <c r="AQ731" s="118"/>
      <c r="AR731" s="118"/>
      <c r="AS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64"/>
      <c r="O732" s="161"/>
      <c r="P732" s="118"/>
      <c r="Q732" s="118"/>
      <c r="R732" s="117"/>
      <c r="S732" s="117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  <c r="AI732" s="118"/>
      <c r="AJ732" s="118"/>
      <c r="AK732" s="118"/>
      <c r="AL732" s="118"/>
      <c r="AM732" s="118"/>
      <c r="AN732" s="118"/>
      <c r="AO732" s="118"/>
      <c r="AP732" s="118"/>
      <c r="AQ732" s="118"/>
      <c r="AR732" s="118"/>
      <c r="AS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64"/>
      <c r="O733" s="161"/>
      <c r="P733" s="118"/>
      <c r="Q733" s="118"/>
      <c r="R733" s="117"/>
      <c r="S733" s="117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  <c r="AI733" s="118"/>
      <c r="AJ733" s="118"/>
      <c r="AK733" s="118"/>
      <c r="AL733" s="118"/>
      <c r="AM733" s="118"/>
      <c r="AN733" s="118"/>
      <c r="AO733" s="118"/>
      <c r="AP733" s="118"/>
      <c r="AQ733" s="118"/>
      <c r="AR733" s="118"/>
      <c r="AS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64"/>
      <c r="O734" s="161"/>
      <c r="P734" s="118"/>
      <c r="Q734" s="118"/>
      <c r="R734" s="117"/>
      <c r="S734" s="117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  <c r="AI734" s="118"/>
      <c r="AJ734" s="118"/>
      <c r="AK734" s="118"/>
      <c r="AL734" s="118"/>
      <c r="AM734" s="118"/>
      <c r="AN734" s="118"/>
      <c r="AO734" s="118"/>
      <c r="AP734" s="118"/>
      <c r="AQ734" s="118"/>
      <c r="AR734" s="118"/>
      <c r="AS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64"/>
      <c r="O735" s="161"/>
      <c r="P735" s="118"/>
      <c r="Q735" s="118"/>
      <c r="R735" s="117"/>
      <c r="S735" s="117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  <c r="AI735" s="118"/>
      <c r="AJ735" s="118"/>
      <c r="AK735" s="118"/>
      <c r="AL735" s="118"/>
      <c r="AM735" s="118"/>
      <c r="AN735" s="118"/>
      <c r="AO735" s="118"/>
      <c r="AP735" s="118"/>
      <c r="AQ735" s="118"/>
      <c r="AR735" s="118"/>
      <c r="AS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64"/>
      <c r="O736" s="161"/>
      <c r="P736" s="118"/>
      <c r="Q736" s="118"/>
      <c r="R736" s="117"/>
      <c r="S736" s="117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  <c r="AI736" s="118"/>
      <c r="AJ736" s="118"/>
      <c r="AK736" s="118"/>
      <c r="AL736" s="118"/>
      <c r="AM736" s="118"/>
      <c r="AN736" s="118"/>
      <c r="AO736" s="118"/>
      <c r="AP736" s="118"/>
      <c r="AQ736" s="118"/>
      <c r="AR736" s="118"/>
      <c r="AS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64"/>
      <c r="O737" s="161"/>
      <c r="P737" s="118"/>
      <c r="Q737" s="118"/>
      <c r="R737" s="117"/>
      <c r="S737" s="117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  <c r="AI737" s="118"/>
      <c r="AJ737" s="118"/>
      <c r="AK737" s="118"/>
      <c r="AL737" s="118"/>
      <c r="AM737" s="118"/>
      <c r="AN737" s="118"/>
      <c r="AO737" s="118"/>
      <c r="AP737" s="118"/>
      <c r="AQ737" s="118"/>
      <c r="AR737" s="118"/>
      <c r="AS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64"/>
      <c r="O738" s="161"/>
      <c r="P738" s="118"/>
      <c r="Q738" s="118"/>
      <c r="R738" s="117"/>
      <c r="S738" s="117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  <c r="AI738" s="118"/>
      <c r="AJ738" s="118"/>
      <c r="AK738" s="118"/>
      <c r="AL738" s="118"/>
      <c r="AM738" s="118"/>
      <c r="AN738" s="118"/>
      <c r="AO738" s="118"/>
      <c r="AP738" s="118"/>
      <c r="AQ738" s="118"/>
      <c r="AR738" s="118"/>
      <c r="AS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64"/>
      <c r="O739" s="161"/>
      <c r="P739" s="118"/>
      <c r="Q739" s="118"/>
      <c r="R739" s="117"/>
      <c r="S739" s="117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  <c r="AI739" s="118"/>
      <c r="AJ739" s="118"/>
      <c r="AK739" s="118"/>
      <c r="AL739" s="118"/>
      <c r="AM739" s="118"/>
      <c r="AN739" s="118"/>
      <c r="AO739" s="118"/>
      <c r="AP739" s="118"/>
      <c r="AQ739" s="118"/>
      <c r="AR739" s="118"/>
      <c r="AS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64"/>
      <c r="O740" s="161"/>
      <c r="P740" s="118"/>
      <c r="Q740" s="118"/>
      <c r="R740" s="117"/>
      <c r="S740" s="117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  <c r="AI740" s="118"/>
      <c r="AJ740" s="118"/>
      <c r="AK740" s="118"/>
      <c r="AL740" s="118"/>
      <c r="AM740" s="118"/>
      <c r="AN740" s="118"/>
      <c r="AO740" s="118"/>
      <c r="AP740" s="118"/>
      <c r="AQ740" s="118"/>
      <c r="AR740" s="118"/>
      <c r="AS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64"/>
      <c r="O741" s="161"/>
      <c r="P741" s="118"/>
      <c r="Q741" s="118"/>
      <c r="R741" s="117"/>
      <c r="S741" s="117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  <c r="AI741" s="118"/>
      <c r="AJ741" s="118"/>
      <c r="AK741" s="118"/>
      <c r="AL741" s="118"/>
      <c r="AM741" s="118"/>
      <c r="AN741" s="118"/>
      <c r="AO741" s="118"/>
      <c r="AP741" s="118"/>
      <c r="AQ741" s="118"/>
      <c r="AR741" s="118"/>
      <c r="AS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64"/>
      <c r="O742" s="161"/>
      <c r="P742" s="118"/>
      <c r="Q742" s="118"/>
      <c r="R742" s="117"/>
      <c r="S742" s="117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  <c r="AI742" s="118"/>
      <c r="AJ742" s="118"/>
      <c r="AK742" s="118"/>
      <c r="AL742" s="118"/>
      <c r="AM742" s="118"/>
      <c r="AN742" s="118"/>
      <c r="AO742" s="118"/>
      <c r="AP742" s="118"/>
      <c r="AQ742" s="118"/>
      <c r="AR742" s="118"/>
      <c r="AS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64"/>
      <c r="O743" s="161"/>
      <c r="P743" s="118"/>
      <c r="Q743" s="118"/>
      <c r="R743" s="117"/>
      <c r="S743" s="117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  <c r="AI743" s="118"/>
      <c r="AJ743" s="118"/>
      <c r="AK743" s="118"/>
      <c r="AL743" s="118"/>
      <c r="AM743" s="118"/>
      <c r="AN743" s="118"/>
      <c r="AO743" s="118"/>
      <c r="AP743" s="118"/>
      <c r="AQ743" s="118"/>
      <c r="AR743" s="118"/>
      <c r="AS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64"/>
      <c r="O744" s="161"/>
      <c r="P744" s="118"/>
      <c r="Q744" s="118"/>
      <c r="R744" s="117"/>
      <c r="S744" s="117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  <c r="AI744" s="118"/>
      <c r="AJ744" s="118"/>
      <c r="AK744" s="118"/>
      <c r="AL744" s="118"/>
      <c r="AM744" s="118"/>
      <c r="AN744" s="118"/>
      <c r="AO744" s="118"/>
      <c r="AP744" s="118"/>
      <c r="AQ744" s="118"/>
      <c r="AR744" s="118"/>
      <c r="AS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64"/>
      <c r="O745" s="161"/>
      <c r="P745" s="118"/>
      <c r="Q745" s="118"/>
      <c r="R745" s="117"/>
      <c r="S745" s="117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  <c r="AI745" s="118"/>
      <c r="AJ745" s="118"/>
      <c r="AK745" s="118"/>
      <c r="AL745" s="118"/>
      <c r="AM745" s="118"/>
      <c r="AN745" s="118"/>
      <c r="AO745" s="118"/>
      <c r="AP745" s="118"/>
      <c r="AQ745" s="118"/>
      <c r="AR745" s="118"/>
      <c r="AS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64"/>
      <c r="O746" s="161"/>
      <c r="P746" s="118"/>
      <c r="Q746" s="118"/>
      <c r="R746" s="117"/>
      <c r="S746" s="117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8"/>
      <c r="AN746" s="118"/>
      <c r="AO746" s="118"/>
      <c r="AP746" s="118"/>
      <c r="AQ746" s="118"/>
      <c r="AR746" s="118"/>
      <c r="AS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64"/>
      <c r="O747" s="161"/>
      <c r="P747" s="118"/>
      <c r="Q747" s="118"/>
      <c r="R747" s="117"/>
      <c r="S747" s="117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  <c r="AI747" s="118"/>
      <c r="AJ747" s="118"/>
      <c r="AK747" s="118"/>
      <c r="AL747" s="118"/>
      <c r="AM747" s="118"/>
      <c r="AN747" s="118"/>
      <c r="AO747" s="118"/>
      <c r="AP747" s="118"/>
      <c r="AQ747" s="118"/>
      <c r="AR747" s="118"/>
      <c r="AS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64"/>
      <c r="O748" s="161"/>
      <c r="P748" s="118"/>
      <c r="Q748" s="118"/>
      <c r="R748" s="117"/>
      <c r="S748" s="117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  <c r="AI748" s="118"/>
      <c r="AJ748" s="118"/>
      <c r="AK748" s="118"/>
      <c r="AL748" s="118"/>
      <c r="AM748" s="118"/>
      <c r="AN748" s="118"/>
      <c r="AO748" s="118"/>
      <c r="AP748" s="118"/>
      <c r="AQ748" s="118"/>
      <c r="AR748" s="118"/>
      <c r="AS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64"/>
      <c r="O749" s="161"/>
      <c r="P749" s="118"/>
      <c r="Q749" s="118"/>
      <c r="R749" s="117"/>
      <c r="S749" s="117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  <c r="AI749" s="118"/>
      <c r="AJ749" s="118"/>
      <c r="AK749" s="118"/>
      <c r="AL749" s="118"/>
      <c r="AM749" s="118"/>
      <c r="AN749" s="118"/>
      <c r="AO749" s="118"/>
      <c r="AP749" s="118"/>
      <c r="AQ749" s="118"/>
      <c r="AR749" s="118"/>
      <c r="AS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64"/>
      <c r="O750" s="161"/>
      <c r="P750" s="118"/>
      <c r="Q750" s="118"/>
      <c r="R750" s="117"/>
      <c r="S750" s="117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  <c r="AI750" s="118"/>
      <c r="AJ750" s="118"/>
      <c r="AK750" s="118"/>
      <c r="AL750" s="118"/>
      <c r="AM750" s="118"/>
      <c r="AN750" s="118"/>
      <c r="AO750" s="118"/>
      <c r="AP750" s="118"/>
      <c r="AQ750" s="118"/>
      <c r="AR750" s="118"/>
      <c r="AS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64"/>
      <c r="O751" s="161"/>
      <c r="P751" s="118"/>
      <c r="Q751" s="118"/>
      <c r="R751" s="117"/>
      <c r="S751" s="117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  <c r="AI751" s="118"/>
      <c r="AJ751" s="118"/>
      <c r="AK751" s="118"/>
      <c r="AL751" s="118"/>
      <c r="AM751" s="118"/>
      <c r="AN751" s="118"/>
      <c r="AO751" s="118"/>
      <c r="AP751" s="118"/>
      <c r="AQ751" s="118"/>
      <c r="AR751" s="118"/>
      <c r="AS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64"/>
      <c r="O752" s="161"/>
      <c r="P752" s="118"/>
      <c r="Q752" s="118"/>
      <c r="R752" s="117"/>
      <c r="S752" s="117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  <c r="AI752" s="118"/>
      <c r="AJ752" s="118"/>
      <c r="AK752" s="118"/>
      <c r="AL752" s="118"/>
      <c r="AM752" s="118"/>
      <c r="AN752" s="118"/>
      <c r="AO752" s="118"/>
      <c r="AP752" s="118"/>
      <c r="AQ752" s="118"/>
      <c r="AR752" s="118"/>
      <c r="AS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64"/>
      <c r="O753" s="161"/>
      <c r="P753" s="118"/>
      <c r="Q753" s="118"/>
      <c r="R753" s="117"/>
      <c r="S753" s="117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  <c r="AI753" s="118"/>
      <c r="AJ753" s="118"/>
      <c r="AK753" s="118"/>
      <c r="AL753" s="118"/>
      <c r="AM753" s="118"/>
      <c r="AN753" s="118"/>
      <c r="AO753" s="118"/>
      <c r="AP753" s="118"/>
      <c r="AQ753" s="118"/>
      <c r="AR753" s="118"/>
      <c r="AS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64"/>
      <c r="O754" s="161"/>
      <c r="P754" s="118"/>
      <c r="Q754" s="118"/>
      <c r="R754" s="117"/>
      <c r="S754" s="117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  <c r="AI754" s="118"/>
      <c r="AJ754" s="118"/>
      <c r="AK754" s="118"/>
      <c r="AL754" s="118"/>
      <c r="AM754" s="118"/>
      <c r="AN754" s="118"/>
      <c r="AO754" s="118"/>
      <c r="AP754" s="118"/>
      <c r="AQ754" s="118"/>
      <c r="AR754" s="118"/>
      <c r="AS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64"/>
      <c r="O755" s="161"/>
      <c r="P755" s="118"/>
      <c r="Q755" s="118"/>
      <c r="R755" s="117"/>
      <c r="S755" s="117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  <c r="AI755" s="118"/>
      <c r="AJ755" s="118"/>
      <c r="AK755" s="118"/>
      <c r="AL755" s="118"/>
      <c r="AM755" s="118"/>
      <c r="AN755" s="118"/>
      <c r="AO755" s="118"/>
      <c r="AP755" s="118"/>
      <c r="AQ755" s="118"/>
      <c r="AR755" s="118"/>
      <c r="AS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64"/>
      <c r="O756" s="161"/>
      <c r="P756" s="118"/>
      <c r="Q756" s="118"/>
      <c r="R756" s="117"/>
      <c r="S756" s="117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  <c r="AI756" s="118"/>
      <c r="AJ756" s="118"/>
      <c r="AK756" s="118"/>
      <c r="AL756" s="118"/>
      <c r="AM756" s="118"/>
      <c r="AN756" s="118"/>
      <c r="AO756" s="118"/>
      <c r="AP756" s="118"/>
      <c r="AQ756" s="118"/>
      <c r="AR756" s="118"/>
      <c r="AS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64"/>
      <c r="O757" s="161"/>
      <c r="P757" s="118"/>
      <c r="Q757" s="118"/>
      <c r="R757" s="117"/>
      <c r="S757" s="117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  <c r="AI757" s="118"/>
      <c r="AJ757" s="118"/>
      <c r="AK757" s="118"/>
      <c r="AL757" s="118"/>
      <c r="AM757" s="118"/>
      <c r="AN757" s="118"/>
      <c r="AO757" s="118"/>
      <c r="AP757" s="118"/>
      <c r="AQ757" s="118"/>
      <c r="AR757" s="118"/>
      <c r="AS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64"/>
      <c r="O758" s="161"/>
      <c r="P758" s="118"/>
      <c r="Q758" s="118"/>
      <c r="R758" s="117"/>
      <c r="S758" s="117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  <c r="AI758" s="118"/>
      <c r="AJ758" s="118"/>
      <c r="AK758" s="118"/>
      <c r="AL758" s="118"/>
      <c r="AM758" s="118"/>
      <c r="AN758" s="118"/>
      <c r="AO758" s="118"/>
      <c r="AP758" s="118"/>
      <c r="AQ758" s="118"/>
      <c r="AR758" s="118"/>
      <c r="AS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64"/>
      <c r="O759" s="161"/>
      <c r="P759" s="118"/>
      <c r="Q759" s="118"/>
      <c r="R759" s="117"/>
      <c r="S759" s="117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  <c r="AI759" s="118"/>
      <c r="AJ759" s="118"/>
      <c r="AK759" s="118"/>
      <c r="AL759" s="118"/>
      <c r="AM759" s="118"/>
      <c r="AN759" s="118"/>
      <c r="AO759" s="118"/>
      <c r="AP759" s="118"/>
      <c r="AQ759" s="118"/>
      <c r="AR759" s="118"/>
      <c r="AS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64"/>
      <c r="O760" s="161"/>
      <c r="P760" s="118"/>
      <c r="Q760" s="118"/>
      <c r="R760" s="117"/>
      <c r="S760" s="117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  <c r="AI760" s="118"/>
      <c r="AJ760" s="118"/>
      <c r="AK760" s="118"/>
      <c r="AL760" s="118"/>
      <c r="AM760" s="118"/>
      <c r="AN760" s="118"/>
      <c r="AO760" s="118"/>
      <c r="AP760" s="118"/>
      <c r="AQ760" s="118"/>
      <c r="AR760" s="118"/>
      <c r="AS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64"/>
      <c r="O761" s="161"/>
      <c r="P761" s="118"/>
      <c r="Q761" s="118"/>
      <c r="R761" s="117"/>
      <c r="S761" s="117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  <c r="AI761" s="118"/>
      <c r="AJ761" s="118"/>
      <c r="AK761" s="118"/>
      <c r="AL761" s="118"/>
      <c r="AM761" s="118"/>
      <c r="AN761" s="118"/>
      <c r="AO761" s="118"/>
      <c r="AP761" s="118"/>
      <c r="AQ761" s="118"/>
      <c r="AR761" s="118"/>
      <c r="AS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64"/>
      <c r="O762" s="161"/>
      <c r="P762" s="118"/>
      <c r="Q762" s="118"/>
      <c r="R762" s="117"/>
      <c r="S762" s="117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  <c r="AI762" s="118"/>
      <c r="AJ762" s="118"/>
      <c r="AK762" s="118"/>
      <c r="AL762" s="118"/>
      <c r="AM762" s="118"/>
      <c r="AN762" s="118"/>
      <c r="AO762" s="118"/>
      <c r="AP762" s="118"/>
      <c r="AQ762" s="118"/>
      <c r="AR762" s="118"/>
      <c r="AS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64"/>
      <c r="O763" s="161"/>
      <c r="P763" s="118"/>
      <c r="Q763" s="118"/>
      <c r="R763" s="117"/>
      <c r="S763" s="117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64"/>
      <c r="O764" s="161"/>
      <c r="P764" s="118"/>
      <c r="Q764" s="118"/>
      <c r="R764" s="117"/>
      <c r="S764" s="117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  <c r="AI764" s="118"/>
      <c r="AJ764" s="118"/>
      <c r="AK764" s="118"/>
      <c r="AL764" s="118"/>
      <c r="AM764" s="118"/>
      <c r="AN764" s="118"/>
      <c r="AO764" s="118"/>
      <c r="AP764" s="118"/>
      <c r="AQ764" s="118"/>
      <c r="AR764" s="118"/>
      <c r="AS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64"/>
      <c r="O765" s="161"/>
      <c r="P765" s="118"/>
      <c r="Q765" s="118"/>
      <c r="R765" s="117"/>
      <c r="S765" s="117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  <c r="AI765" s="118"/>
      <c r="AJ765" s="118"/>
      <c r="AK765" s="118"/>
      <c r="AL765" s="118"/>
      <c r="AM765" s="118"/>
      <c r="AN765" s="118"/>
      <c r="AO765" s="118"/>
      <c r="AP765" s="118"/>
      <c r="AQ765" s="118"/>
      <c r="AR765" s="118"/>
      <c r="AS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64"/>
      <c r="O766" s="161"/>
      <c r="P766" s="118"/>
      <c r="Q766" s="118"/>
      <c r="R766" s="117"/>
      <c r="S766" s="117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  <c r="AI766" s="118"/>
      <c r="AJ766" s="118"/>
      <c r="AK766" s="118"/>
      <c r="AL766" s="118"/>
      <c r="AM766" s="118"/>
      <c r="AN766" s="118"/>
      <c r="AO766" s="118"/>
      <c r="AP766" s="118"/>
      <c r="AQ766" s="118"/>
      <c r="AR766" s="118"/>
      <c r="AS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64"/>
      <c r="O767" s="161"/>
      <c r="P767" s="118"/>
      <c r="Q767" s="118"/>
      <c r="R767" s="117"/>
      <c r="S767" s="117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  <c r="AI767" s="118"/>
      <c r="AJ767" s="118"/>
      <c r="AK767" s="118"/>
      <c r="AL767" s="118"/>
      <c r="AM767" s="118"/>
      <c r="AN767" s="118"/>
      <c r="AO767" s="118"/>
      <c r="AP767" s="118"/>
      <c r="AQ767" s="118"/>
      <c r="AR767" s="118"/>
      <c r="AS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64"/>
      <c r="O768" s="161"/>
      <c r="P768" s="118"/>
      <c r="Q768" s="118"/>
      <c r="R768" s="117"/>
      <c r="S768" s="117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  <c r="AI768" s="118"/>
      <c r="AJ768" s="118"/>
      <c r="AK768" s="118"/>
      <c r="AL768" s="118"/>
      <c r="AM768" s="118"/>
      <c r="AN768" s="118"/>
      <c r="AO768" s="118"/>
      <c r="AP768" s="118"/>
      <c r="AQ768" s="118"/>
      <c r="AR768" s="118"/>
      <c r="AS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64"/>
      <c r="O769" s="161"/>
      <c r="P769" s="118"/>
      <c r="Q769" s="118"/>
      <c r="R769" s="117"/>
      <c r="S769" s="117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  <c r="AI769" s="118"/>
      <c r="AJ769" s="118"/>
      <c r="AK769" s="118"/>
      <c r="AL769" s="118"/>
      <c r="AM769" s="118"/>
      <c r="AN769" s="118"/>
      <c r="AO769" s="118"/>
      <c r="AP769" s="118"/>
      <c r="AQ769" s="118"/>
      <c r="AR769" s="118"/>
      <c r="AS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64"/>
      <c r="O770" s="161"/>
      <c r="P770" s="118"/>
      <c r="Q770" s="118"/>
      <c r="R770" s="117"/>
      <c r="S770" s="117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  <c r="AI770" s="118"/>
      <c r="AJ770" s="118"/>
      <c r="AK770" s="118"/>
      <c r="AL770" s="118"/>
      <c r="AM770" s="118"/>
      <c r="AN770" s="118"/>
      <c r="AO770" s="118"/>
      <c r="AP770" s="118"/>
      <c r="AQ770" s="118"/>
      <c r="AR770" s="118"/>
      <c r="AS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64"/>
      <c r="O771" s="161"/>
      <c r="P771" s="118"/>
      <c r="Q771" s="118"/>
      <c r="R771" s="117"/>
      <c r="S771" s="117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  <c r="AI771" s="118"/>
      <c r="AJ771" s="118"/>
      <c r="AK771" s="118"/>
      <c r="AL771" s="118"/>
      <c r="AM771" s="118"/>
      <c r="AN771" s="118"/>
      <c r="AO771" s="118"/>
      <c r="AP771" s="118"/>
      <c r="AQ771" s="118"/>
      <c r="AR771" s="118"/>
      <c r="AS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64"/>
      <c r="O772" s="161"/>
      <c r="P772" s="118"/>
      <c r="Q772" s="118"/>
      <c r="R772" s="117"/>
      <c r="S772" s="117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  <c r="AI772" s="118"/>
      <c r="AJ772" s="118"/>
      <c r="AK772" s="118"/>
      <c r="AL772" s="118"/>
      <c r="AM772" s="118"/>
      <c r="AN772" s="118"/>
      <c r="AO772" s="118"/>
      <c r="AP772" s="118"/>
      <c r="AQ772" s="118"/>
      <c r="AR772" s="118"/>
      <c r="AS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64"/>
      <c r="O773" s="161"/>
      <c r="P773" s="118"/>
      <c r="Q773" s="118"/>
      <c r="R773" s="117"/>
      <c r="S773" s="117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  <c r="AI773" s="118"/>
      <c r="AJ773" s="118"/>
      <c r="AK773" s="118"/>
      <c r="AL773" s="118"/>
      <c r="AM773" s="118"/>
      <c r="AN773" s="118"/>
      <c r="AO773" s="118"/>
      <c r="AP773" s="118"/>
      <c r="AQ773" s="118"/>
      <c r="AR773" s="118"/>
      <c r="AS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64"/>
      <c r="O774" s="161"/>
      <c r="P774" s="118"/>
      <c r="Q774" s="118"/>
      <c r="R774" s="117"/>
      <c r="S774" s="117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  <c r="AI774" s="118"/>
      <c r="AJ774" s="118"/>
      <c r="AK774" s="118"/>
      <c r="AL774" s="118"/>
      <c r="AM774" s="118"/>
      <c r="AN774" s="118"/>
      <c r="AO774" s="118"/>
      <c r="AP774" s="118"/>
      <c r="AQ774" s="118"/>
      <c r="AR774" s="118"/>
      <c r="AS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64"/>
      <c r="O775" s="161"/>
      <c r="P775" s="118"/>
      <c r="Q775" s="118"/>
      <c r="R775" s="117"/>
      <c r="S775" s="117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  <c r="AL775" s="118"/>
      <c r="AM775" s="118"/>
      <c r="AN775" s="118"/>
      <c r="AO775" s="118"/>
      <c r="AP775" s="118"/>
      <c r="AQ775" s="118"/>
      <c r="AR775" s="118"/>
      <c r="AS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64"/>
      <c r="O776" s="161"/>
      <c r="P776" s="118"/>
      <c r="Q776" s="118"/>
      <c r="R776" s="117"/>
      <c r="S776" s="117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  <c r="AI776" s="118"/>
      <c r="AJ776" s="118"/>
      <c r="AK776" s="118"/>
      <c r="AL776" s="118"/>
      <c r="AM776" s="118"/>
      <c r="AN776" s="118"/>
      <c r="AO776" s="118"/>
      <c r="AP776" s="118"/>
      <c r="AQ776" s="118"/>
      <c r="AR776" s="118"/>
      <c r="AS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64"/>
      <c r="O777" s="161"/>
      <c r="P777" s="118"/>
      <c r="Q777" s="118"/>
      <c r="R777" s="117"/>
      <c r="S777" s="117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  <c r="AI777" s="118"/>
      <c r="AJ777" s="118"/>
      <c r="AK777" s="118"/>
      <c r="AL777" s="118"/>
      <c r="AM777" s="118"/>
      <c r="AN777" s="118"/>
      <c r="AO777" s="118"/>
      <c r="AP777" s="118"/>
      <c r="AQ777" s="118"/>
      <c r="AR777" s="118"/>
      <c r="AS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64"/>
      <c r="O778" s="161"/>
      <c r="P778" s="118"/>
      <c r="Q778" s="118"/>
      <c r="R778" s="117"/>
      <c r="S778" s="117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  <c r="AI778" s="118"/>
      <c r="AJ778" s="118"/>
      <c r="AK778" s="118"/>
      <c r="AL778" s="118"/>
      <c r="AM778" s="118"/>
      <c r="AN778" s="118"/>
      <c r="AO778" s="118"/>
      <c r="AP778" s="118"/>
      <c r="AQ778" s="118"/>
      <c r="AR778" s="118"/>
      <c r="AS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64"/>
      <c r="O779" s="161"/>
      <c r="P779" s="118"/>
      <c r="Q779" s="118"/>
      <c r="R779" s="117"/>
      <c r="S779" s="117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  <c r="AI779" s="118"/>
      <c r="AJ779" s="118"/>
      <c r="AK779" s="118"/>
      <c r="AL779" s="118"/>
      <c r="AM779" s="118"/>
      <c r="AN779" s="118"/>
      <c r="AO779" s="118"/>
      <c r="AP779" s="118"/>
      <c r="AQ779" s="118"/>
      <c r="AR779" s="118"/>
      <c r="AS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64"/>
      <c r="O780" s="161"/>
      <c r="P780" s="118"/>
      <c r="Q780" s="118"/>
      <c r="R780" s="117"/>
      <c r="S780" s="117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  <c r="AI780" s="118"/>
      <c r="AJ780" s="118"/>
      <c r="AK780" s="118"/>
      <c r="AL780" s="118"/>
      <c r="AM780" s="118"/>
      <c r="AN780" s="118"/>
      <c r="AO780" s="118"/>
      <c r="AP780" s="118"/>
      <c r="AQ780" s="118"/>
      <c r="AR780" s="118"/>
      <c r="AS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64"/>
      <c r="O781" s="161"/>
      <c r="P781" s="118"/>
      <c r="Q781" s="118"/>
      <c r="R781" s="117"/>
      <c r="S781" s="117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  <c r="AI781" s="118"/>
      <c r="AJ781" s="118"/>
      <c r="AK781" s="118"/>
      <c r="AL781" s="118"/>
      <c r="AM781" s="118"/>
      <c r="AN781" s="118"/>
      <c r="AO781" s="118"/>
      <c r="AP781" s="118"/>
      <c r="AQ781" s="118"/>
      <c r="AR781" s="118"/>
      <c r="AS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64"/>
      <c r="O782" s="161"/>
      <c r="P782" s="118"/>
      <c r="Q782" s="118"/>
      <c r="R782" s="117"/>
      <c r="S782" s="117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  <c r="AI782" s="118"/>
      <c r="AJ782" s="118"/>
      <c r="AK782" s="118"/>
      <c r="AL782" s="118"/>
      <c r="AM782" s="118"/>
      <c r="AN782" s="118"/>
      <c r="AO782" s="118"/>
      <c r="AP782" s="118"/>
      <c r="AQ782" s="118"/>
      <c r="AR782" s="118"/>
      <c r="AS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64"/>
      <c r="O783" s="161"/>
      <c r="P783" s="118"/>
      <c r="Q783" s="118"/>
      <c r="R783" s="117"/>
      <c r="S783" s="117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  <c r="AI783" s="118"/>
      <c r="AJ783" s="118"/>
      <c r="AK783" s="118"/>
      <c r="AL783" s="118"/>
      <c r="AM783" s="118"/>
      <c r="AN783" s="118"/>
      <c r="AO783" s="118"/>
      <c r="AP783" s="118"/>
      <c r="AQ783" s="118"/>
      <c r="AR783" s="118"/>
      <c r="AS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64"/>
      <c r="O784" s="161"/>
      <c r="P784" s="118"/>
      <c r="Q784" s="118"/>
      <c r="R784" s="117"/>
      <c r="S784" s="117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8"/>
      <c r="AN784" s="118"/>
      <c r="AO784" s="118"/>
      <c r="AP784" s="118"/>
      <c r="AQ784" s="118"/>
      <c r="AR784" s="118"/>
      <c r="AS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64"/>
      <c r="O785" s="161"/>
      <c r="P785" s="118"/>
      <c r="Q785" s="118"/>
      <c r="R785" s="117"/>
      <c r="S785" s="117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  <c r="AI785" s="118"/>
      <c r="AJ785" s="118"/>
      <c r="AK785" s="118"/>
      <c r="AL785" s="118"/>
      <c r="AM785" s="118"/>
      <c r="AN785" s="118"/>
      <c r="AO785" s="118"/>
      <c r="AP785" s="118"/>
      <c r="AQ785" s="118"/>
      <c r="AR785" s="118"/>
      <c r="AS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64"/>
      <c r="O786" s="161"/>
      <c r="P786" s="118"/>
      <c r="Q786" s="118"/>
      <c r="R786" s="117"/>
      <c r="S786" s="117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  <c r="AI786" s="118"/>
      <c r="AJ786" s="118"/>
      <c r="AK786" s="118"/>
      <c r="AL786" s="118"/>
      <c r="AM786" s="118"/>
      <c r="AN786" s="118"/>
      <c r="AO786" s="118"/>
      <c r="AP786" s="118"/>
      <c r="AQ786" s="118"/>
      <c r="AR786" s="118"/>
      <c r="AS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64"/>
      <c r="O787" s="161"/>
      <c r="P787" s="118"/>
      <c r="Q787" s="118"/>
      <c r="R787" s="117"/>
      <c r="S787" s="117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  <c r="AI787" s="118"/>
      <c r="AJ787" s="118"/>
      <c r="AK787" s="118"/>
      <c r="AL787" s="118"/>
      <c r="AM787" s="118"/>
      <c r="AN787" s="118"/>
      <c r="AO787" s="118"/>
      <c r="AP787" s="118"/>
      <c r="AQ787" s="118"/>
      <c r="AR787" s="118"/>
      <c r="AS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64"/>
      <c r="O788" s="161"/>
      <c r="P788" s="118"/>
      <c r="Q788" s="118"/>
      <c r="R788" s="117"/>
      <c r="S788" s="117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  <c r="AI788" s="118"/>
      <c r="AJ788" s="118"/>
      <c r="AK788" s="118"/>
      <c r="AL788" s="118"/>
      <c r="AM788" s="118"/>
      <c r="AN788" s="118"/>
      <c r="AO788" s="118"/>
      <c r="AP788" s="118"/>
      <c r="AQ788" s="118"/>
      <c r="AR788" s="118"/>
      <c r="AS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64"/>
      <c r="O789" s="161"/>
      <c r="P789" s="118"/>
      <c r="Q789" s="118"/>
      <c r="R789" s="117"/>
      <c r="S789" s="117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  <c r="AI789" s="118"/>
      <c r="AJ789" s="118"/>
      <c r="AK789" s="118"/>
      <c r="AL789" s="118"/>
      <c r="AM789" s="118"/>
      <c r="AN789" s="118"/>
      <c r="AO789" s="118"/>
      <c r="AP789" s="118"/>
      <c r="AQ789" s="118"/>
      <c r="AR789" s="118"/>
      <c r="AS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64"/>
      <c r="O790" s="161"/>
      <c r="P790" s="118"/>
      <c r="Q790" s="118"/>
      <c r="R790" s="117"/>
      <c r="S790" s="117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  <c r="AI790" s="118"/>
      <c r="AJ790" s="118"/>
      <c r="AK790" s="118"/>
      <c r="AL790" s="118"/>
      <c r="AM790" s="118"/>
      <c r="AN790" s="118"/>
      <c r="AO790" s="118"/>
      <c r="AP790" s="118"/>
      <c r="AQ790" s="118"/>
      <c r="AR790" s="118"/>
      <c r="AS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64"/>
      <c r="O791" s="161"/>
      <c r="P791" s="118"/>
      <c r="Q791" s="118"/>
      <c r="R791" s="117"/>
      <c r="S791" s="117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  <c r="AI791" s="118"/>
      <c r="AJ791" s="118"/>
      <c r="AK791" s="118"/>
      <c r="AL791" s="118"/>
      <c r="AM791" s="118"/>
      <c r="AN791" s="118"/>
      <c r="AO791" s="118"/>
      <c r="AP791" s="118"/>
      <c r="AQ791" s="118"/>
      <c r="AR791" s="118"/>
      <c r="AS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64"/>
      <c r="O792" s="161"/>
      <c r="P792" s="118"/>
      <c r="Q792" s="118"/>
      <c r="R792" s="117"/>
      <c r="S792" s="117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  <c r="AI792" s="118"/>
      <c r="AJ792" s="118"/>
      <c r="AK792" s="118"/>
      <c r="AL792" s="118"/>
      <c r="AM792" s="118"/>
      <c r="AN792" s="118"/>
      <c r="AO792" s="118"/>
      <c r="AP792" s="118"/>
      <c r="AQ792" s="118"/>
      <c r="AR792" s="118"/>
      <c r="AS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64"/>
      <c r="O793" s="161"/>
      <c r="P793" s="118"/>
      <c r="Q793" s="118"/>
      <c r="R793" s="117"/>
      <c r="S793" s="117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  <c r="AI793" s="118"/>
      <c r="AJ793" s="118"/>
      <c r="AK793" s="118"/>
      <c r="AL793" s="118"/>
      <c r="AM793" s="118"/>
      <c r="AN793" s="118"/>
      <c r="AO793" s="118"/>
      <c r="AP793" s="118"/>
      <c r="AQ793" s="118"/>
      <c r="AR793" s="118"/>
      <c r="AS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64"/>
      <c r="O794" s="161"/>
      <c r="P794" s="118"/>
      <c r="Q794" s="118"/>
      <c r="R794" s="117"/>
      <c r="S794" s="117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  <c r="AI794" s="118"/>
      <c r="AJ794" s="118"/>
      <c r="AK794" s="118"/>
      <c r="AL794" s="118"/>
      <c r="AM794" s="118"/>
      <c r="AN794" s="118"/>
      <c r="AO794" s="118"/>
      <c r="AP794" s="118"/>
      <c r="AQ794" s="118"/>
      <c r="AR794" s="118"/>
      <c r="AS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64"/>
      <c r="O795" s="161"/>
      <c r="P795" s="118"/>
      <c r="Q795" s="118"/>
      <c r="R795" s="117"/>
      <c r="S795" s="117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  <c r="AI795" s="118"/>
      <c r="AJ795" s="118"/>
      <c r="AK795" s="118"/>
      <c r="AL795" s="118"/>
      <c r="AM795" s="118"/>
      <c r="AN795" s="118"/>
      <c r="AO795" s="118"/>
      <c r="AP795" s="118"/>
      <c r="AQ795" s="118"/>
      <c r="AR795" s="118"/>
      <c r="AS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64"/>
      <c r="O796" s="161"/>
      <c r="P796" s="118"/>
      <c r="Q796" s="118"/>
      <c r="R796" s="117"/>
      <c r="S796" s="117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  <c r="AI796" s="118"/>
      <c r="AJ796" s="118"/>
      <c r="AK796" s="118"/>
      <c r="AL796" s="118"/>
      <c r="AM796" s="118"/>
      <c r="AN796" s="118"/>
      <c r="AO796" s="118"/>
      <c r="AP796" s="118"/>
      <c r="AQ796" s="118"/>
      <c r="AR796" s="118"/>
      <c r="AS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64"/>
      <c r="O797" s="161"/>
      <c r="P797" s="118"/>
      <c r="Q797" s="118"/>
      <c r="R797" s="117"/>
      <c r="S797" s="117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  <c r="AI797" s="118"/>
      <c r="AJ797" s="118"/>
      <c r="AK797" s="118"/>
      <c r="AL797" s="118"/>
      <c r="AM797" s="118"/>
      <c r="AN797" s="118"/>
      <c r="AO797" s="118"/>
      <c r="AP797" s="118"/>
      <c r="AQ797" s="118"/>
      <c r="AR797" s="118"/>
      <c r="AS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64"/>
      <c r="O798" s="161"/>
      <c r="P798" s="118"/>
      <c r="Q798" s="118"/>
      <c r="R798" s="117"/>
      <c r="S798" s="117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  <c r="AI798" s="118"/>
      <c r="AJ798" s="118"/>
      <c r="AK798" s="118"/>
      <c r="AL798" s="118"/>
      <c r="AM798" s="118"/>
      <c r="AN798" s="118"/>
      <c r="AO798" s="118"/>
      <c r="AP798" s="118"/>
      <c r="AQ798" s="118"/>
      <c r="AR798" s="118"/>
      <c r="AS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64"/>
      <c r="O799" s="161"/>
      <c r="P799" s="118"/>
      <c r="Q799" s="118"/>
      <c r="R799" s="117"/>
      <c r="S799" s="117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  <c r="AI799" s="118"/>
      <c r="AJ799" s="118"/>
      <c r="AK799" s="118"/>
      <c r="AL799" s="118"/>
      <c r="AM799" s="118"/>
      <c r="AN799" s="118"/>
      <c r="AO799" s="118"/>
      <c r="AP799" s="118"/>
      <c r="AQ799" s="118"/>
      <c r="AR799" s="118"/>
      <c r="AS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64"/>
      <c r="O800" s="161"/>
      <c r="P800" s="118"/>
      <c r="Q800" s="118"/>
      <c r="R800" s="117"/>
      <c r="S800" s="117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  <c r="AI800" s="118"/>
      <c r="AJ800" s="118"/>
      <c r="AK800" s="118"/>
      <c r="AL800" s="118"/>
      <c r="AM800" s="118"/>
      <c r="AN800" s="118"/>
      <c r="AO800" s="118"/>
      <c r="AP800" s="118"/>
      <c r="AQ800" s="118"/>
      <c r="AR800" s="118"/>
      <c r="AS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64"/>
      <c r="O801" s="161"/>
      <c r="P801" s="118"/>
      <c r="Q801" s="118"/>
      <c r="R801" s="117"/>
      <c r="S801" s="117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  <c r="AI801" s="118"/>
      <c r="AJ801" s="118"/>
      <c r="AK801" s="118"/>
      <c r="AL801" s="118"/>
      <c r="AM801" s="118"/>
      <c r="AN801" s="118"/>
      <c r="AO801" s="118"/>
      <c r="AP801" s="118"/>
      <c r="AQ801" s="118"/>
      <c r="AR801" s="118"/>
      <c r="AS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64"/>
      <c r="O802" s="161"/>
      <c r="P802" s="118"/>
      <c r="Q802" s="118"/>
      <c r="R802" s="117"/>
      <c r="S802" s="117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  <c r="AI802" s="118"/>
      <c r="AJ802" s="118"/>
      <c r="AK802" s="118"/>
      <c r="AL802" s="118"/>
      <c r="AM802" s="118"/>
      <c r="AN802" s="118"/>
      <c r="AO802" s="118"/>
      <c r="AP802" s="118"/>
      <c r="AQ802" s="118"/>
      <c r="AR802" s="118"/>
      <c r="AS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64"/>
      <c r="O803" s="161"/>
      <c r="P803" s="118"/>
      <c r="Q803" s="118"/>
      <c r="R803" s="117"/>
      <c r="S803" s="117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  <c r="AI803" s="118"/>
      <c r="AJ803" s="118"/>
      <c r="AK803" s="118"/>
      <c r="AL803" s="118"/>
      <c r="AM803" s="118"/>
      <c r="AN803" s="118"/>
      <c r="AO803" s="118"/>
      <c r="AP803" s="118"/>
      <c r="AQ803" s="118"/>
      <c r="AR803" s="118"/>
      <c r="AS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64"/>
      <c r="O804" s="161"/>
      <c r="P804" s="118"/>
      <c r="Q804" s="118"/>
      <c r="R804" s="117"/>
      <c r="S804" s="117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  <c r="AI804" s="118"/>
      <c r="AJ804" s="118"/>
      <c r="AK804" s="118"/>
      <c r="AL804" s="118"/>
      <c r="AM804" s="118"/>
      <c r="AN804" s="118"/>
      <c r="AO804" s="118"/>
      <c r="AP804" s="118"/>
      <c r="AQ804" s="118"/>
      <c r="AR804" s="118"/>
      <c r="AS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64"/>
      <c r="O805" s="161"/>
      <c r="P805" s="118"/>
      <c r="Q805" s="118"/>
      <c r="R805" s="117"/>
      <c r="S805" s="117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  <c r="AI805" s="118"/>
      <c r="AJ805" s="118"/>
      <c r="AK805" s="118"/>
      <c r="AL805" s="118"/>
      <c r="AM805" s="118"/>
      <c r="AN805" s="118"/>
      <c r="AO805" s="118"/>
      <c r="AP805" s="118"/>
      <c r="AQ805" s="118"/>
      <c r="AR805" s="118"/>
      <c r="AS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64"/>
      <c r="O806" s="161"/>
      <c r="P806" s="118"/>
      <c r="Q806" s="118"/>
      <c r="R806" s="117"/>
      <c r="S806" s="117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  <c r="AI806" s="118"/>
      <c r="AJ806" s="118"/>
      <c r="AK806" s="118"/>
      <c r="AL806" s="118"/>
      <c r="AM806" s="118"/>
      <c r="AN806" s="118"/>
      <c r="AO806" s="118"/>
      <c r="AP806" s="118"/>
      <c r="AQ806" s="118"/>
      <c r="AR806" s="118"/>
      <c r="AS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64"/>
      <c r="O807" s="161"/>
      <c r="P807" s="118"/>
      <c r="Q807" s="118"/>
      <c r="R807" s="117"/>
      <c r="S807" s="117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  <c r="AI807" s="118"/>
      <c r="AJ807" s="118"/>
      <c r="AK807" s="118"/>
      <c r="AL807" s="118"/>
      <c r="AM807" s="118"/>
      <c r="AN807" s="118"/>
      <c r="AO807" s="118"/>
      <c r="AP807" s="118"/>
      <c r="AQ807" s="118"/>
      <c r="AR807" s="118"/>
      <c r="AS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64"/>
      <c r="O808" s="161"/>
      <c r="P808" s="118"/>
      <c r="Q808" s="118"/>
      <c r="R808" s="117"/>
      <c r="S808" s="117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  <c r="AI808" s="118"/>
      <c r="AJ808" s="118"/>
      <c r="AK808" s="118"/>
      <c r="AL808" s="118"/>
      <c r="AM808" s="118"/>
      <c r="AN808" s="118"/>
      <c r="AO808" s="118"/>
      <c r="AP808" s="118"/>
      <c r="AQ808" s="118"/>
      <c r="AR808" s="118"/>
      <c r="AS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64"/>
      <c r="O809" s="161"/>
      <c r="P809" s="118"/>
      <c r="Q809" s="118"/>
      <c r="R809" s="117"/>
      <c r="S809" s="117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  <c r="AI809" s="118"/>
      <c r="AJ809" s="118"/>
      <c r="AK809" s="118"/>
      <c r="AL809" s="118"/>
      <c r="AM809" s="118"/>
      <c r="AN809" s="118"/>
      <c r="AO809" s="118"/>
      <c r="AP809" s="118"/>
      <c r="AQ809" s="118"/>
      <c r="AR809" s="118"/>
      <c r="AS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64"/>
      <c r="O810" s="161"/>
      <c r="P810" s="118"/>
      <c r="Q810" s="118"/>
      <c r="R810" s="117"/>
      <c r="S810" s="117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  <c r="AI810" s="118"/>
      <c r="AJ810" s="118"/>
      <c r="AK810" s="118"/>
      <c r="AL810" s="118"/>
      <c r="AM810" s="118"/>
      <c r="AN810" s="118"/>
      <c r="AO810" s="118"/>
      <c r="AP810" s="118"/>
      <c r="AQ810" s="118"/>
      <c r="AR810" s="118"/>
      <c r="AS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64"/>
      <c r="O811" s="161"/>
      <c r="P811" s="118"/>
      <c r="Q811" s="118"/>
      <c r="R811" s="117"/>
      <c r="S811" s="117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  <c r="AI811" s="118"/>
      <c r="AJ811" s="118"/>
      <c r="AK811" s="118"/>
      <c r="AL811" s="118"/>
      <c r="AM811" s="118"/>
      <c r="AN811" s="118"/>
      <c r="AO811" s="118"/>
      <c r="AP811" s="118"/>
      <c r="AQ811" s="118"/>
      <c r="AR811" s="118"/>
      <c r="AS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64"/>
      <c r="O812" s="161"/>
      <c r="P812" s="118"/>
      <c r="Q812" s="118"/>
      <c r="R812" s="117"/>
      <c r="S812" s="117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  <c r="AI812" s="118"/>
      <c r="AJ812" s="118"/>
      <c r="AK812" s="118"/>
      <c r="AL812" s="118"/>
      <c r="AM812" s="118"/>
      <c r="AN812" s="118"/>
      <c r="AO812" s="118"/>
      <c r="AP812" s="118"/>
      <c r="AQ812" s="118"/>
      <c r="AR812" s="118"/>
      <c r="AS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64"/>
      <c r="O813" s="161"/>
      <c r="P813" s="118"/>
      <c r="Q813" s="118"/>
      <c r="R813" s="117"/>
      <c r="S813" s="117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  <c r="AI813" s="118"/>
      <c r="AJ813" s="118"/>
      <c r="AK813" s="118"/>
      <c r="AL813" s="118"/>
      <c r="AM813" s="118"/>
      <c r="AN813" s="118"/>
      <c r="AO813" s="118"/>
      <c r="AP813" s="118"/>
      <c r="AQ813" s="118"/>
      <c r="AR813" s="118"/>
      <c r="AS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64"/>
      <c r="O814" s="161"/>
      <c r="P814" s="118"/>
      <c r="Q814" s="118"/>
      <c r="R814" s="117"/>
      <c r="S814" s="117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  <c r="AI814" s="118"/>
      <c r="AJ814" s="118"/>
      <c r="AK814" s="118"/>
      <c r="AL814" s="118"/>
      <c r="AM814" s="118"/>
      <c r="AN814" s="118"/>
      <c r="AO814" s="118"/>
      <c r="AP814" s="118"/>
      <c r="AQ814" s="118"/>
      <c r="AR814" s="118"/>
      <c r="AS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64"/>
      <c r="O815" s="161"/>
      <c r="P815" s="118"/>
      <c r="Q815" s="118"/>
      <c r="R815" s="117"/>
      <c r="S815" s="117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  <c r="AI815" s="118"/>
      <c r="AJ815" s="118"/>
      <c r="AK815" s="118"/>
      <c r="AL815" s="118"/>
      <c r="AM815" s="118"/>
      <c r="AN815" s="118"/>
      <c r="AO815" s="118"/>
      <c r="AP815" s="118"/>
      <c r="AQ815" s="118"/>
      <c r="AR815" s="118"/>
      <c r="AS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64"/>
      <c r="O816" s="161"/>
      <c r="P816" s="161"/>
      <c r="Q816" s="118"/>
      <c r="R816" s="117"/>
      <c r="S816" s="117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64"/>
      <c r="O817" s="161"/>
      <c r="P817" s="161"/>
      <c r="Q817" s="118"/>
      <c r="R817" s="117"/>
      <c r="S817" s="117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  <c r="AI817" s="118"/>
      <c r="AJ817" s="118"/>
      <c r="AK817" s="118"/>
      <c r="AL817" s="118"/>
      <c r="AM817" s="118"/>
      <c r="AN817" s="118"/>
      <c r="AO817" s="118"/>
      <c r="AP817" s="118"/>
      <c r="AQ817" s="118"/>
      <c r="AR817" s="118"/>
      <c r="AS817" s="118"/>
    </row>
    <row r="818">
      <c r="A818" s="118"/>
      <c r="B818" s="118"/>
      <c r="C818" s="118"/>
      <c r="D818" s="118"/>
      <c r="E818" s="118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18"/>
      <c r="R818" s="117"/>
      <c r="S818" s="117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  <c r="AI818" s="118"/>
      <c r="AJ818" s="118"/>
      <c r="AK818" s="118"/>
      <c r="AL818" s="118"/>
      <c r="AM818" s="118"/>
      <c r="AN818" s="118"/>
      <c r="AO818" s="118"/>
      <c r="AP818" s="118"/>
      <c r="AQ818" s="118"/>
      <c r="AR818" s="118"/>
      <c r="AS818" s="118"/>
    </row>
    <row r="819">
      <c r="A819" s="118"/>
      <c r="B819" s="118"/>
      <c r="C819" s="118"/>
      <c r="D819" s="118"/>
      <c r="E819" s="118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18"/>
      <c r="R819" s="117"/>
      <c r="S819" s="117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  <c r="AI819" s="118"/>
      <c r="AJ819" s="118"/>
      <c r="AK819" s="118"/>
      <c r="AL819" s="118"/>
      <c r="AM819" s="118"/>
      <c r="AN819" s="118"/>
      <c r="AO819" s="118"/>
      <c r="AP819" s="118"/>
      <c r="AQ819" s="118"/>
      <c r="AR819" s="118"/>
      <c r="AS819" s="118"/>
    </row>
    <row r="820">
      <c r="A820" s="118"/>
      <c r="B820" s="118"/>
      <c r="C820" s="118"/>
      <c r="D820" s="118"/>
      <c r="E820" s="118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18"/>
      <c r="R820" s="117"/>
      <c r="S820" s="117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  <c r="AI820" s="118"/>
      <c r="AJ820" s="118"/>
      <c r="AK820" s="118"/>
      <c r="AL820" s="118"/>
      <c r="AM820" s="118"/>
      <c r="AN820" s="118"/>
      <c r="AO820" s="118"/>
      <c r="AP820" s="118"/>
      <c r="AQ820" s="118"/>
      <c r="AR820" s="118"/>
      <c r="AS820" s="118"/>
    </row>
    <row r="821">
      <c r="A821" s="118"/>
      <c r="B821" s="118"/>
      <c r="C821" s="118"/>
      <c r="D821" s="118"/>
      <c r="E821" s="118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18"/>
      <c r="R821" s="117"/>
      <c r="S821" s="117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  <c r="AI821" s="118"/>
      <c r="AJ821" s="118"/>
      <c r="AK821" s="118"/>
      <c r="AL821" s="118"/>
      <c r="AM821" s="118"/>
      <c r="AN821" s="118"/>
      <c r="AO821" s="118"/>
      <c r="AP821" s="118"/>
      <c r="AQ821" s="118"/>
      <c r="AR821" s="118"/>
      <c r="AS821" s="118"/>
    </row>
    <row r="822">
      <c r="A822" s="118"/>
      <c r="B822" s="118"/>
      <c r="C822" s="118"/>
      <c r="D822" s="118"/>
      <c r="E822" s="118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18"/>
      <c r="R822" s="117"/>
      <c r="S822" s="117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8"/>
      <c r="AN822" s="118"/>
      <c r="AO822" s="118"/>
      <c r="AP822" s="118"/>
      <c r="AQ822" s="118"/>
      <c r="AR822" s="118"/>
      <c r="AS822" s="118"/>
    </row>
    <row r="823">
      <c r="A823" s="118"/>
      <c r="B823" s="118"/>
      <c r="C823" s="118"/>
      <c r="D823" s="118"/>
      <c r="E823" s="118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18"/>
      <c r="R823" s="117"/>
      <c r="S823" s="117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  <c r="AI823" s="118"/>
      <c r="AJ823" s="118"/>
      <c r="AK823" s="118"/>
      <c r="AL823" s="118"/>
      <c r="AM823" s="118"/>
      <c r="AN823" s="118"/>
      <c r="AO823" s="118"/>
      <c r="AP823" s="118"/>
      <c r="AQ823" s="118"/>
      <c r="AR823" s="118"/>
      <c r="AS823" s="118"/>
    </row>
    <row r="824">
      <c r="A824" s="118"/>
      <c r="B824" s="118"/>
      <c r="C824" s="118"/>
      <c r="D824" s="118"/>
      <c r="E824" s="118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18"/>
      <c r="R824" s="117"/>
      <c r="S824" s="117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  <c r="AI824" s="118"/>
      <c r="AJ824" s="118"/>
      <c r="AK824" s="118"/>
      <c r="AL824" s="118"/>
      <c r="AM824" s="118"/>
      <c r="AN824" s="118"/>
      <c r="AO824" s="118"/>
      <c r="AP824" s="118"/>
      <c r="AQ824" s="118"/>
      <c r="AR824" s="118"/>
      <c r="AS824" s="118"/>
    </row>
    <row r="825">
      <c r="A825" s="118"/>
      <c r="B825" s="118"/>
      <c r="C825" s="118"/>
      <c r="D825" s="118"/>
      <c r="E825" s="118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18"/>
      <c r="R825" s="117"/>
      <c r="S825" s="117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  <c r="AI825" s="118"/>
      <c r="AJ825" s="118"/>
      <c r="AK825" s="118"/>
      <c r="AL825" s="118"/>
      <c r="AM825" s="118"/>
      <c r="AN825" s="118"/>
      <c r="AO825" s="118"/>
      <c r="AP825" s="118"/>
      <c r="AQ825" s="118"/>
      <c r="AR825" s="118"/>
      <c r="AS825" s="118"/>
    </row>
    <row r="826">
      <c r="A826" s="118"/>
      <c r="B826" s="118"/>
      <c r="C826" s="118"/>
      <c r="D826" s="118"/>
      <c r="E826" s="118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18"/>
      <c r="R826" s="117"/>
      <c r="S826" s="117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  <c r="AI826" s="118"/>
      <c r="AJ826" s="118"/>
      <c r="AK826" s="118"/>
      <c r="AL826" s="118"/>
      <c r="AM826" s="118"/>
      <c r="AN826" s="118"/>
      <c r="AO826" s="118"/>
      <c r="AP826" s="118"/>
      <c r="AQ826" s="118"/>
      <c r="AR826" s="118"/>
      <c r="AS826" s="118"/>
    </row>
    <row r="827">
      <c r="A827" s="118"/>
      <c r="B827" s="118"/>
      <c r="C827" s="118"/>
      <c r="D827" s="118"/>
      <c r="E827" s="118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18"/>
      <c r="R827" s="117"/>
      <c r="S827" s="117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  <c r="AI827" s="118"/>
      <c r="AJ827" s="118"/>
      <c r="AK827" s="118"/>
      <c r="AL827" s="118"/>
      <c r="AM827" s="118"/>
      <c r="AN827" s="118"/>
      <c r="AO827" s="118"/>
      <c r="AP827" s="118"/>
      <c r="AQ827" s="118"/>
      <c r="AR827" s="118"/>
      <c r="AS827" s="118"/>
    </row>
    <row r="828">
      <c r="A828" s="118"/>
      <c r="B828" s="118"/>
      <c r="C828" s="118"/>
      <c r="D828" s="118"/>
      <c r="E828" s="118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18"/>
      <c r="R828" s="117"/>
      <c r="S828" s="117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  <c r="AI828" s="118"/>
      <c r="AJ828" s="118"/>
      <c r="AK828" s="118"/>
      <c r="AL828" s="118"/>
      <c r="AM828" s="118"/>
      <c r="AN828" s="118"/>
      <c r="AO828" s="118"/>
      <c r="AP828" s="118"/>
      <c r="AQ828" s="118"/>
      <c r="AR828" s="118"/>
      <c r="AS828" s="118"/>
    </row>
    <row r="829">
      <c r="A829" s="118"/>
      <c r="B829" s="118"/>
      <c r="C829" s="118"/>
      <c r="D829" s="118"/>
      <c r="E829" s="118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18"/>
      <c r="R829" s="117"/>
      <c r="S829" s="117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  <c r="AL829" s="118"/>
      <c r="AM829" s="118"/>
      <c r="AN829" s="118"/>
      <c r="AO829" s="118"/>
      <c r="AP829" s="118"/>
      <c r="AQ829" s="118"/>
      <c r="AR829" s="118"/>
      <c r="AS829" s="118"/>
    </row>
    <row r="830">
      <c r="A830" s="118"/>
      <c r="B830" s="118"/>
      <c r="C830" s="118"/>
      <c r="D830" s="118"/>
      <c r="E830" s="118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18"/>
      <c r="R830" s="117"/>
      <c r="S830" s="117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  <c r="AL830" s="118"/>
      <c r="AM830" s="118"/>
      <c r="AN830" s="118"/>
      <c r="AO830" s="118"/>
      <c r="AP830" s="118"/>
      <c r="AQ830" s="118"/>
      <c r="AR830" s="118"/>
      <c r="AS830" s="118"/>
    </row>
    <row r="831">
      <c r="A831" s="118"/>
      <c r="B831" s="118"/>
      <c r="C831" s="118"/>
      <c r="D831" s="118"/>
      <c r="E831" s="118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18"/>
      <c r="R831" s="117"/>
      <c r="S831" s="117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  <c r="AI831" s="118"/>
      <c r="AJ831" s="118"/>
      <c r="AK831" s="118"/>
      <c r="AL831" s="118"/>
      <c r="AM831" s="118"/>
      <c r="AN831" s="118"/>
      <c r="AO831" s="118"/>
      <c r="AP831" s="118"/>
      <c r="AQ831" s="118"/>
      <c r="AR831" s="118"/>
      <c r="AS831" s="118"/>
    </row>
    <row r="832">
      <c r="A832" s="118"/>
      <c r="B832" s="118"/>
      <c r="C832" s="118"/>
      <c r="D832" s="118"/>
      <c r="E832" s="118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17"/>
      <c r="S832" s="117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  <c r="AI832" s="118"/>
      <c r="AJ832" s="118"/>
      <c r="AK832" s="118"/>
      <c r="AL832" s="118"/>
      <c r="AM832" s="118"/>
      <c r="AN832" s="118"/>
      <c r="AO832" s="118"/>
      <c r="AP832" s="118"/>
      <c r="AQ832" s="118"/>
      <c r="AR832" s="118"/>
      <c r="AS832" s="118"/>
    </row>
    <row r="833">
      <c r="A833" s="118"/>
      <c r="B833" s="118"/>
      <c r="C833" s="118"/>
      <c r="D833" s="118"/>
      <c r="E833" s="118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17"/>
      <c r="S833" s="117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  <c r="AI833" s="118"/>
      <c r="AJ833" s="118"/>
      <c r="AK833" s="118"/>
      <c r="AL833" s="118"/>
      <c r="AM833" s="118"/>
      <c r="AN833" s="118"/>
      <c r="AO833" s="118"/>
      <c r="AP833" s="118"/>
      <c r="AQ833" s="118"/>
      <c r="AR833" s="118"/>
      <c r="AS833" s="118"/>
    </row>
    <row r="834">
      <c r="A834" s="118"/>
      <c r="B834" s="118"/>
      <c r="C834" s="118"/>
      <c r="D834" s="118"/>
      <c r="E834" s="118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17"/>
      <c r="S834" s="117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  <c r="AI834" s="118"/>
      <c r="AJ834" s="118"/>
      <c r="AK834" s="118"/>
      <c r="AL834" s="118"/>
      <c r="AM834" s="118"/>
      <c r="AN834" s="118"/>
      <c r="AO834" s="118"/>
      <c r="AP834" s="118"/>
      <c r="AQ834" s="118"/>
      <c r="AR834" s="118"/>
      <c r="AS834" s="118"/>
    </row>
    <row r="835">
      <c r="A835" s="118"/>
      <c r="B835" s="118"/>
      <c r="C835" s="118"/>
      <c r="D835" s="118"/>
      <c r="E835" s="118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17"/>
      <c r="S835" s="117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  <c r="AI835" s="118"/>
      <c r="AJ835" s="118"/>
      <c r="AK835" s="118"/>
      <c r="AL835" s="118"/>
      <c r="AM835" s="118"/>
      <c r="AN835" s="118"/>
      <c r="AO835" s="118"/>
      <c r="AP835" s="118"/>
      <c r="AQ835" s="118"/>
      <c r="AR835" s="118"/>
      <c r="AS835" s="118"/>
    </row>
    <row r="836">
      <c r="A836" s="118"/>
      <c r="B836" s="118"/>
      <c r="C836" s="118"/>
      <c r="D836" s="118"/>
      <c r="E836" s="118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17"/>
      <c r="S836" s="117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  <c r="AI836" s="118"/>
      <c r="AJ836" s="118"/>
      <c r="AK836" s="118"/>
      <c r="AL836" s="118"/>
      <c r="AM836" s="118"/>
      <c r="AN836" s="118"/>
      <c r="AO836" s="118"/>
      <c r="AP836" s="118"/>
      <c r="AQ836" s="118"/>
      <c r="AR836" s="118"/>
      <c r="AS836" s="118"/>
    </row>
    <row r="837">
      <c r="A837" s="118"/>
      <c r="B837" s="118"/>
      <c r="C837" s="118"/>
      <c r="D837" s="118"/>
      <c r="E837" s="118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17"/>
      <c r="S837" s="117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  <c r="AI837" s="118"/>
      <c r="AJ837" s="118"/>
      <c r="AK837" s="118"/>
      <c r="AL837" s="118"/>
      <c r="AM837" s="118"/>
      <c r="AN837" s="118"/>
      <c r="AO837" s="118"/>
      <c r="AP837" s="118"/>
      <c r="AQ837" s="118"/>
      <c r="AR837" s="118"/>
      <c r="AS837" s="118"/>
    </row>
    <row r="838">
      <c r="A838" s="118"/>
      <c r="B838" s="118"/>
      <c r="C838" s="118"/>
      <c r="D838" s="118"/>
      <c r="E838" s="118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17"/>
      <c r="S838" s="117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  <c r="AI838" s="118"/>
      <c r="AJ838" s="118"/>
      <c r="AK838" s="118"/>
      <c r="AL838" s="118"/>
      <c r="AM838" s="118"/>
      <c r="AN838" s="118"/>
      <c r="AO838" s="118"/>
      <c r="AP838" s="118"/>
      <c r="AQ838" s="118"/>
      <c r="AR838" s="118"/>
      <c r="AS838" s="118"/>
    </row>
    <row r="839">
      <c r="A839" s="118"/>
      <c r="B839" s="118"/>
      <c r="C839" s="118"/>
      <c r="D839" s="118"/>
      <c r="E839" s="118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17"/>
      <c r="S839" s="117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  <c r="AI839" s="118"/>
      <c r="AJ839" s="118"/>
      <c r="AK839" s="118"/>
      <c r="AL839" s="118"/>
      <c r="AM839" s="118"/>
      <c r="AN839" s="118"/>
      <c r="AO839" s="118"/>
      <c r="AP839" s="118"/>
      <c r="AQ839" s="118"/>
      <c r="AR839" s="118"/>
      <c r="AS839" s="118"/>
    </row>
    <row r="840">
      <c r="A840" s="118"/>
      <c r="B840" s="118"/>
      <c r="C840" s="118"/>
      <c r="D840" s="118"/>
      <c r="E840" s="118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17"/>
      <c r="S840" s="117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  <c r="AI840" s="118"/>
      <c r="AJ840" s="118"/>
      <c r="AK840" s="118"/>
      <c r="AL840" s="118"/>
      <c r="AM840" s="118"/>
      <c r="AN840" s="118"/>
      <c r="AO840" s="118"/>
      <c r="AP840" s="118"/>
      <c r="AQ840" s="118"/>
      <c r="AR840" s="118"/>
      <c r="AS840" s="118"/>
    </row>
    <row r="841">
      <c r="A841" s="118"/>
      <c r="B841" s="118"/>
      <c r="C841" s="118"/>
      <c r="D841" s="118"/>
      <c r="E841" s="118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17"/>
      <c r="S841" s="117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  <c r="AI841" s="118"/>
      <c r="AJ841" s="118"/>
      <c r="AK841" s="118"/>
      <c r="AL841" s="118"/>
      <c r="AM841" s="118"/>
      <c r="AN841" s="118"/>
      <c r="AO841" s="118"/>
      <c r="AP841" s="118"/>
      <c r="AQ841" s="118"/>
      <c r="AR841" s="118"/>
      <c r="AS841" s="118"/>
    </row>
    <row r="842">
      <c r="A842" s="118"/>
      <c r="B842" s="118"/>
      <c r="C842" s="118"/>
      <c r="D842" s="118"/>
      <c r="E842" s="118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17"/>
      <c r="S842" s="117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  <c r="AI842" s="118"/>
      <c r="AJ842" s="118"/>
      <c r="AK842" s="118"/>
      <c r="AL842" s="118"/>
      <c r="AM842" s="118"/>
      <c r="AN842" s="118"/>
      <c r="AO842" s="118"/>
      <c r="AP842" s="118"/>
      <c r="AQ842" s="118"/>
      <c r="AR842" s="118"/>
      <c r="AS842" s="118"/>
    </row>
    <row r="843">
      <c r="A843" s="118"/>
      <c r="B843" s="118"/>
      <c r="C843" s="118"/>
      <c r="D843" s="118"/>
      <c r="E843" s="118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17"/>
      <c r="S843" s="117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  <c r="AI843" s="118"/>
      <c r="AJ843" s="118"/>
      <c r="AK843" s="118"/>
      <c r="AL843" s="118"/>
      <c r="AM843" s="118"/>
      <c r="AN843" s="118"/>
      <c r="AO843" s="118"/>
      <c r="AP843" s="118"/>
      <c r="AQ843" s="118"/>
      <c r="AR843" s="118"/>
      <c r="AS843" s="118"/>
    </row>
    <row r="844">
      <c r="A844" s="118"/>
      <c r="B844" s="118"/>
      <c r="C844" s="118"/>
      <c r="D844" s="118"/>
      <c r="E844" s="118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17"/>
      <c r="S844" s="117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  <c r="AI844" s="118"/>
      <c r="AJ844" s="118"/>
      <c r="AK844" s="118"/>
      <c r="AL844" s="118"/>
      <c r="AM844" s="118"/>
      <c r="AN844" s="118"/>
      <c r="AO844" s="118"/>
      <c r="AP844" s="118"/>
      <c r="AQ844" s="118"/>
      <c r="AR844" s="118"/>
      <c r="AS844" s="118"/>
    </row>
  </sheetData>
  <mergeCells count="15">
    <mergeCell ref="G3:G4"/>
    <mergeCell ref="H3:H4"/>
    <mergeCell ref="I3:I4"/>
    <mergeCell ref="J3:M3"/>
    <mergeCell ref="N3:N4"/>
    <mergeCell ref="O3:O4"/>
    <mergeCell ref="P3:P4"/>
    <mergeCell ref="Q3:Q4"/>
    <mergeCell ref="J1:M1"/>
    <mergeCell ref="A3:A4"/>
    <mergeCell ref="B3:B4"/>
    <mergeCell ref="C3:C4"/>
    <mergeCell ref="D3:D4"/>
    <mergeCell ref="E3:E4"/>
    <mergeCell ref="F3:F4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25"/>
    <col customWidth="1" min="3" max="3" width="3.88"/>
    <col customWidth="1" hidden="1" min="4" max="4" width="4.0"/>
    <col customWidth="1" min="5" max="5" width="18.63"/>
    <col customWidth="1" hidden="1" min="6" max="6" width="16.88"/>
    <col customWidth="1" hidden="1" min="7" max="7" width="17.88"/>
    <col customWidth="1" hidden="1" min="8" max="9" width="3.25"/>
    <col customWidth="1" min="10" max="10" width="15.75"/>
    <col customWidth="1" min="11" max="11" width="19.25"/>
    <col customWidth="1" min="12" max="12" width="16.38"/>
    <col customWidth="1" min="13" max="13" width="17.63"/>
    <col customWidth="1" min="14" max="14" width="4.88"/>
    <col customWidth="1" min="15" max="15" width="5.63"/>
    <col customWidth="1" min="16" max="16" width="20.63"/>
    <col customWidth="1" min="17" max="17" width="26.88"/>
    <col customWidth="1" hidden="1" min="18" max="18" width="14.38"/>
    <col customWidth="1" hidden="1" min="19" max="19" width="28.75"/>
  </cols>
  <sheetData>
    <row r="1" ht="23.25" customHeight="1">
      <c r="A1" s="106" t="s">
        <v>262</v>
      </c>
      <c r="B1" s="107">
        <f>NOW()</f>
        <v>46137.95904</v>
      </c>
      <c r="C1" s="108">
        <f> COUNTIF(C5:C25, "&gt;0")</f>
        <v>9</v>
      </c>
      <c r="D1" s="109"/>
      <c r="F1" s="110"/>
      <c r="G1" s="110"/>
      <c r="H1" s="111"/>
      <c r="I1" s="111"/>
      <c r="J1" s="112" t="s">
        <v>125</v>
      </c>
      <c r="N1" s="113"/>
      <c r="O1" s="114">
        <v>46147.0</v>
      </c>
      <c r="P1" s="181" t="s">
        <v>126</v>
      </c>
      <c r="Q1" s="115"/>
      <c r="R1" s="116"/>
      <c r="S1" s="117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</row>
    <row r="2" ht="24.0" customHeight="1">
      <c r="A2" s="119">
        <v>21.0</v>
      </c>
      <c r="B2" s="120" t="s">
        <v>374</v>
      </c>
      <c r="C2" s="182"/>
      <c r="D2" s="212"/>
      <c r="E2" s="122"/>
      <c r="F2" s="122"/>
      <c r="G2" s="122"/>
      <c r="H2" s="122">
        <f t="shared" ref="H2:I2" si="1">COUNTIF(H4:H24, "&gt;0")</f>
        <v>0</v>
      </c>
      <c r="I2" s="122">
        <f t="shared" si="1"/>
        <v>0</v>
      </c>
      <c r="J2" s="122"/>
      <c r="K2" s="122"/>
      <c r="L2" s="213">
        <v>6.0</v>
      </c>
      <c r="M2" s="122"/>
      <c r="N2" s="124">
        <f>COUNTIF(N4:N23, "&gt;0")</f>
        <v>14</v>
      </c>
      <c r="O2" s="124">
        <f>COUNTIF(O4:O25, "&gt;0")</f>
        <v>7</v>
      </c>
      <c r="P2" s="125">
        <v>46137.0</v>
      </c>
      <c r="Q2" s="214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ht="22.5" customHeight="1">
      <c r="A3" s="129" t="s">
        <v>5</v>
      </c>
      <c r="B3" s="129" t="s">
        <v>6</v>
      </c>
      <c r="C3" s="129" t="s">
        <v>9</v>
      </c>
      <c r="D3" s="129"/>
      <c r="E3" s="129" t="s">
        <v>18</v>
      </c>
      <c r="F3" s="130" t="s">
        <v>131</v>
      </c>
      <c r="G3" s="129" t="s">
        <v>132</v>
      </c>
      <c r="H3" s="129"/>
      <c r="I3" s="129"/>
      <c r="J3" s="131" t="s">
        <v>133</v>
      </c>
      <c r="K3" s="132"/>
      <c r="L3" s="132"/>
      <c r="M3" s="133"/>
      <c r="N3" s="129" t="s">
        <v>134</v>
      </c>
      <c r="O3" s="129" t="s">
        <v>135</v>
      </c>
      <c r="P3" s="130" t="s">
        <v>136</v>
      </c>
      <c r="Q3" s="129" t="s">
        <v>137</v>
      </c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</row>
    <row r="4" ht="27.0" customHeight="1">
      <c r="A4" s="50"/>
      <c r="B4" s="50"/>
      <c r="C4" s="50"/>
      <c r="D4" s="50"/>
      <c r="E4" s="50"/>
      <c r="F4" s="50"/>
      <c r="G4" s="50"/>
      <c r="H4" s="50"/>
      <c r="I4" s="50"/>
      <c r="J4" s="137" t="s">
        <v>140</v>
      </c>
      <c r="K4" s="137" t="s">
        <v>141</v>
      </c>
      <c r="L4" s="137" t="s">
        <v>142</v>
      </c>
      <c r="M4" s="137" t="s">
        <v>143</v>
      </c>
      <c r="N4" s="50"/>
      <c r="O4" s="50"/>
      <c r="P4" s="50"/>
      <c r="Q4" s="50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</row>
    <row r="5" ht="30.0" customHeight="1">
      <c r="A5" s="138">
        <v>1.0</v>
      </c>
      <c r="B5" s="60" t="s">
        <v>52</v>
      </c>
      <c r="C5" s="66"/>
      <c r="D5" s="66"/>
      <c r="E5" s="67" t="s">
        <v>30</v>
      </c>
      <c r="F5" s="63" t="s">
        <v>375</v>
      </c>
      <c r="G5" s="59" t="s">
        <v>376</v>
      </c>
      <c r="H5" s="59"/>
      <c r="I5" s="141"/>
      <c r="J5" s="141" t="s">
        <v>377</v>
      </c>
      <c r="K5" s="139" t="s">
        <v>378</v>
      </c>
      <c r="L5" s="141" t="s">
        <v>375</v>
      </c>
      <c r="M5" s="141" t="s">
        <v>379</v>
      </c>
      <c r="N5" s="215"/>
      <c r="O5" s="126"/>
      <c r="P5" s="59" t="s">
        <v>380</v>
      </c>
      <c r="Q5" s="64"/>
      <c r="R5" s="216" t="s">
        <v>381</v>
      </c>
      <c r="S5" s="217" t="s">
        <v>382</v>
      </c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ht="30.75" customHeight="1">
      <c r="A6" s="138">
        <f t="shared" ref="A6:A25" si="2">A5+1</f>
        <v>2</v>
      </c>
      <c r="B6" s="60" t="s">
        <v>53</v>
      </c>
      <c r="C6" s="66"/>
      <c r="D6" s="69"/>
      <c r="E6" s="70" t="s">
        <v>50</v>
      </c>
      <c r="F6" s="63" t="s">
        <v>383</v>
      </c>
      <c r="G6" s="218" t="s">
        <v>384</v>
      </c>
      <c r="H6" s="67"/>
      <c r="I6" s="141"/>
      <c r="J6" s="141" t="s">
        <v>385</v>
      </c>
      <c r="K6" s="139" t="s">
        <v>386</v>
      </c>
      <c r="L6" s="141" t="s">
        <v>383</v>
      </c>
      <c r="M6" s="141" t="s">
        <v>387</v>
      </c>
      <c r="N6" s="142">
        <v>1.0</v>
      </c>
      <c r="O6" s="126"/>
      <c r="P6" s="59"/>
      <c r="Q6" s="64"/>
      <c r="R6" s="216" t="s">
        <v>388</v>
      </c>
      <c r="S6" s="217" t="s">
        <v>389</v>
      </c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ht="28.5" customHeight="1">
      <c r="A7" s="138">
        <f t="shared" si="2"/>
        <v>3</v>
      </c>
      <c r="B7" s="60" t="s">
        <v>54</v>
      </c>
      <c r="C7" s="66"/>
      <c r="D7" s="69"/>
      <c r="E7" s="71" t="s">
        <v>55</v>
      </c>
      <c r="F7" s="59" t="s">
        <v>390</v>
      </c>
      <c r="G7" s="59" t="s">
        <v>391</v>
      </c>
      <c r="H7" s="59"/>
      <c r="I7" s="141"/>
      <c r="J7" s="141" t="s">
        <v>392</v>
      </c>
      <c r="K7" s="139" t="s">
        <v>393</v>
      </c>
      <c r="L7" s="141" t="s">
        <v>394</v>
      </c>
      <c r="M7" s="141" t="s">
        <v>395</v>
      </c>
      <c r="N7" s="142">
        <v>1.0</v>
      </c>
      <c r="O7" s="126"/>
      <c r="P7" s="59"/>
      <c r="Q7" s="64"/>
      <c r="R7" s="216" t="s">
        <v>396</v>
      </c>
      <c r="S7" s="217" t="s">
        <v>397</v>
      </c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ht="33.75" customHeight="1">
      <c r="A8" s="138">
        <f t="shared" si="2"/>
        <v>4</v>
      </c>
      <c r="B8" s="60" t="s">
        <v>56</v>
      </c>
      <c r="C8" s="154">
        <v>5.0</v>
      </c>
      <c r="D8" s="69"/>
      <c r="E8" s="71" t="s">
        <v>57</v>
      </c>
      <c r="F8" s="59" t="s">
        <v>398</v>
      </c>
      <c r="G8" s="59" t="s">
        <v>399</v>
      </c>
      <c r="H8" s="59"/>
      <c r="I8" s="141"/>
      <c r="J8" s="141" t="s">
        <v>400</v>
      </c>
      <c r="K8" s="139" t="s">
        <v>401</v>
      </c>
      <c r="L8" s="141" t="s">
        <v>398</v>
      </c>
      <c r="M8" s="141" t="s">
        <v>402</v>
      </c>
      <c r="N8" s="142">
        <v>1.0</v>
      </c>
      <c r="O8" s="142"/>
      <c r="P8" s="59" t="s">
        <v>192</v>
      </c>
      <c r="Q8" s="64"/>
      <c r="R8" s="216" t="s">
        <v>403</v>
      </c>
      <c r="S8" s="217" t="s">
        <v>404</v>
      </c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9" ht="33.75" customHeight="1">
      <c r="A9" s="138">
        <f t="shared" si="2"/>
        <v>5</v>
      </c>
      <c r="B9" s="60" t="s">
        <v>405</v>
      </c>
      <c r="C9" s="66"/>
      <c r="D9" s="66"/>
      <c r="E9" s="73" t="s">
        <v>59</v>
      </c>
      <c r="F9" s="59" t="s">
        <v>264</v>
      </c>
      <c r="G9" s="219" t="s">
        <v>391</v>
      </c>
      <c r="H9" s="59"/>
      <c r="I9" s="141"/>
      <c r="J9" s="141" t="s">
        <v>406</v>
      </c>
      <c r="K9" s="139" t="s">
        <v>407</v>
      </c>
      <c r="L9" s="141" t="s">
        <v>264</v>
      </c>
      <c r="M9" s="141" t="s">
        <v>408</v>
      </c>
      <c r="N9" s="142"/>
      <c r="O9" s="126"/>
      <c r="P9" s="59" t="s">
        <v>409</v>
      </c>
      <c r="Q9" s="64"/>
      <c r="R9" s="216" t="s">
        <v>410</v>
      </c>
      <c r="S9" s="217" t="s">
        <v>411</v>
      </c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</row>
    <row r="10">
      <c r="A10" s="138">
        <f t="shared" si="2"/>
        <v>6</v>
      </c>
      <c r="B10" s="60" t="s">
        <v>412</v>
      </c>
      <c r="C10" s="66"/>
      <c r="D10" s="69"/>
      <c r="E10" s="70" t="s">
        <v>50</v>
      </c>
      <c r="F10" s="59" t="s">
        <v>413</v>
      </c>
      <c r="G10" s="219" t="s">
        <v>158</v>
      </c>
      <c r="H10" s="72"/>
      <c r="I10" s="139"/>
      <c r="J10" s="220" t="s">
        <v>28</v>
      </c>
      <c r="K10" s="220" t="s">
        <v>28</v>
      </c>
      <c r="L10" s="148" t="s">
        <v>83</v>
      </c>
      <c r="M10" s="139" t="s">
        <v>340</v>
      </c>
      <c r="N10" s="142">
        <v>1.0</v>
      </c>
      <c r="O10" s="126"/>
      <c r="P10" s="59"/>
      <c r="Q10" s="64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</row>
    <row r="11" ht="30.0" customHeight="1">
      <c r="A11" s="138">
        <f t="shared" si="2"/>
        <v>7</v>
      </c>
      <c r="B11" s="60" t="s">
        <v>414</v>
      </c>
      <c r="C11" s="66"/>
      <c r="D11" s="69"/>
      <c r="E11" s="73" t="s">
        <v>59</v>
      </c>
      <c r="F11" s="63" t="s">
        <v>415</v>
      </c>
      <c r="G11" s="59" t="s">
        <v>391</v>
      </c>
      <c r="H11" s="59"/>
      <c r="I11" s="141"/>
      <c r="J11" s="220" t="s">
        <v>416</v>
      </c>
      <c r="K11" s="221" t="s">
        <v>417</v>
      </c>
      <c r="L11" s="159" t="s">
        <v>394</v>
      </c>
      <c r="M11" s="220" t="s">
        <v>395</v>
      </c>
      <c r="N11" s="142">
        <v>1.0</v>
      </c>
      <c r="O11" s="126"/>
      <c r="P11" s="59"/>
      <c r="Q11" s="59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</row>
    <row r="12">
      <c r="A12" s="138">
        <f t="shared" si="2"/>
        <v>8</v>
      </c>
      <c r="B12" s="60" t="s">
        <v>58</v>
      </c>
      <c r="C12" s="66"/>
      <c r="D12" s="69"/>
      <c r="E12" s="73" t="s">
        <v>59</v>
      </c>
      <c r="F12" s="144"/>
      <c r="G12" s="144"/>
      <c r="H12" s="63"/>
      <c r="I12" s="141"/>
      <c r="J12" s="141" t="s">
        <v>205</v>
      </c>
      <c r="K12" s="158" t="s">
        <v>206</v>
      </c>
      <c r="L12" s="159" t="s">
        <v>203</v>
      </c>
      <c r="M12" s="141" t="s">
        <v>207</v>
      </c>
      <c r="N12" s="222"/>
      <c r="O12" s="126"/>
      <c r="P12" s="59" t="s">
        <v>418</v>
      </c>
      <c r="Q12" s="59"/>
      <c r="R12" s="216" t="s">
        <v>419</v>
      </c>
      <c r="S12" s="217" t="s">
        <v>420</v>
      </c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</row>
    <row r="13" ht="42.75" customHeight="1">
      <c r="A13" s="138">
        <f t="shared" si="2"/>
        <v>9</v>
      </c>
      <c r="B13" s="60" t="s">
        <v>421</v>
      </c>
      <c r="C13" s="66"/>
      <c r="D13" s="69"/>
      <c r="E13" s="71" t="s">
        <v>68</v>
      </c>
      <c r="F13" s="59" t="s">
        <v>422</v>
      </c>
      <c r="G13" s="59" t="s">
        <v>423</v>
      </c>
      <c r="H13" s="59"/>
      <c r="I13" s="141"/>
      <c r="J13" s="141" t="s">
        <v>424</v>
      </c>
      <c r="K13" s="223" t="s">
        <v>425</v>
      </c>
      <c r="L13" s="159" t="s">
        <v>422</v>
      </c>
      <c r="M13" s="141" t="s">
        <v>426</v>
      </c>
      <c r="N13" s="142">
        <v>1.0</v>
      </c>
      <c r="O13" s="126"/>
      <c r="P13" s="59"/>
      <c r="Q13" s="64"/>
      <c r="R13" s="216" t="s">
        <v>427</v>
      </c>
      <c r="S13" s="217" t="s">
        <v>428</v>
      </c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</row>
    <row r="14" ht="42.75" customHeight="1">
      <c r="A14" s="138">
        <f t="shared" si="2"/>
        <v>10</v>
      </c>
      <c r="B14" s="141" t="s">
        <v>429</v>
      </c>
      <c r="C14" s="140">
        <v>5.0</v>
      </c>
      <c r="D14" s="69"/>
      <c r="E14" s="71" t="s">
        <v>98</v>
      </c>
      <c r="F14" s="59" t="s">
        <v>422</v>
      </c>
      <c r="G14" s="59" t="s">
        <v>423</v>
      </c>
      <c r="H14" s="59"/>
      <c r="I14" s="141"/>
      <c r="J14" s="141" t="s">
        <v>424</v>
      </c>
      <c r="K14" s="139" t="s">
        <v>425</v>
      </c>
      <c r="L14" s="141" t="s">
        <v>422</v>
      </c>
      <c r="M14" s="141" t="s">
        <v>426</v>
      </c>
      <c r="N14" s="142">
        <v>1.0</v>
      </c>
      <c r="O14" s="142">
        <v>1.0</v>
      </c>
      <c r="P14" s="59"/>
      <c r="Q14" s="59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</row>
    <row r="15" ht="30.75" customHeight="1">
      <c r="A15" s="138">
        <f t="shared" si="2"/>
        <v>11</v>
      </c>
      <c r="B15" s="141" t="s">
        <v>430</v>
      </c>
      <c r="C15" s="140">
        <v>5.0</v>
      </c>
      <c r="D15" s="69"/>
      <c r="E15" s="71" t="s">
        <v>33</v>
      </c>
      <c r="F15" s="59" t="s">
        <v>431</v>
      </c>
      <c r="G15" s="59" t="s">
        <v>432</v>
      </c>
      <c r="H15" s="59"/>
      <c r="I15" s="141"/>
      <c r="J15" s="141" t="s">
        <v>433</v>
      </c>
      <c r="K15" s="224" t="s">
        <v>434</v>
      </c>
      <c r="L15" s="159" t="s">
        <v>435</v>
      </c>
      <c r="M15" s="141" t="s">
        <v>436</v>
      </c>
      <c r="N15" s="142">
        <v>1.0</v>
      </c>
      <c r="O15" s="142">
        <v>1.0</v>
      </c>
      <c r="P15" s="59"/>
      <c r="Q15" s="59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</row>
    <row r="16">
      <c r="A16" s="138">
        <f t="shared" si="2"/>
        <v>12</v>
      </c>
      <c r="B16" s="60" t="s">
        <v>437</v>
      </c>
      <c r="C16" s="154">
        <v>5.0</v>
      </c>
      <c r="D16" s="69"/>
      <c r="E16" s="71" t="s">
        <v>98</v>
      </c>
      <c r="F16" s="59" t="s">
        <v>438</v>
      </c>
      <c r="G16" s="59" t="s">
        <v>391</v>
      </c>
      <c r="H16" s="59"/>
      <c r="I16" s="141"/>
      <c r="J16" s="141" t="s">
        <v>439</v>
      </c>
      <c r="K16" s="139" t="s">
        <v>440</v>
      </c>
      <c r="L16" s="141" t="s">
        <v>441</v>
      </c>
      <c r="M16" s="141" t="s">
        <v>442</v>
      </c>
      <c r="N16" s="142">
        <v>1.0</v>
      </c>
      <c r="O16" s="142"/>
      <c r="P16" s="59" t="s">
        <v>192</v>
      </c>
      <c r="Q16" s="59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</row>
    <row r="17" ht="31.5" customHeight="1">
      <c r="A17" s="138">
        <f t="shared" si="2"/>
        <v>13</v>
      </c>
      <c r="B17" s="60" t="s">
        <v>60</v>
      </c>
      <c r="C17" s="66"/>
      <c r="D17" s="69"/>
      <c r="E17" s="71" t="s">
        <v>61</v>
      </c>
      <c r="F17" s="225" t="s">
        <v>443</v>
      </c>
      <c r="G17" s="226" t="s">
        <v>146</v>
      </c>
      <c r="H17" s="59"/>
      <c r="I17" s="141"/>
      <c r="J17" s="141" t="s">
        <v>444</v>
      </c>
      <c r="K17" s="139" t="s">
        <v>445</v>
      </c>
      <c r="L17" s="141" t="s">
        <v>443</v>
      </c>
      <c r="M17" s="141" t="s">
        <v>371</v>
      </c>
      <c r="N17" s="227"/>
      <c r="O17" s="126"/>
      <c r="P17" s="59" t="s">
        <v>446</v>
      </c>
      <c r="Q17" s="59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</row>
    <row r="18" ht="30.75" customHeight="1">
      <c r="A18" s="138">
        <f t="shared" si="2"/>
        <v>14</v>
      </c>
      <c r="B18" s="141" t="s">
        <v>447</v>
      </c>
      <c r="C18" s="140">
        <v>5.0</v>
      </c>
      <c r="D18" s="69"/>
      <c r="E18" s="71" t="s">
        <v>37</v>
      </c>
      <c r="F18" s="73" t="s">
        <v>83</v>
      </c>
      <c r="G18" s="67" t="s">
        <v>158</v>
      </c>
      <c r="H18" s="67"/>
      <c r="I18" s="204"/>
      <c r="J18" s="204" t="s">
        <v>48</v>
      </c>
      <c r="K18" s="209" t="s">
        <v>159</v>
      </c>
      <c r="L18" s="148" t="s">
        <v>83</v>
      </c>
      <c r="M18" s="139" t="s">
        <v>340</v>
      </c>
      <c r="N18" s="142">
        <v>1.0</v>
      </c>
      <c r="O18" s="142">
        <v>1.0</v>
      </c>
      <c r="P18" s="59"/>
      <c r="Q18" s="219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</row>
    <row r="19" ht="33.0" customHeight="1">
      <c r="A19" s="138">
        <f t="shared" si="2"/>
        <v>15</v>
      </c>
      <c r="B19" s="141" t="s">
        <v>448</v>
      </c>
      <c r="C19" s="140">
        <v>5.0</v>
      </c>
      <c r="D19" s="69"/>
      <c r="E19" s="71" t="s">
        <v>28</v>
      </c>
      <c r="F19" s="228" t="s">
        <v>83</v>
      </c>
      <c r="G19" s="67" t="s">
        <v>158</v>
      </c>
      <c r="H19" s="67"/>
      <c r="I19" s="204"/>
      <c r="J19" s="204" t="s">
        <v>48</v>
      </c>
      <c r="K19" s="209" t="s">
        <v>159</v>
      </c>
      <c r="L19" s="148" t="s">
        <v>83</v>
      </c>
      <c r="M19" s="139" t="s">
        <v>340</v>
      </c>
      <c r="N19" s="142">
        <v>1.0</v>
      </c>
      <c r="O19" s="142">
        <v>1.0</v>
      </c>
      <c r="P19" s="59"/>
      <c r="Q19" s="219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</row>
    <row r="20" ht="49.5" customHeight="1">
      <c r="A20" s="138">
        <f t="shared" si="2"/>
        <v>16</v>
      </c>
      <c r="B20" s="141" t="s">
        <v>449</v>
      </c>
      <c r="C20" s="140">
        <v>5.0</v>
      </c>
      <c r="D20" s="69"/>
      <c r="E20" s="71" t="s">
        <v>57</v>
      </c>
      <c r="F20" s="97" t="s">
        <v>450</v>
      </c>
      <c r="G20" s="97" t="s">
        <v>451</v>
      </c>
      <c r="H20" s="59"/>
      <c r="I20" s="141"/>
      <c r="J20" s="139" t="s">
        <v>452</v>
      </c>
      <c r="K20" s="204" t="s">
        <v>453</v>
      </c>
      <c r="L20" s="141" t="s">
        <v>454</v>
      </c>
      <c r="M20" s="139" t="s">
        <v>455</v>
      </c>
      <c r="N20" s="142">
        <v>1.0</v>
      </c>
      <c r="O20" s="142">
        <v>1.0</v>
      </c>
      <c r="P20" s="59"/>
      <c r="Q20" s="219"/>
      <c r="R20" s="216" t="s">
        <v>456</v>
      </c>
      <c r="S20" s="229" t="s">
        <v>457</v>
      </c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</row>
    <row r="21" ht="33.75" customHeight="1">
      <c r="A21" s="138">
        <f t="shared" si="2"/>
        <v>17</v>
      </c>
      <c r="B21" s="60" t="s">
        <v>62</v>
      </c>
      <c r="C21" s="66"/>
      <c r="D21" s="69"/>
      <c r="E21" s="71" t="s">
        <v>63</v>
      </c>
      <c r="F21" s="228" t="s">
        <v>83</v>
      </c>
      <c r="G21" s="219"/>
      <c r="H21" s="59"/>
      <c r="I21" s="141"/>
      <c r="J21" s="204" t="s">
        <v>48</v>
      </c>
      <c r="K21" s="209" t="s">
        <v>159</v>
      </c>
      <c r="L21" s="148" t="s">
        <v>83</v>
      </c>
      <c r="M21" s="139" t="s">
        <v>340</v>
      </c>
      <c r="N21" s="142">
        <v>1.0</v>
      </c>
      <c r="O21" s="142"/>
      <c r="P21" s="59" t="s">
        <v>458</v>
      </c>
      <c r="Q21" s="219"/>
      <c r="R21" s="216" t="s">
        <v>459</v>
      </c>
      <c r="S21" s="229" t="s">
        <v>460</v>
      </c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</row>
    <row r="22" ht="46.5" customHeight="1">
      <c r="A22" s="138">
        <f t="shared" si="2"/>
        <v>18</v>
      </c>
      <c r="B22" s="141" t="s">
        <v>461</v>
      </c>
      <c r="C22" s="140">
        <v>5.0</v>
      </c>
      <c r="D22" s="69"/>
      <c r="E22" s="71" t="s">
        <v>98</v>
      </c>
      <c r="F22" s="59" t="s">
        <v>462</v>
      </c>
      <c r="G22" s="219" t="s">
        <v>463</v>
      </c>
      <c r="H22" s="72"/>
      <c r="I22" s="139"/>
      <c r="J22" s="139" t="s">
        <v>464</v>
      </c>
      <c r="K22" s="204" t="s">
        <v>465</v>
      </c>
      <c r="L22" s="141" t="s">
        <v>462</v>
      </c>
      <c r="M22" s="139" t="s">
        <v>466</v>
      </c>
      <c r="N22" s="142">
        <v>1.0</v>
      </c>
      <c r="O22" s="142">
        <v>1.0</v>
      </c>
      <c r="P22" s="59"/>
      <c r="Q22" s="219"/>
      <c r="R22" s="216" t="s">
        <v>467</v>
      </c>
      <c r="S22" s="229" t="s">
        <v>468</v>
      </c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</row>
    <row r="23" ht="54.75" customHeight="1">
      <c r="A23" s="138">
        <f t="shared" si="2"/>
        <v>19</v>
      </c>
      <c r="B23" s="60" t="s">
        <v>64</v>
      </c>
      <c r="C23" s="66"/>
      <c r="D23" s="69"/>
      <c r="E23" s="71" t="s">
        <v>65</v>
      </c>
      <c r="F23" s="59" t="s">
        <v>469</v>
      </c>
      <c r="G23" s="219" t="s">
        <v>470</v>
      </c>
      <c r="H23" s="72"/>
      <c r="I23" s="139"/>
      <c r="J23" s="139" t="s">
        <v>471</v>
      </c>
      <c r="K23" s="204" t="s">
        <v>472</v>
      </c>
      <c r="L23" s="141" t="s">
        <v>469</v>
      </c>
      <c r="M23" s="139" t="s">
        <v>473</v>
      </c>
      <c r="N23" s="227"/>
      <c r="O23" s="126"/>
      <c r="P23" s="59" t="s">
        <v>446</v>
      </c>
      <c r="Q23" s="219"/>
      <c r="R23" s="216" t="s">
        <v>474</v>
      </c>
      <c r="S23" s="217" t="s">
        <v>475</v>
      </c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</row>
    <row r="24" ht="30.0" customHeight="1">
      <c r="A24" s="138">
        <f t="shared" si="2"/>
        <v>20</v>
      </c>
      <c r="B24" s="60" t="s">
        <v>476</v>
      </c>
      <c r="C24" s="66"/>
      <c r="D24" s="69"/>
      <c r="E24" s="71" t="s">
        <v>24</v>
      </c>
      <c r="F24" s="59" t="s">
        <v>83</v>
      </c>
      <c r="G24" s="59" t="s">
        <v>158</v>
      </c>
      <c r="H24" s="72"/>
      <c r="I24" s="139"/>
      <c r="J24" s="139" t="s">
        <v>24</v>
      </c>
      <c r="K24" s="204" t="s">
        <v>477</v>
      </c>
      <c r="L24" s="148" t="s">
        <v>83</v>
      </c>
      <c r="M24" s="139" t="s">
        <v>478</v>
      </c>
      <c r="N24" s="142">
        <v>1.0</v>
      </c>
      <c r="O24" s="126"/>
      <c r="P24" s="180"/>
      <c r="Q24" s="219"/>
      <c r="R24" s="216" t="s">
        <v>479</v>
      </c>
      <c r="S24" s="217" t="s">
        <v>480</v>
      </c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</row>
    <row r="25" ht="31.5" customHeight="1">
      <c r="A25" s="138">
        <f t="shared" si="2"/>
        <v>21</v>
      </c>
      <c r="B25" s="141" t="s">
        <v>481</v>
      </c>
      <c r="C25" s="140">
        <v>5.0</v>
      </c>
      <c r="D25" s="69"/>
      <c r="E25" s="71" t="s">
        <v>28</v>
      </c>
      <c r="F25" s="73" t="s">
        <v>83</v>
      </c>
      <c r="G25" s="67" t="s">
        <v>158</v>
      </c>
      <c r="H25" s="67"/>
      <c r="I25" s="204"/>
      <c r="J25" s="204" t="s">
        <v>48</v>
      </c>
      <c r="K25" s="209" t="s">
        <v>159</v>
      </c>
      <c r="L25" s="148" t="s">
        <v>83</v>
      </c>
      <c r="M25" s="139" t="s">
        <v>340</v>
      </c>
      <c r="N25" s="142">
        <v>1.0</v>
      </c>
      <c r="O25" s="142">
        <v>1.0</v>
      </c>
      <c r="P25" s="59"/>
      <c r="Q25" s="219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</row>
    <row r="26" ht="24.0" customHeight="1">
      <c r="A26" s="162">
        <v>46147.0</v>
      </c>
      <c r="B26" s="230" t="s">
        <v>126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64"/>
      <c r="O26" s="161"/>
      <c r="P26" s="180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64"/>
      <c r="O27" s="161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64"/>
      <c r="O28" s="161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64"/>
      <c r="O29" s="161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64"/>
      <c r="O30" s="161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64"/>
      <c r="O31" s="161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64"/>
      <c r="O32" s="161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64"/>
      <c r="O33" s="161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64"/>
      <c r="O34" s="161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64"/>
      <c r="O35" s="161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64"/>
      <c r="O36" s="161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64"/>
      <c r="O37" s="161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64"/>
      <c r="O38" s="161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64"/>
      <c r="O39" s="161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64"/>
      <c r="O40" s="161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64"/>
      <c r="O41" s="161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64"/>
      <c r="O42" s="161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64"/>
      <c r="O43" s="161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64"/>
      <c r="O44" s="161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64"/>
      <c r="O45" s="161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64"/>
      <c r="O46" s="161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64"/>
      <c r="O47" s="161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64"/>
      <c r="O48" s="161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64"/>
      <c r="O49" s="161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64"/>
      <c r="O50" s="161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64"/>
      <c r="O51" s="161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64"/>
      <c r="O52" s="161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64"/>
      <c r="O53" s="161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64"/>
      <c r="O54" s="161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64"/>
      <c r="O55" s="161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64"/>
      <c r="O56" s="161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64"/>
      <c r="O57" s="161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64"/>
      <c r="O58" s="161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64"/>
      <c r="O59" s="161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64"/>
      <c r="O60" s="161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64"/>
      <c r="O61" s="161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64"/>
      <c r="O62" s="161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64"/>
      <c r="O63" s="161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64"/>
      <c r="O64" s="161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64"/>
      <c r="O65" s="161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64"/>
      <c r="O66" s="161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64"/>
      <c r="O67" s="161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64"/>
      <c r="O68" s="161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64"/>
      <c r="O69" s="161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64"/>
      <c r="O70" s="161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64"/>
      <c r="O71" s="161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64"/>
      <c r="O72" s="161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64"/>
      <c r="O73" s="161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64"/>
      <c r="O74" s="161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64"/>
      <c r="O75" s="161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64"/>
      <c r="O76" s="161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64"/>
      <c r="O77" s="161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64"/>
      <c r="O78" s="161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64"/>
      <c r="O79" s="161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64"/>
      <c r="O80" s="161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64"/>
      <c r="O81" s="161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64"/>
      <c r="O82" s="161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64"/>
      <c r="O83" s="161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64"/>
      <c r="O84" s="161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64"/>
      <c r="O85" s="161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64"/>
      <c r="O86" s="161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64"/>
      <c r="O87" s="161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64"/>
      <c r="O88" s="161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64"/>
      <c r="O89" s="161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64"/>
      <c r="O90" s="161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64"/>
      <c r="O91" s="161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64"/>
      <c r="O92" s="161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64"/>
      <c r="O93" s="161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64"/>
      <c r="O94" s="161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64"/>
      <c r="O95" s="161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64"/>
      <c r="O96" s="161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64"/>
      <c r="O97" s="161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64"/>
      <c r="O98" s="161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64"/>
      <c r="O99" s="161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64"/>
      <c r="O100" s="161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64"/>
      <c r="O101" s="161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64"/>
      <c r="O102" s="161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64"/>
      <c r="O103" s="161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64"/>
      <c r="O104" s="161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64"/>
      <c r="O105" s="161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64"/>
      <c r="O106" s="161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64"/>
      <c r="O107" s="161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64"/>
      <c r="O108" s="161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64"/>
      <c r="O109" s="161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64"/>
      <c r="O110" s="161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64"/>
      <c r="O111" s="161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64"/>
      <c r="O112" s="161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64"/>
      <c r="O113" s="161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64"/>
      <c r="O114" s="161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64"/>
      <c r="O115" s="161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64"/>
      <c r="O116" s="161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64"/>
      <c r="O117" s="161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64"/>
      <c r="O118" s="161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64"/>
      <c r="O119" s="161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64"/>
      <c r="O120" s="161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64"/>
      <c r="O121" s="161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64"/>
      <c r="O122" s="161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64"/>
      <c r="O123" s="161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64"/>
      <c r="O124" s="161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64"/>
      <c r="O125" s="161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64"/>
      <c r="O126" s="161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64"/>
      <c r="O127" s="161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64"/>
      <c r="O128" s="161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64"/>
      <c r="O129" s="161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64"/>
      <c r="O130" s="161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64"/>
      <c r="O131" s="161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64"/>
      <c r="O132" s="161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64"/>
      <c r="O133" s="161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64"/>
      <c r="O134" s="161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64"/>
      <c r="O135" s="161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64"/>
      <c r="O136" s="161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64"/>
      <c r="O137" s="161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64"/>
      <c r="O138" s="161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64"/>
      <c r="O139" s="161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64"/>
      <c r="O140" s="161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64"/>
      <c r="O141" s="161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64"/>
      <c r="O142" s="161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64"/>
      <c r="O143" s="161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64"/>
      <c r="O144" s="161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64"/>
      <c r="O145" s="161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64"/>
      <c r="O146" s="161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64"/>
      <c r="O147" s="161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64"/>
      <c r="O148" s="161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64"/>
      <c r="O149" s="161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64"/>
      <c r="O150" s="161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64"/>
      <c r="O151" s="161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64"/>
      <c r="O152" s="161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64"/>
      <c r="O153" s="161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64"/>
      <c r="O154" s="161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64"/>
      <c r="O155" s="161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64"/>
      <c r="O156" s="161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64"/>
      <c r="O157" s="161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64"/>
      <c r="O158" s="161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64"/>
      <c r="O159" s="161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64"/>
      <c r="O160" s="161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64"/>
      <c r="O161" s="161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64"/>
      <c r="O162" s="161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64"/>
      <c r="O163" s="161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64"/>
      <c r="O164" s="161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64"/>
      <c r="O165" s="161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64"/>
      <c r="O166" s="161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64"/>
      <c r="O167" s="161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64"/>
      <c r="O168" s="161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64"/>
      <c r="O169" s="161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64"/>
      <c r="O170" s="161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64"/>
      <c r="O171" s="161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64"/>
      <c r="O172" s="161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64"/>
      <c r="O173" s="161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64"/>
      <c r="O174" s="161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64"/>
      <c r="O175" s="161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64"/>
      <c r="O176" s="161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64"/>
      <c r="O177" s="161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64"/>
      <c r="O178" s="161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64"/>
      <c r="O179" s="161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64"/>
      <c r="O180" s="161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64"/>
      <c r="O181" s="161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64"/>
      <c r="O182" s="161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64"/>
      <c r="O183" s="161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64"/>
      <c r="O184" s="161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64"/>
      <c r="O185" s="161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64"/>
      <c r="O186" s="161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64"/>
      <c r="O187" s="161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64"/>
      <c r="O188" s="161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64"/>
      <c r="O189" s="161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64"/>
      <c r="O190" s="161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64"/>
      <c r="O191" s="161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64"/>
      <c r="O192" s="161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64"/>
      <c r="O193" s="161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64"/>
      <c r="O194" s="161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64"/>
      <c r="O195" s="161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64"/>
      <c r="O196" s="161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64"/>
      <c r="O197" s="161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64"/>
      <c r="O198" s="161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64"/>
      <c r="O199" s="161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64"/>
      <c r="O200" s="161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64"/>
      <c r="O201" s="161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64"/>
      <c r="O202" s="161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64"/>
      <c r="O203" s="161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64"/>
      <c r="O204" s="161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64"/>
      <c r="O205" s="161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64"/>
      <c r="O206" s="161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64"/>
      <c r="O207" s="161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64"/>
      <c r="O208" s="161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64"/>
      <c r="O209" s="161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64"/>
      <c r="O210" s="161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64"/>
      <c r="O211" s="161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64"/>
      <c r="O212" s="161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64"/>
      <c r="O213" s="161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64"/>
      <c r="O214" s="161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64"/>
      <c r="O215" s="161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64"/>
      <c r="O216" s="161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64"/>
      <c r="O217" s="161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64"/>
      <c r="O218" s="161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64"/>
      <c r="O219" s="161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64"/>
      <c r="O220" s="161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64"/>
      <c r="O221" s="161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64"/>
      <c r="O222" s="161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64"/>
      <c r="O223" s="161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64"/>
      <c r="O224" s="161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64"/>
      <c r="O225" s="161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64"/>
      <c r="O226" s="161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64"/>
      <c r="O227" s="161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64"/>
      <c r="O228" s="161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64"/>
      <c r="O229" s="161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64"/>
      <c r="O230" s="161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64"/>
      <c r="O231" s="161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64"/>
      <c r="O232" s="161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64"/>
      <c r="O233" s="161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64"/>
      <c r="O234" s="161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64"/>
      <c r="O235" s="161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64"/>
      <c r="O236" s="161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64"/>
      <c r="O237" s="161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64"/>
      <c r="O238" s="161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64"/>
      <c r="O239" s="161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64"/>
      <c r="O240" s="161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64"/>
      <c r="O241" s="161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64"/>
      <c r="O242" s="161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64"/>
      <c r="O243" s="161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64"/>
      <c r="O244" s="161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64"/>
      <c r="O245" s="161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/>
      <c r="AR245" s="118"/>
      <c r="AS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64"/>
      <c r="O246" s="161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64"/>
      <c r="O247" s="161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64"/>
      <c r="O248" s="161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64"/>
      <c r="O249" s="161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AQ249" s="118"/>
      <c r="AR249" s="118"/>
      <c r="AS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64"/>
      <c r="O250" s="161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64"/>
      <c r="O251" s="161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/>
      <c r="AS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64"/>
      <c r="O252" s="161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AQ252" s="118"/>
      <c r="AR252" s="118"/>
      <c r="AS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64"/>
      <c r="O253" s="161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64"/>
      <c r="O254" s="161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64"/>
      <c r="O255" s="161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64"/>
      <c r="O256" s="161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64"/>
      <c r="O257" s="161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64"/>
      <c r="O258" s="161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64"/>
      <c r="O259" s="161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/>
      <c r="AR259" s="118"/>
      <c r="AS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64"/>
      <c r="O260" s="161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64"/>
      <c r="O261" s="161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AQ261" s="118"/>
      <c r="AR261" s="118"/>
      <c r="AS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64"/>
      <c r="O262" s="161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118"/>
      <c r="AQ262" s="118"/>
      <c r="AR262" s="118"/>
      <c r="AS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64"/>
      <c r="O263" s="161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  <c r="AL263" s="118"/>
      <c r="AM263" s="118"/>
      <c r="AN263" s="118"/>
      <c r="AO263" s="118"/>
      <c r="AP263" s="118"/>
      <c r="AQ263" s="118"/>
      <c r="AR263" s="118"/>
      <c r="AS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64"/>
      <c r="O264" s="161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AQ264" s="118"/>
      <c r="AR264" s="118"/>
      <c r="AS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64"/>
      <c r="O265" s="161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AQ265" s="118"/>
      <c r="AR265" s="118"/>
      <c r="AS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64"/>
      <c r="O266" s="161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AQ266" s="118"/>
      <c r="AR266" s="118"/>
      <c r="AS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64"/>
      <c r="O267" s="161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AQ267" s="118"/>
      <c r="AR267" s="118"/>
      <c r="AS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64"/>
      <c r="O268" s="161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AQ268" s="118"/>
      <c r="AR268" s="118"/>
      <c r="AS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64"/>
      <c r="O269" s="161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64"/>
      <c r="O270" s="161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AQ270" s="118"/>
      <c r="AR270" s="118"/>
      <c r="AS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64"/>
      <c r="O271" s="161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64"/>
      <c r="O272" s="161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  <c r="AK272" s="118"/>
      <c r="AL272" s="118"/>
      <c r="AM272" s="118"/>
      <c r="AN272" s="118"/>
      <c r="AO272" s="118"/>
      <c r="AP272" s="118"/>
      <c r="AQ272" s="118"/>
      <c r="AR272" s="118"/>
      <c r="AS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64"/>
      <c r="O273" s="161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64"/>
      <c r="O274" s="161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  <c r="AL274" s="118"/>
      <c r="AM274" s="118"/>
      <c r="AN274" s="118"/>
      <c r="AO274" s="118"/>
      <c r="AP274" s="118"/>
      <c r="AQ274" s="118"/>
      <c r="AR274" s="118"/>
      <c r="AS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64"/>
      <c r="O275" s="161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  <c r="AL275" s="118"/>
      <c r="AM275" s="118"/>
      <c r="AN275" s="118"/>
      <c r="AO275" s="118"/>
      <c r="AP275" s="118"/>
      <c r="AQ275" s="118"/>
      <c r="AR275" s="118"/>
      <c r="AS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64"/>
      <c r="O276" s="161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64"/>
      <c r="O277" s="161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  <c r="AL277" s="118"/>
      <c r="AM277" s="118"/>
      <c r="AN277" s="118"/>
      <c r="AO277" s="118"/>
      <c r="AP277" s="118"/>
      <c r="AQ277" s="118"/>
      <c r="AR277" s="118"/>
      <c r="AS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64"/>
      <c r="O278" s="161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64"/>
      <c r="O279" s="161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64"/>
      <c r="O280" s="161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64"/>
      <c r="O281" s="161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64"/>
      <c r="O282" s="161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64"/>
      <c r="O283" s="161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64"/>
      <c r="O284" s="161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64"/>
      <c r="O285" s="161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64"/>
      <c r="O286" s="161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64"/>
      <c r="O287" s="161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64"/>
      <c r="O288" s="161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64"/>
      <c r="O289" s="161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64"/>
      <c r="O290" s="161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64"/>
      <c r="O291" s="161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64"/>
      <c r="O292" s="161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64"/>
      <c r="O293" s="161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64"/>
      <c r="O294" s="161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64"/>
      <c r="O295" s="161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64"/>
      <c r="O296" s="161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64"/>
      <c r="O297" s="161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64"/>
      <c r="O298" s="161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  <c r="AL298" s="118"/>
      <c r="AM298" s="118"/>
      <c r="AN298" s="118"/>
      <c r="AO298" s="118"/>
      <c r="AP298" s="118"/>
      <c r="AQ298" s="118"/>
      <c r="AR298" s="118"/>
      <c r="AS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64"/>
      <c r="O299" s="161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  <c r="AL299" s="118"/>
      <c r="AM299" s="118"/>
      <c r="AN299" s="118"/>
      <c r="AO299" s="118"/>
      <c r="AP299" s="118"/>
      <c r="AQ299" s="118"/>
      <c r="AR299" s="118"/>
      <c r="AS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64"/>
      <c r="O300" s="161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  <c r="AL300" s="118"/>
      <c r="AM300" s="118"/>
      <c r="AN300" s="118"/>
      <c r="AO300" s="118"/>
      <c r="AP300" s="118"/>
      <c r="AQ300" s="118"/>
      <c r="AR300" s="118"/>
      <c r="AS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64"/>
      <c r="O301" s="161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/>
      <c r="AO301" s="118"/>
      <c r="AP301" s="118"/>
      <c r="AQ301" s="118"/>
      <c r="AR301" s="118"/>
      <c r="AS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64"/>
      <c r="O302" s="161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  <c r="AL302" s="118"/>
      <c r="AM302" s="118"/>
      <c r="AN302" s="118"/>
      <c r="AO302" s="118"/>
      <c r="AP302" s="118"/>
      <c r="AQ302" s="118"/>
      <c r="AR302" s="118"/>
      <c r="AS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64"/>
      <c r="O303" s="161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64"/>
      <c r="O304" s="161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  <c r="AO304" s="118"/>
      <c r="AP304" s="118"/>
      <c r="AQ304" s="118"/>
      <c r="AR304" s="118"/>
      <c r="AS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64"/>
      <c r="O305" s="161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64"/>
      <c r="O306" s="161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64"/>
      <c r="O307" s="161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64"/>
      <c r="O308" s="161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64"/>
      <c r="O309" s="161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64"/>
      <c r="O310" s="161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64"/>
      <c r="O311" s="161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64"/>
      <c r="O312" s="161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64"/>
      <c r="O313" s="161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64"/>
      <c r="O314" s="161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64"/>
      <c r="O315" s="161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64"/>
      <c r="O316" s="161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64"/>
      <c r="O317" s="161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64"/>
      <c r="O318" s="161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64"/>
      <c r="O319" s="161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64"/>
      <c r="O320" s="161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64"/>
      <c r="O321" s="161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  <c r="AL321" s="118"/>
      <c r="AM321" s="118"/>
      <c r="AN321" s="118"/>
      <c r="AO321" s="118"/>
      <c r="AP321" s="118"/>
      <c r="AQ321" s="118"/>
      <c r="AR321" s="118"/>
      <c r="AS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64"/>
      <c r="O322" s="161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  <c r="AL322" s="118"/>
      <c r="AM322" s="118"/>
      <c r="AN322" s="118"/>
      <c r="AO322" s="118"/>
      <c r="AP322" s="118"/>
      <c r="AQ322" s="118"/>
      <c r="AR322" s="118"/>
      <c r="AS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64"/>
      <c r="O323" s="161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8"/>
      <c r="AJ323" s="118"/>
      <c r="AK323" s="118"/>
      <c r="AL323" s="118"/>
      <c r="AM323" s="118"/>
      <c r="AN323" s="118"/>
      <c r="AO323" s="118"/>
      <c r="AP323" s="118"/>
      <c r="AQ323" s="118"/>
      <c r="AR323" s="118"/>
      <c r="AS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64"/>
      <c r="O324" s="161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64"/>
      <c r="O325" s="161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64"/>
      <c r="O326" s="161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64"/>
      <c r="O327" s="161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8"/>
      <c r="AJ327" s="118"/>
      <c r="AK327" s="118"/>
      <c r="AL327" s="118"/>
      <c r="AM327" s="118"/>
      <c r="AN327" s="118"/>
      <c r="AO327" s="118"/>
      <c r="AP327" s="118"/>
      <c r="AQ327" s="118"/>
      <c r="AR327" s="118"/>
      <c r="AS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64"/>
      <c r="O328" s="161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8"/>
      <c r="AN328" s="118"/>
      <c r="AO328" s="118"/>
      <c r="AP328" s="118"/>
      <c r="AQ328" s="118"/>
      <c r="AR328" s="118"/>
      <c r="AS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64"/>
      <c r="O329" s="161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64"/>
      <c r="O330" s="161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64"/>
      <c r="O331" s="161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64"/>
      <c r="O332" s="161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  <c r="AL332" s="118"/>
      <c r="AM332" s="118"/>
      <c r="AN332" s="118"/>
      <c r="AO332" s="118"/>
      <c r="AP332" s="118"/>
      <c r="AQ332" s="118"/>
      <c r="AR332" s="118"/>
      <c r="AS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64"/>
      <c r="O333" s="161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  <c r="AL333" s="118"/>
      <c r="AM333" s="118"/>
      <c r="AN333" s="118"/>
      <c r="AO333" s="118"/>
      <c r="AP333" s="118"/>
      <c r="AQ333" s="118"/>
      <c r="AR333" s="118"/>
      <c r="AS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64"/>
      <c r="O334" s="161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8"/>
      <c r="AJ334" s="118"/>
      <c r="AK334" s="118"/>
      <c r="AL334" s="118"/>
      <c r="AM334" s="118"/>
      <c r="AN334" s="118"/>
      <c r="AO334" s="118"/>
      <c r="AP334" s="118"/>
      <c r="AQ334" s="118"/>
      <c r="AR334" s="118"/>
      <c r="AS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64"/>
      <c r="O335" s="161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8"/>
      <c r="AJ335" s="118"/>
      <c r="AK335" s="118"/>
      <c r="AL335" s="118"/>
      <c r="AM335" s="118"/>
      <c r="AN335" s="118"/>
      <c r="AO335" s="118"/>
      <c r="AP335" s="118"/>
      <c r="AQ335" s="118"/>
      <c r="AR335" s="118"/>
      <c r="AS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64"/>
      <c r="O336" s="161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8"/>
      <c r="AJ336" s="118"/>
      <c r="AK336" s="118"/>
      <c r="AL336" s="118"/>
      <c r="AM336" s="118"/>
      <c r="AN336" s="118"/>
      <c r="AO336" s="118"/>
      <c r="AP336" s="118"/>
      <c r="AQ336" s="118"/>
      <c r="AR336" s="118"/>
      <c r="AS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64"/>
      <c r="O337" s="161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  <c r="AI337" s="118"/>
      <c r="AJ337" s="118"/>
      <c r="AK337" s="118"/>
      <c r="AL337" s="118"/>
      <c r="AM337" s="118"/>
      <c r="AN337" s="118"/>
      <c r="AO337" s="118"/>
      <c r="AP337" s="118"/>
      <c r="AQ337" s="118"/>
      <c r="AR337" s="118"/>
      <c r="AS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64"/>
      <c r="O338" s="161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64"/>
      <c r="O339" s="161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64"/>
      <c r="O340" s="161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64"/>
      <c r="O341" s="161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18"/>
      <c r="AS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64"/>
      <c r="O342" s="161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18"/>
      <c r="AS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64"/>
      <c r="O343" s="161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18"/>
      <c r="AS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64"/>
      <c r="O344" s="161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18"/>
      <c r="AS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64"/>
      <c r="O345" s="161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64"/>
      <c r="O346" s="161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64"/>
      <c r="O347" s="161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64"/>
      <c r="O348" s="161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64"/>
      <c r="O349" s="161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64"/>
      <c r="O350" s="161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  <c r="AL350" s="118"/>
      <c r="AM350" s="118"/>
      <c r="AN350" s="118"/>
      <c r="AO350" s="118"/>
      <c r="AP350" s="118"/>
      <c r="AQ350" s="118"/>
      <c r="AR350" s="118"/>
      <c r="AS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64"/>
      <c r="O351" s="161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64"/>
      <c r="O352" s="161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64"/>
      <c r="O353" s="161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64"/>
      <c r="O354" s="161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64"/>
      <c r="O355" s="161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  <c r="AL355" s="118"/>
      <c r="AM355" s="118"/>
      <c r="AN355" s="118"/>
      <c r="AO355" s="118"/>
      <c r="AP355" s="118"/>
      <c r="AQ355" s="118"/>
      <c r="AR355" s="118"/>
      <c r="AS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64"/>
      <c r="O356" s="161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118"/>
      <c r="AN356" s="118"/>
      <c r="AO356" s="118"/>
      <c r="AP356" s="118"/>
      <c r="AQ356" s="118"/>
      <c r="AR356" s="118"/>
      <c r="AS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64"/>
      <c r="O357" s="161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118"/>
      <c r="AN357" s="118"/>
      <c r="AO357" s="118"/>
      <c r="AP357" s="118"/>
      <c r="AQ357" s="118"/>
      <c r="AR357" s="118"/>
      <c r="AS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64"/>
      <c r="O358" s="161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64"/>
      <c r="O359" s="161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64"/>
      <c r="O360" s="161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64"/>
      <c r="O361" s="161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64"/>
      <c r="O362" s="161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64"/>
      <c r="O363" s="161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64"/>
      <c r="O364" s="161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64"/>
      <c r="O365" s="161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64"/>
      <c r="O366" s="161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64"/>
      <c r="O367" s="161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64"/>
      <c r="O368" s="161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64"/>
      <c r="O369" s="161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64"/>
      <c r="O370" s="161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64"/>
      <c r="O371" s="161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64"/>
      <c r="O372" s="161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64"/>
      <c r="O373" s="161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64"/>
      <c r="O374" s="161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64"/>
      <c r="O375" s="161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64"/>
      <c r="O376" s="161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64"/>
      <c r="O377" s="161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  <c r="AI377" s="118"/>
      <c r="AJ377" s="118"/>
      <c r="AK377" s="118"/>
      <c r="AL377" s="118"/>
      <c r="AM377" s="118"/>
      <c r="AN377" s="118"/>
      <c r="AO377" s="118"/>
      <c r="AP377" s="118"/>
      <c r="AQ377" s="118"/>
      <c r="AR377" s="118"/>
      <c r="AS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64"/>
      <c r="O378" s="161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64"/>
      <c r="O379" s="161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  <c r="AI379" s="118"/>
      <c r="AJ379" s="118"/>
      <c r="AK379" s="118"/>
      <c r="AL379" s="118"/>
      <c r="AM379" s="118"/>
      <c r="AN379" s="118"/>
      <c r="AO379" s="118"/>
      <c r="AP379" s="118"/>
      <c r="AQ379" s="118"/>
      <c r="AR379" s="118"/>
      <c r="AS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64"/>
      <c r="O380" s="161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  <c r="AI380" s="118"/>
      <c r="AJ380" s="118"/>
      <c r="AK380" s="118"/>
      <c r="AL380" s="118"/>
      <c r="AM380" s="118"/>
      <c r="AN380" s="118"/>
      <c r="AO380" s="118"/>
      <c r="AP380" s="118"/>
      <c r="AQ380" s="118"/>
      <c r="AR380" s="118"/>
      <c r="AS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64"/>
      <c r="O381" s="161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64"/>
      <c r="O382" s="161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64"/>
      <c r="O383" s="161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64"/>
      <c r="O384" s="161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64"/>
      <c r="O385" s="161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64"/>
      <c r="O386" s="161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  <c r="AI386" s="118"/>
      <c r="AJ386" s="118"/>
      <c r="AK386" s="118"/>
      <c r="AL386" s="118"/>
      <c r="AM386" s="118"/>
      <c r="AN386" s="118"/>
      <c r="AO386" s="118"/>
      <c r="AP386" s="118"/>
      <c r="AQ386" s="118"/>
      <c r="AR386" s="118"/>
      <c r="AS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64"/>
      <c r="O387" s="161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64"/>
      <c r="O388" s="161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  <c r="AI388" s="118"/>
      <c r="AJ388" s="118"/>
      <c r="AK388" s="118"/>
      <c r="AL388" s="118"/>
      <c r="AM388" s="118"/>
      <c r="AN388" s="118"/>
      <c r="AO388" s="118"/>
      <c r="AP388" s="118"/>
      <c r="AQ388" s="118"/>
      <c r="AR388" s="118"/>
      <c r="AS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64"/>
      <c r="O389" s="161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  <c r="AI389" s="118"/>
      <c r="AJ389" s="118"/>
      <c r="AK389" s="118"/>
      <c r="AL389" s="118"/>
      <c r="AM389" s="118"/>
      <c r="AN389" s="118"/>
      <c r="AO389" s="118"/>
      <c r="AP389" s="118"/>
      <c r="AQ389" s="118"/>
      <c r="AR389" s="118"/>
      <c r="AS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64"/>
      <c r="O390" s="161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64"/>
      <c r="O391" s="161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64"/>
      <c r="O392" s="161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64"/>
      <c r="O393" s="161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64"/>
      <c r="O394" s="161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64"/>
      <c r="O395" s="161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64"/>
      <c r="O396" s="161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64"/>
      <c r="O397" s="161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64"/>
      <c r="O398" s="161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64"/>
      <c r="O399" s="161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64"/>
      <c r="O400" s="161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64"/>
      <c r="O401" s="161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64"/>
      <c r="O402" s="161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64"/>
      <c r="O403" s="161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  <c r="AL403" s="118"/>
      <c r="AM403" s="118"/>
      <c r="AN403" s="118"/>
      <c r="AO403" s="118"/>
      <c r="AP403" s="118"/>
      <c r="AQ403" s="118"/>
      <c r="AR403" s="118"/>
      <c r="AS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64"/>
      <c r="O404" s="161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64"/>
      <c r="O405" s="161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64"/>
      <c r="O406" s="161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64"/>
      <c r="O407" s="161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64"/>
      <c r="O408" s="161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/>
      <c r="AO408" s="118"/>
      <c r="AP408" s="118"/>
      <c r="AQ408" s="118"/>
      <c r="AR408" s="118"/>
      <c r="AS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64"/>
      <c r="O409" s="161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64"/>
      <c r="O410" s="161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  <c r="AL410" s="118"/>
      <c r="AM410" s="118"/>
      <c r="AN410" s="118"/>
      <c r="AO410" s="118"/>
      <c r="AP410" s="118"/>
      <c r="AQ410" s="118"/>
      <c r="AR410" s="118"/>
      <c r="AS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64"/>
      <c r="O411" s="161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  <c r="AL411" s="118"/>
      <c r="AM411" s="118"/>
      <c r="AN411" s="118"/>
      <c r="AO411" s="118"/>
      <c r="AP411" s="118"/>
      <c r="AQ411" s="118"/>
      <c r="AR411" s="118"/>
      <c r="AS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64"/>
      <c r="O412" s="161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64"/>
      <c r="O413" s="161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64"/>
      <c r="O414" s="161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  <c r="AL414" s="118"/>
      <c r="AM414" s="118"/>
      <c r="AN414" s="118"/>
      <c r="AO414" s="118"/>
      <c r="AP414" s="118"/>
      <c r="AQ414" s="118"/>
      <c r="AR414" s="118"/>
      <c r="AS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64"/>
      <c r="O415" s="161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18"/>
      <c r="AN415" s="118"/>
      <c r="AO415" s="118"/>
      <c r="AP415" s="118"/>
      <c r="AQ415" s="118"/>
      <c r="AR415" s="118"/>
      <c r="AS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64"/>
      <c r="O416" s="161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18"/>
      <c r="AK416" s="118"/>
      <c r="AL416" s="118"/>
      <c r="AM416" s="118"/>
      <c r="AN416" s="118"/>
      <c r="AO416" s="118"/>
      <c r="AP416" s="118"/>
      <c r="AQ416" s="118"/>
      <c r="AR416" s="118"/>
      <c r="AS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64"/>
      <c r="O417" s="161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  <c r="AI417" s="118"/>
      <c r="AJ417" s="118"/>
      <c r="AK417" s="118"/>
      <c r="AL417" s="118"/>
      <c r="AM417" s="118"/>
      <c r="AN417" s="118"/>
      <c r="AO417" s="118"/>
      <c r="AP417" s="118"/>
      <c r="AQ417" s="118"/>
      <c r="AR417" s="118"/>
      <c r="AS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64"/>
      <c r="O418" s="161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64"/>
      <c r="O419" s="161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64"/>
      <c r="O420" s="161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64"/>
      <c r="O421" s="161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  <c r="AK421" s="118"/>
      <c r="AL421" s="118"/>
      <c r="AM421" s="118"/>
      <c r="AN421" s="118"/>
      <c r="AO421" s="118"/>
      <c r="AP421" s="118"/>
      <c r="AQ421" s="118"/>
      <c r="AR421" s="118"/>
      <c r="AS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64"/>
      <c r="O422" s="161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  <c r="AK422" s="118"/>
      <c r="AL422" s="118"/>
      <c r="AM422" s="118"/>
      <c r="AN422" s="118"/>
      <c r="AO422" s="118"/>
      <c r="AP422" s="118"/>
      <c r="AQ422" s="118"/>
      <c r="AR422" s="118"/>
      <c r="AS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64"/>
      <c r="O423" s="161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  <c r="AK423" s="118"/>
      <c r="AL423" s="118"/>
      <c r="AM423" s="118"/>
      <c r="AN423" s="118"/>
      <c r="AO423" s="118"/>
      <c r="AP423" s="118"/>
      <c r="AQ423" s="118"/>
      <c r="AR423" s="118"/>
      <c r="AS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64"/>
      <c r="O424" s="161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  <c r="AK424" s="118"/>
      <c r="AL424" s="118"/>
      <c r="AM424" s="118"/>
      <c r="AN424" s="118"/>
      <c r="AO424" s="118"/>
      <c r="AP424" s="118"/>
      <c r="AQ424" s="118"/>
      <c r="AR424" s="118"/>
      <c r="AS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64"/>
      <c r="O425" s="161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64"/>
      <c r="O426" s="161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64"/>
      <c r="O427" s="161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64"/>
      <c r="O428" s="161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  <c r="AK428" s="118"/>
      <c r="AL428" s="118"/>
      <c r="AM428" s="118"/>
      <c r="AN428" s="118"/>
      <c r="AO428" s="118"/>
      <c r="AP428" s="118"/>
      <c r="AQ428" s="118"/>
      <c r="AR428" s="118"/>
      <c r="AS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64"/>
      <c r="O429" s="161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  <c r="AK429" s="118"/>
      <c r="AL429" s="118"/>
      <c r="AM429" s="118"/>
      <c r="AN429" s="118"/>
      <c r="AO429" s="118"/>
      <c r="AP429" s="118"/>
      <c r="AQ429" s="118"/>
      <c r="AR429" s="118"/>
      <c r="AS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64"/>
      <c r="O430" s="161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  <c r="AL430" s="118"/>
      <c r="AM430" s="118"/>
      <c r="AN430" s="118"/>
      <c r="AO430" s="118"/>
      <c r="AP430" s="118"/>
      <c r="AQ430" s="118"/>
      <c r="AR430" s="118"/>
      <c r="AS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64"/>
      <c r="O431" s="161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  <c r="AL431" s="118"/>
      <c r="AM431" s="118"/>
      <c r="AN431" s="118"/>
      <c r="AO431" s="118"/>
      <c r="AP431" s="118"/>
      <c r="AQ431" s="118"/>
      <c r="AR431" s="118"/>
      <c r="AS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64"/>
      <c r="O432" s="161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64"/>
      <c r="O433" s="161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64"/>
      <c r="O434" s="161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  <c r="AK434" s="118"/>
      <c r="AL434" s="118"/>
      <c r="AM434" s="118"/>
      <c r="AN434" s="118"/>
      <c r="AO434" s="118"/>
      <c r="AP434" s="118"/>
      <c r="AQ434" s="118"/>
      <c r="AR434" s="118"/>
      <c r="AS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64"/>
      <c r="O435" s="161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  <c r="AK435" s="118"/>
      <c r="AL435" s="118"/>
      <c r="AM435" s="118"/>
      <c r="AN435" s="118"/>
      <c r="AO435" s="118"/>
      <c r="AP435" s="118"/>
      <c r="AQ435" s="118"/>
      <c r="AR435" s="118"/>
      <c r="AS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64"/>
      <c r="O436" s="161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  <c r="AK436" s="118"/>
      <c r="AL436" s="118"/>
      <c r="AM436" s="118"/>
      <c r="AN436" s="118"/>
      <c r="AO436" s="118"/>
      <c r="AP436" s="118"/>
      <c r="AQ436" s="118"/>
      <c r="AR436" s="118"/>
      <c r="AS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64"/>
      <c r="O437" s="161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  <c r="AK437" s="118"/>
      <c r="AL437" s="118"/>
      <c r="AM437" s="118"/>
      <c r="AN437" s="118"/>
      <c r="AO437" s="118"/>
      <c r="AP437" s="118"/>
      <c r="AQ437" s="118"/>
      <c r="AR437" s="118"/>
      <c r="AS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64"/>
      <c r="O438" s="161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  <c r="AL438" s="118"/>
      <c r="AM438" s="118"/>
      <c r="AN438" s="118"/>
      <c r="AO438" s="118"/>
      <c r="AP438" s="118"/>
      <c r="AQ438" s="118"/>
      <c r="AR438" s="118"/>
      <c r="AS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64"/>
      <c r="O439" s="161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  <c r="AL439" s="118"/>
      <c r="AM439" s="118"/>
      <c r="AN439" s="118"/>
      <c r="AO439" s="118"/>
      <c r="AP439" s="118"/>
      <c r="AQ439" s="118"/>
      <c r="AR439" s="118"/>
      <c r="AS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64"/>
      <c r="O440" s="161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64"/>
      <c r="O441" s="161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  <c r="AL441" s="118"/>
      <c r="AM441" s="118"/>
      <c r="AN441" s="118"/>
      <c r="AO441" s="118"/>
      <c r="AP441" s="118"/>
      <c r="AQ441" s="118"/>
      <c r="AR441" s="118"/>
      <c r="AS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64"/>
      <c r="O442" s="161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8"/>
      <c r="AN442" s="118"/>
      <c r="AO442" s="118"/>
      <c r="AP442" s="118"/>
      <c r="AQ442" s="118"/>
      <c r="AR442" s="118"/>
      <c r="AS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64"/>
      <c r="O443" s="161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  <c r="AL443" s="118"/>
      <c r="AM443" s="118"/>
      <c r="AN443" s="118"/>
      <c r="AO443" s="118"/>
      <c r="AP443" s="118"/>
      <c r="AQ443" s="118"/>
      <c r="AR443" s="118"/>
      <c r="AS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64"/>
      <c r="O444" s="161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64"/>
      <c r="O445" s="161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64"/>
      <c r="O446" s="161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64"/>
      <c r="O447" s="161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  <c r="AL447" s="118"/>
      <c r="AM447" s="118"/>
      <c r="AN447" s="118"/>
      <c r="AO447" s="118"/>
      <c r="AP447" s="118"/>
      <c r="AQ447" s="118"/>
      <c r="AR447" s="118"/>
      <c r="AS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64"/>
      <c r="O448" s="161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  <c r="AL448" s="118"/>
      <c r="AM448" s="118"/>
      <c r="AN448" s="118"/>
      <c r="AO448" s="118"/>
      <c r="AP448" s="118"/>
      <c r="AQ448" s="118"/>
      <c r="AR448" s="118"/>
      <c r="AS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64"/>
      <c r="O449" s="161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64"/>
      <c r="O450" s="161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64"/>
      <c r="O451" s="161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64"/>
      <c r="O452" s="161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  <c r="AL452" s="118"/>
      <c r="AM452" s="118"/>
      <c r="AN452" s="118"/>
      <c r="AO452" s="118"/>
      <c r="AP452" s="118"/>
      <c r="AQ452" s="118"/>
      <c r="AR452" s="118"/>
      <c r="AS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64"/>
      <c r="O453" s="161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  <c r="AL453" s="118"/>
      <c r="AM453" s="118"/>
      <c r="AN453" s="118"/>
      <c r="AO453" s="118"/>
      <c r="AP453" s="118"/>
      <c r="AQ453" s="118"/>
      <c r="AR453" s="118"/>
      <c r="AS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64"/>
      <c r="O454" s="161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  <c r="AL454" s="118"/>
      <c r="AM454" s="118"/>
      <c r="AN454" s="118"/>
      <c r="AO454" s="118"/>
      <c r="AP454" s="118"/>
      <c r="AQ454" s="118"/>
      <c r="AR454" s="118"/>
      <c r="AS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64"/>
      <c r="O455" s="161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  <c r="AL455" s="118"/>
      <c r="AM455" s="118"/>
      <c r="AN455" s="118"/>
      <c r="AO455" s="118"/>
      <c r="AP455" s="118"/>
      <c r="AQ455" s="118"/>
      <c r="AR455" s="118"/>
      <c r="AS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64"/>
      <c r="O456" s="161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64"/>
      <c r="O457" s="161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64"/>
      <c r="O458" s="161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64"/>
      <c r="O459" s="161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  <c r="AL459" s="118"/>
      <c r="AM459" s="118"/>
      <c r="AN459" s="118"/>
      <c r="AO459" s="118"/>
      <c r="AP459" s="118"/>
      <c r="AQ459" s="118"/>
      <c r="AR459" s="118"/>
      <c r="AS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64"/>
      <c r="O460" s="161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  <c r="AL460" s="118"/>
      <c r="AM460" s="118"/>
      <c r="AN460" s="118"/>
      <c r="AO460" s="118"/>
      <c r="AP460" s="118"/>
      <c r="AQ460" s="118"/>
      <c r="AR460" s="118"/>
      <c r="AS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64"/>
      <c r="O461" s="161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  <c r="AL461" s="118"/>
      <c r="AM461" s="118"/>
      <c r="AN461" s="118"/>
      <c r="AO461" s="118"/>
      <c r="AP461" s="118"/>
      <c r="AQ461" s="118"/>
      <c r="AR461" s="118"/>
      <c r="AS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64"/>
      <c r="O462" s="161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  <c r="AL462" s="118"/>
      <c r="AM462" s="118"/>
      <c r="AN462" s="118"/>
      <c r="AO462" s="118"/>
      <c r="AP462" s="118"/>
      <c r="AQ462" s="118"/>
      <c r="AR462" s="118"/>
      <c r="AS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64"/>
      <c r="O463" s="161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64"/>
      <c r="O464" s="161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64"/>
      <c r="O465" s="161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  <c r="AI465" s="118"/>
      <c r="AJ465" s="118"/>
      <c r="AK465" s="118"/>
      <c r="AL465" s="118"/>
      <c r="AM465" s="118"/>
      <c r="AN465" s="118"/>
      <c r="AO465" s="118"/>
      <c r="AP465" s="118"/>
      <c r="AQ465" s="118"/>
      <c r="AR465" s="118"/>
      <c r="AS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64"/>
      <c r="O466" s="161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  <c r="AI466" s="118"/>
      <c r="AJ466" s="118"/>
      <c r="AK466" s="118"/>
      <c r="AL466" s="118"/>
      <c r="AM466" s="118"/>
      <c r="AN466" s="118"/>
      <c r="AO466" s="118"/>
      <c r="AP466" s="118"/>
      <c r="AQ466" s="118"/>
      <c r="AR466" s="118"/>
      <c r="AS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64"/>
      <c r="O467" s="161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  <c r="AI467" s="118"/>
      <c r="AJ467" s="118"/>
      <c r="AK467" s="118"/>
      <c r="AL467" s="118"/>
      <c r="AM467" s="118"/>
      <c r="AN467" s="118"/>
      <c r="AO467" s="118"/>
      <c r="AP467" s="118"/>
      <c r="AQ467" s="118"/>
      <c r="AR467" s="118"/>
      <c r="AS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64"/>
      <c r="O468" s="161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  <c r="AI468" s="118"/>
      <c r="AJ468" s="118"/>
      <c r="AK468" s="118"/>
      <c r="AL468" s="118"/>
      <c r="AM468" s="118"/>
      <c r="AN468" s="118"/>
      <c r="AO468" s="118"/>
      <c r="AP468" s="118"/>
      <c r="AQ468" s="118"/>
      <c r="AR468" s="118"/>
      <c r="AS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64"/>
      <c r="O469" s="161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  <c r="AI469" s="118"/>
      <c r="AJ469" s="118"/>
      <c r="AK469" s="118"/>
      <c r="AL469" s="118"/>
      <c r="AM469" s="118"/>
      <c r="AN469" s="118"/>
      <c r="AO469" s="118"/>
      <c r="AP469" s="118"/>
      <c r="AQ469" s="118"/>
      <c r="AR469" s="118"/>
      <c r="AS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64"/>
      <c r="O470" s="161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  <c r="AI470" s="118"/>
      <c r="AJ470" s="118"/>
      <c r="AK470" s="118"/>
      <c r="AL470" s="118"/>
      <c r="AM470" s="118"/>
      <c r="AN470" s="118"/>
      <c r="AO470" s="118"/>
      <c r="AP470" s="118"/>
      <c r="AQ470" s="118"/>
      <c r="AR470" s="118"/>
      <c r="AS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64"/>
      <c r="O471" s="161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  <c r="AI471" s="118"/>
      <c r="AJ471" s="118"/>
      <c r="AK471" s="118"/>
      <c r="AL471" s="118"/>
      <c r="AM471" s="118"/>
      <c r="AN471" s="118"/>
      <c r="AO471" s="118"/>
      <c r="AP471" s="118"/>
      <c r="AQ471" s="118"/>
      <c r="AR471" s="118"/>
      <c r="AS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64"/>
      <c r="O472" s="161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  <c r="AI472" s="118"/>
      <c r="AJ472" s="118"/>
      <c r="AK472" s="118"/>
      <c r="AL472" s="118"/>
      <c r="AM472" s="118"/>
      <c r="AN472" s="118"/>
      <c r="AO472" s="118"/>
      <c r="AP472" s="118"/>
      <c r="AQ472" s="118"/>
      <c r="AR472" s="118"/>
      <c r="AS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64"/>
      <c r="O473" s="161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  <c r="AI473" s="118"/>
      <c r="AJ473" s="118"/>
      <c r="AK473" s="118"/>
      <c r="AL473" s="118"/>
      <c r="AM473" s="118"/>
      <c r="AN473" s="118"/>
      <c r="AO473" s="118"/>
      <c r="AP473" s="118"/>
      <c r="AQ473" s="118"/>
      <c r="AR473" s="118"/>
      <c r="AS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64"/>
      <c r="O474" s="161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64"/>
      <c r="O475" s="161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  <c r="AL475" s="118"/>
      <c r="AM475" s="118"/>
      <c r="AN475" s="118"/>
      <c r="AO475" s="118"/>
      <c r="AP475" s="118"/>
      <c r="AQ475" s="118"/>
      <c r="AR475" s="118"/>
      <c r="AS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64"/>
      <c r="O476" s="161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  <c r="AL476" s="118"/>
      <c r="AM476" s="118"/>
      <c r="AN476" s="118"/>
      <c r="AO476" s="118"/>
      <c r="AP476" s="118"/>
      <c r="AQ476" s="118"/>
      <c r="AR476" s="118"/>
      <c r="AS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64"/>
      <c r="O477" s="161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  <c r="AL477" s="118"/>
      <c r="AM477" s="118"/>
      <c r="AN477" s="118"/>
      <c r="AO477" s="118"/>
      <c r="AP477" s="118"/>
      <c r="AQ477" s="118"/>
      <c r="AR477" s="118"/>
      <c r="AS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64"/>
      <c r="O478" s="161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  <c r="AL478" s="118"/>
      <c r="AM478" s="118"/>
      <c r="AN478" s="118"/>
      <c r="AO478" s="118"/>
      <c r="AP478" s="118"/>
      <c r="AQ478" s="118"/>
      <c r="AR478" s="118"/>
      <c r="AS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64"/>
      <c r="O479" s="161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64"/>
      <c r="O480" s="161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64"/>
      <c r="O481" s="161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64"/>
      <c r="O482" s="161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  <c r="AL482" s="118"/>
      <c r="AM482" s="118"/>
      <c r="AN482" s="118"/>
      <c r="AO482" s="118"/>
      <c r="AP482" s="118"/>
      <c r="AQ482" s="118"/>
      <c r="AR482" s="118"/>
      <c r="AS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64"/>
      <c r="O483" s="161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  <c r="AL483" s="118"/>
      <c r="AM483" s="118"/>
      <c r="AN483" s="118"/>
      <c r="AO483" s="118"/>
      <c r="AP483" s="118"/>
      <c r="AQ483" s="118"/>
      <c r="AR483" s="118"/>
      <c r="AS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64"/>
      <c r="O484" s="161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  <c r="AL484" s="118"/>
      <c r="AM484" s="118"/>
      <c r="AN484" s="118"/>
      <c r="AO484" s="118"/>
      <c r="AP484" s="118"/>
      <c r="AQ484" s="118"/>
      <c r="AR484" s="118"/>
      <c r="AS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64"/>
      <c r="O485" s="161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  <c r="AL485" s="118"/>
      <c r="AM485" s="118"/>
      <c r="AN485" s="118"/>
      <c r="AO485" s="118"/>
      <c r="AP485" s="118"/>
      <c r="AQ485" s="118"/>
      <c r="AR485" s="118"/>
      <c r="AS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64"/>
      <c r="O486" s="161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64"/>
      <c r="O487" s="161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64"/>
      <c r="O488" s="161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64"/>
      <c r="O489" s="161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  <c r="AL489" s="118"/>
      <c r="AM489" s="118"/>
      <c r="AN489" s="118"/>
      <c r="AO489" s="118"/>
      <c r="AP489" s="118"/>
      <c r="AQ489" s="118"/>
      <c r="AR489" s="118"/>
      <c r="AS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64"/>
      <c r="O490" s="161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64"/>
      <c r="O491" s="161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  <c r="AL491" s="118"/>
      <c r="AM491" s="118"/>
      <c r="AN491" s="118"/>
      <c r="AO491" s="118"/>
      <c r="AP491" s="118"/>
      <c r="AQ491" s="118"/>
      <c r="AR491" s="118"/>
      <c r="AS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64"/>
      <c r="O492" s="161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  <c r="AL492" s="118"/>
      <c r="AM492" s="118"/>
      <c r="AN492" s="118"/>
      <c r="AO492" s="118"/>
      <c r="AP492" s="118"/>
      <c r="AQ492" s="118"/>
      <c r="AR492" s="118"/>
      <c r="AS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64"/>
      <c r="O493" s="161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64"/>
      <c r="O494" s="161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64"/>
      <c r="O495" s="161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  <c r="AL495" s="118"/>
      <c r="AM495" s="118"/>
      <c r="AN495" s="118"/>
      <c r="AO495" s="118"/>
      <c r="AP495" s="118"/>
      <c r="AQ495" s="118"/>
      <c r="AR495" s="118"/>
      <c r="AS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64"/>
      <c r="O496" s="161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  <c r="AL496" s="118"/>
      <c r="AM496" s="118"/>
      <c r="AN496" s="118"/>
      <c r="AO496" s="118"/>
      <c r="AP496" s="118"/>
      <c r="AQ496" s="118"/>
      <c r="AR496" s="118"/>
      <c r="AS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64"/>
      <c r="O497" s="161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  <c r="AL497" s="118"/>
      <c r="AM497" s="118"/>
      <c r="AN497" s="118"/>
      <c r="AO497" s="118"/>
      <c r="AP497" s="118"/>
      <c r="AQ497" s="118"/>
      <c r="AR497" s="118"/>
      <c r="AS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64"/>
      <c r="O498" s="161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64"/>
      <c r="O499" s="161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  <c r="AL499" s="118"/>
      <c r="AM499" s="118"/>
      <c r="AN499" s="118"/>
      <c r="AO499" s="118"/>
      <c r="AP499" s="118"/>
      <c r="AQ499" s="118"/>
      <c r="AR499" s="118"/>
      <c r="AS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64"/>
      <c r="O500" s="161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  <c r="AL500" s="118"/>
      <c r="AM500" s="118"/>
      <c r="AN500" s="118"/>
      <c r="AO500" s="118"/>
      <c r="AP500" s="118"/>
      <c r="AQ500" s="118"/>
      <c r="AR500" s="118"/>
      <c r="AS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64"/>
      <c r="O501" s="161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  <c r="AL501" s="118"/>
      <c r="AM501" s="118"/>
      <c r="AN501" s="118"/>
      <c r="AO501" s="118"/>
      <c r="AP501" s="118"/>
      <c r="AQ501" s="118"/>
      <c r="AR501" s="118"/>
      <c r="AS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64"/>
      <c r="O502" s="161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64"/>
      <c r="O503" s="161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  <c r="AL503" s="118"/>
      <c r="AM503" s="118"/>
      <c r="AN503" s="118"/>
      <c r="AO503" s="118"/>
      <c r="AP503" s="118"/>
      <c r="AQ503" s="118"/>
      <c r="AR503" s="118"/>
      <c r="AS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64"/>
      <c r="O504" s="161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  <c r="AL504" s="118"/>
      <c r="AM504" s="118"/>
      <c r="AN504" s="118"/>
      <c r="AO504" s="118"/>
      <c r="AP504" s="118"/>
      <c r="AQ504" s="118"/>
      <c r="AR504" s="118"/>
      <c r="AS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64"/>
      <c r="O505" s="161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  <c r="AL505" s="118"/>
      <c r="AM505" s="118"/>
      <c r="AN505" s="118"/>
      <c r="AO505" s="118"/>
      <c r="AP505" s="118"/>
      <c r="AQ505" s="118"/>
      <c r="AR505" s="118"/>
      <c r="AS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64"/>
      <c r="O506" s="161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  <c r="AL506" s="118"/>
      <c r="AM506" s="118"/>
      <c r="AN506" s="118"/>
      <c r="AO506" s="118"/>
      <c r="AP506" s="118"/>
      <c r="AQ506" s="118"/>
      <c r="AR506" s="118"/>
      <c r="AS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64"/>
      <c r="O507" s="161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  <c r="AL507" s="118"/>
      <c r="AM507" s="118"/>
      <c r="AN507" s="118"/>
      <c r="AO507" s="118"/>
      <c r="AP507" s="118"/>
      <c r="AQ507" s="118"/>
      <c r="AR507" s="118"/>
      <c r="AS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64"/>
      <c r="O508" s="161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  <c r="AL508" s="118"/>
      <c r="AM508" s="118"/>
      <c r="AN508" s="118"/>
      <c r="AO508" s="118"/>
      <c r="AP508" s="118"/>
      <c r="AQ508" s="118"/>
      <c r="AR508" s="118"/>
      <c r="AS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64"/>
      <c r="O509" s="161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  <c r="AL509" s="118"/>
      <c r="AM509" s="118"/>
      <c r="AN509" s="118"/>
      <c r="AO509" s="118"/>
      <c r="AP509" s="118"/>
      <c r="AQ509" s="118"/>
      <c r="AR509" s="118"/>
      <c r="AS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64"/>
      <c r="O510" s="161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  <c r="AL510" s="118"/>
      <c r="AM510" s="118"/>
      <c r="AN510" s="118"/>
      <c r="AO510" s="118"/>
      <c r="AP510" s="118"/>
      <c r="AQ510" s="118"/>
      <c r="AR510" s="118"/>
      <c r="AS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64"/>
      <c r="O511" s="161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  <c r="AL511" s="118"/>
      <c r="AM511" s="118"/>
      <c r="AN511" s="118"/>
      <c r="AO511" s="118"/>
      <c r="AP511" s="118"/>
      <c r="AQ511" s="118"/>
      <c r="AR511" s="118"/>
      <c r="AS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64"/>
      <c r="O512" s="161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64"/>
      <c r="O513" s="161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  <c r="AL513" s="118"/>
      <c r="AM513" s="118"/>
      <c r="AN513" s="118"/>
      <c r="AO513" s="118"/>
      <c r="AP513" s="118"/>
      <c r="AQ513" s="118"/>
      <c r="AR513" s="118"/>
      <c r="AS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64"/>
      <c r="O514" s="161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  <c r="AL514" s="118"/>
      <c r="AM514" s="118"/>
      <c r="AN514" s="118"/>
      <c r="AO514" s="118"/>
      <c r="AP514" s="118"/>
      <c r="AQ514" s="118"/>
      <c r="AR514" s="118"/>
      <c r="AS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64"/>
      <c r="O515" s="161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  <c r="AL515" s="118"/>
      <c r="AM515" s="118"/>
      <c r="AN515" s="118"/>
      <c r="AO515" s="118"/>
      <c r="AP515" s="118"/>
      <c r="AQ515" s="118"/>
      <c r="AR515" s="118"/>
      <c r="AS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64"/>
      <c r="O516" s="161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  <c r="AL516" s="118"/>
      <c r="AM516" s="118"/>
      <c r="AN516" s="118"/>
      <c r="AO516" s="118"/>
      <c r="AP516" s="118"/>
      <c r="AQ516" s="118"/>
      <c r="AR516" s="118"/>
      <c r="AS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64"/>
      <c r="O517" s="161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  <c r="AL517" s="118"/>
      <c r="AM517" s="118"/>
      <c r="AN517" s="118"/>
      <c r="AO517" s="118"/>
      <c r="AP517" s="118"/>
      <c r="AQ517" s="118"/>
      <c r="AR517" s="118"/>
      <c r="AS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64"/>
      <c r="O518" s="161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8"/>
      <c r="AN518" s="118"/>
      <c r="AO518" s="118"/>
      <c r="AP518" s="118"/>
      <c r="AQ518" s="118"/>
      <c r="AR518" s="118"/>
      <c r="AS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64"/>
      <c r="O519" s="161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  <c r="AL519" s="118"/>
      <c r="AM519" s="118"/>
      <c r="AN519" s="118"/>
      <c r="AO519" s="118"/>
      <c r="AP519" s="118"/>
      <c r="AQ519" s="118"/>
      <c r="AR519" s="118"/>
      <c r="AS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64"/>
      <c r="O520" s="161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  <c r="AL520" s="118"/>
      <c r="AM520" s="118"/>
      <c r="AN520" s="118"/>
      <c r="AO520" s="118"/>
      <c r="AP520" s="118"/>
      <c r="AQ520" s="118"/>
      <c r="AR520" s="118"/>
      <c r="AS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64"/>
      <c r="O521" s="161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AK521" s="118"/>
      <c r="AL521" s="118"/>
      <c r="AM521" s="118"/>
      <c r="AN521" s="118"/>
      <c r="AO521" s="118"/>
      <c r="AP521" s="118"/>
      <c r="AQ521" s="118"/>
      <c r="AR521" s="118"/>
      <c r="AS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64"/>
      <c r="O522" s="161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  <c r="AL522" s="118"/>
      <c r="AM522" s="118"/>
      <c r="AN522" s="118"/>
      <c r="AO522" s="118"/>
      <c r="AP522" s="118"/>
      <c r="AQ522" s="118"/>
      <c r="AR522" s="118"/>
      <c r="AS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64"/>
      <c r="O523" s="161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  <c r="AL523" s="118"/>
      <c r="AM523" s="118"/>
      <c r="AN523" s="118"/>
      <c r="AO523" s="118"/>
      <c r="AP523" s="118"/>
      <c r="AQ523" s="118"/>
      <c r="AR523" s="118"/>
      <c r="AS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64"/>
      <c r="O524" s="161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  <c r="AL524" s="118"/>
      <c r="AM524" s="118"/>
      <c r="AN524" s="118"/>
      <c r="AO524" s="118"/>
      <c r="AP524" s="118"/>
      <c r="AQ524" s="118"/>
      <c r="AR524" s="118"/>
      <c r="AS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64"/>
      <c r="O525" s="161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  <c r="AL525" s="118"/>
      <c r="AM525" s="118"/>
      <c r="AN525" s="118"/>
      <c r="AO525" s="118"/>
      <c r="AP525" s="118"/>
      <c r="AQ525" s="118"/>
      <c r="AR525" s="118"/>
      <c r="AS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64"/>
      <c r="O526" s="161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  <c r="AL526" s="118"/>
      <c r="AM526" s="118"/>
      <c r="AN526" s="118"/>
      <c r="AO526" s="118"/>
      <c r="AP526" s="118"/>
      <c r="AQ526" s="118"/>
      <c r="AR526" s="118"/>
      <c r="AS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64"/>
      <c r="O527" s="161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  <c r="AL527" s="118"/>
      <c r="AM527" s="118"/>
      <c r="AN527" s="118"/>
      <c r="AO527" s="118"/>
      <c r="AP527" s="118"/>
      <c r="AQ527" s="118"/>
      <c r="AR527" s="118"/>
      <c r="AS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64"/>
      <c r="O528" s="161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  <c r="AL528" s="118"/>
      <c r="AM528" s="118"/>
      <c r="AN528" s="118"/>
      <c r="AO528" s="118"/>
      <c r="AP528" s="118"/>
      <c r="AQ528" s="118"/>
      <c r="AR528" s="118"/>
      <c r="AS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64"/>
      <c r="O529" s="161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  <c r="AI529" s="118"/>
      <c r="AJ529" s="118"/>
      <c r="AK529" s="118"/>
      <c r="AL529" s="118"/>
      <c r="AM529" s="118"/>
      <c r="AN529" s="118"/>
      <c r="AO529" s="118"/>
      <c r="AP529" s="118"/>
      <c r="AQ529" s="118"/>
      <c r="AR529" s="118"/>
      <c r="AS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64"/>
      <c r="O530" s="161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  <c r="AI530" s="118"/>
      <c r="AJ530" s="118"/>
      <c r="AK530" s="118"/>
      <c r="AL530" s="118"/>
      <c r="AM530" s="118"/>
      <c r="AN530" s="118"/>
      <c r="AO530" s="118"/>
      <c r="AP530" s="118"/>
      <c r="AQ530" s="118"/>
      <c r="AR530" s="118"/>
      <c r="AS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64"/>
      <c r="O531" s="161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  <c r="AI531" s="118"/>
      <c r="AJ531" s="118"/>
      <c r="AK531" s="118"/>
      <c r="AL531" s="118"/>
      <c r="AM531" s="118"/>
      <c r="AN531" s="118"/>
      <c r="AO531" s="118"/>
      <c r="AP531" s="118"/>
      <c r="AQ531" s="118"/>
      <c r="AR531" s="118"/>
      <c r="AS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64"/>
      <c r="O532" s="161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  <c r="AI532" s="118"/>
      <c r="AJ532" s="118"/>
      <c r="AK532" s="118"/>
      <c r="AL532" s="118"/>
      <c r="AM532" s="118"/>
      <c r="AN532" s="118"/>
      <c r="AO532" s="118"/>
      <c r="AP532" s="118"/>
      <c r="AQ532" s="118"/>
      <c r="AR532" s="118"/>
      <c r="AS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64"/>
      <c r="O533" s="161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  <c r="AI533" s="118"/>
      <c r="AJ533" s="118"/>
      <c r="AK533" s="118"/>
      <c r="AL533" s="118"/>
      <c r="AM533" s="118"/>
      <c r="AN533" s="118"/>
      <c r="AO533" s="118"/>
      <c r="AP533" s="118"/>
      <c r="AQ533" s="118"/>
      <c r="AR533" s="118"/>
      <c r="AS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64"/>
      <c r="O534" s="161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64"/>
      <c r="O535" s="161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  <c r="AL535" s="118"/>
      <c r="AM535" s="118"/>
      <c r="AN535" s="118"/>
      <c r="AO535" s="118"/>
      <c r="AP535" s="118"/>
      <c r="AQ535" s="118"/>
      <c r="AR535" s="118"/>
      <c r="AS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64"/>
      <c r="O536" s="161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  <c r="AL536" s="118"/>
      <c r="AM536" s="118"/>
      <c r="AN536" s="118"/>
      <c r="AO536" s="118"/>
      <c r="AP536" s="118"/>
      <c r="AQ536" s="118"/>
      <c r="AR536" s="118"/>
      <c r="AS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64"/>
      <c r="O537" s="161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  <c r="AL537" s="118"/>
      <c r="AM537" s="118"/>
      <c r="AN537" s="118"/>
      <c r="AO537" s="118"/>
      <c r="AP537" s="118"/>
      <c r="AQ537" s="118"/>
      <c r="AR537" s="118"/>
      <c r="AS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64"/>
      <c r="O538" s="161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  <c r="AL538" s="118"/>
      <c r="AM538" s="118"/>
      <c r="AN538" s="118"/>
      <c r="AO538" s="118"/>
      <c r="AP538" s="118"/>
      <c r="AQ538" s="118"/>
      <c r="AR538" s="118"/>
      <c r="AS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64"/>
      <c r="O539" s="161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  <c r="AL539" s="118"/>
      <c r="AM539" s="118"/>
      <c r="AN539" s="118"/>
      <c r="AO539" s="118"/>
      <c r="AP539" s="118"/>
      <c r="AQ539" s="118"/>
      <c r="AR539" s="118"/>
      <c r="AS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64"/>
      <c r="O540" s="161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  <c r="AL540" s="118"/>
      <c r="AM540" s="118"/>
      <c r="AN540" s="118"/>
      <c r="AO540" s="118"/>
      <c r="AP540" s="118"/>
      <c r="AQ540" s="118"/>
      <c r="AR540" s="118"/>
      <c r="AS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64"/>
      <c r="O541" s="161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  <c r="AL541" s="118"/>
      <c r="AM541" s="118"/>
      <c r="AN541" s="118"/>
      <c r="AO541" s="118"/>
      <c r="AP541" s="118"/>
      <c r="AQ541" s="118"/>
      <c r="AR541" s="118"/>
      <c r="AS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64"/>
      <c r="O542" s="161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  <c r="AL542" s="118"/>
      <c r="AM542" s="118"/>
      <c r="AN542" s="118"/>
      <c r="AO542" s="118"/>
      <c r="AP542" s="118"/>
      <c r="AQ542" s="118"/>
      <c r="AR542" s="118"/>
      <c r="AS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64"/>
      <c r="O543" s="161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  <c r="AL543" s="118"/>
      <c r="AM543" s="118"/>
      <c r="AN543" s="118"/>
      <c r="AO543" s="118"/>
      <c r="AP543" s="118"/>
      <c r="AQ543" s="118"/>
      <c r="AR543" s="118"/>
      <c r="AS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64"/>
      <c r="O544" s="161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64"/>
      <c r="O545" s="161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  <c r="AL545" s="118"/>
      <c r="AM545" s="118"/>
      <c r="AN545" s="118"/>
      <c r="AO545" s="118"/>
      <c r="AP545" s="118"/>
      <c r="AQ545" s="118"/>
      <c r="AR545" s="118"/>
      <c r="AS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64"/>
      <c r="O546" s="161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  <c r="AL546" s="118"/>
      <c r="AM546" s="118"/>
      <c r="AN546" s="118"/>
      <c r="AO546" s="118"/>
      <c r="AP546" s="118"/>
      <c r="AQ546" s="118"/>
      <c r="AR546" s="118"/>
      <c r="AS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64"/>
      <c r="O547" s="161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  <c r="AL547" s="118"/>
      <c r="AM547" s="118"/>
      <c r="AN547" s="118"/>
      <c r="AO547" s="118"/>
      <c r="AP547" s="118"/>
      <c r="AQ547" s="118"/>
      <c r="AR547" s="118"/>
      <c r="AS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64"/>
      <c r="O548" s="161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  <c r="AO548" s="118"/>
      <c r="AP548" s="118"/>
      <c r="AQ548" s="118"/>
      <c r="AR548" s="118"/>
      <c r="AS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64"/>
      <c r="O549" s="161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  <c r="AL549" s="118"/>
      <c r="AM549" s="118"/>
      <c r="AN549" s="118"/>
      <c r="AO549" s="118"/>
      <c r="AP549" s="118"/>
      <c r="AQ549" s="118"/>
      <c r="AR549" s="118"/>
      <c r="AS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64"/>
      <c r="O550" s="161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8"/>
      <c r="AM550" s="118"/>
      <c r="AN550" s="118"/>
      <c r="AO550" s="118"/>
      <c r="AP550" s="118"/>
      <c r="AQ550" s="118"/>
      <c r="AR550" s="118"/>
      <c r="AS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64"/>
      <c r="O551" s="161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64"/>
      <c r="O552" s="161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8"/>
      <c r="AM552" s="118"/>
      <c r="AN552" s="118"/>
      <c r="AO552" s="118"/>
      <c r="AP552" s="118"/>
      <c r="AQ552" s="118"/>
      <c r="AR552" s="118"/>
      <c r="AS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64"/>
      <c r="O553" s="161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  <c r="AL553" s="118"/>
      <c r="AM553" s="118"/>
      <c r="AN553" s="118"/>
      <c r="AO553" s="118"/>
      <c r="AP553" s="118"/>
      <c r="AQ553" s="118"/>
      <c r="AR553" s="118"/>
      <c r="AS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64"/>
      <c r="O554" s="161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  <c r="AL554" s="118"/>
      <c r="AM554" s="118"/>
      <c r="AN554" s="118"/>
      <c r="AO554" s="118"/>
      <c r="AP554" s="118"/>
      <c r="AQ554" s="118"/>
      <c r="AR554" s="118"/>
      <c r="AS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64"/>
      <c r="O555" s="161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  <c r="AL555" s="118"/>
      <c r="AM555" s="118"/>
      <c r="AN555" s="118"/>
      <c r="AO555" s="118"/>
      <c r="AP555" s="118"/>
      <c r="AQ555" s="118"/>
      <c r="AR555" s="118"/>
      <c r="AS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64"/>
      <c r="O556" s="161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8"/>
      <c r="AN556" s="118"/>
      <c r="AO556" s="118"/>
      <c r="AP556" s="118"/>
      <c r="AQ556" s="118"/>
      <c r="AR556" s="118"/>
      <c r="AS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64"/>
      <c r="O557" s="161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  <c r="AL557" s="118"/>
      <c r="AM557" s="118"/>
      <c r="AN557" s="118"/>
      <c r="AO557" s="118"/>
      <c r="AP557" s="118"/>
      <c r="AQ557" s="118"/>
      <c r="AR557" s="118"/>
      <c r="AS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64"/>
      <c r="O558" s="161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  <c r="AL558" s="118"/>
      <c r="AM558" s="118"/>
      <c r="AN558" s="118"/>
      <c r="AO558" s="118"/>
      <c r="AP558" s="118"/>
      <c r="AQ558" s="118"/>
      <c r="AR558" s="118"/>
      <c r="AS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64"/>
      <c r="O559" s="161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  <c r="AL559" s="118"/>
      <c r="AM559" s="118"/>
      <c r="AN559" s="118"/>
      <c r="AO559" s="118"/>
      <c r="AP559" s="118"/>
      <c r="AQ559" s="118"/>
      <c r="AR559" s="118"/>
      <c r="AS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64"/>
      <c r="O560" s="161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  <c r="AI560" s="118"/>
      <c r="AJ560" s="118"/>
      <c r="AK560" s="118"/>
      <c r="AL560" s="118"/>
      <c r="AM560" s="118"/>
      <c r="AN560" s="118"/>
      <c r="AO560" s="118"/>
      <c r="AP560" s="118"/>
      <c r="AQ560" s="118"/>
      <c r="AR560" s="118"/>
      <c r="AS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64"/>
      <c r="O561" s="161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  <c r="AI561" s="118"/>
      <c r="AJ561" s="118"/>
      <c r="AK561" s="118"/>
      <c r="AL561" s="118"/>
      <c r="AM561" s="118"/>
      <c r="AN561" s="118"/>
      <c r="AO561" s="118"/>
      <c r="AP561" s="118"/>
      <c r="AQ561" s="118"/>
      <c r="AR561" s="118"/>
      <c r="AS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64"/>
      <c r="O562" s="161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  <c r="AI562" s="118"/>
      <c r="AJ562" s="118"/>
      <c r="AK562" s="118"/>
      <c r="AL562" s="118"/>
      <c r="AM562" s="118"/>
      <c r="AN562" s="118"/>
      <c r="AO562" s="118"/>
      <c r="AP562" s="118"/>
      <c r="AQ562" s="118"/>
      <c r="AR562" s="118"/>
      <c r="AS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64"/>
      <c r="O563" s="161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  <c r="AI563" s="118"/>
      <c r="AJ563" s="118"/>
      <c r="AK563" s="118"/>
      <c r="AL563" s="118"/>
      <c r="AM563" s="118"/>
      <c r="AN563" s="118"/>
      <c r="AO563" s="118"/>
      <c r="AP563" s="118"/>
      <c r="AQ563" s="118"/>
      <c r="AR563" s="118"/>
      <c r="AS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64"/>
      <c r="O564" s="161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64"/>
      <c r="O565" s="161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  <c r="AI565" s="118"/>
      <c r="AJ565" s="118"/>
      <c r="AK565" s="118"/>
      <c r="AL565" s="118"/>
      <c r="AM565" s="118"/>
      <c r="AN565" s="118"/>
      <c r="AO565" s="118"/>
      <c r="AP565" s="118"/>
      <c r="AQ565" s="118"/>
      <c r="AR565" s="118"/>
      <c r="AS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64"/>
      <c r="O566" s="161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  <c r="AI566" s="118"/>
      <c r="AJ566" s="118"/>
      <c r="AK566" s="118"/>
      <c r="AL566" s="118"/>
      <c r="AM566" s="118"/>
      <c r="AN566" s="118"/>
      <c r="AO566" s="118"/>
      <c r="AP566" s="118"/>
      <c r="AQ566" s="118"/>
      <c r="AR566" s="118"/>
      <c r="AS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64"/>
      <c r="O567" s="161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  <c r="AI567" s="118"/>
      <c r="AJ567" s="118"/>
      <c r="AK567" s="118"/>
      <c r="AL567" s="118"/>
      <c r="AM567" s="118"/>
      <c r="AN567" s="118"/>
      <c r="AO567" s="118"/>
      <c r="AP567" s="118"/>
      <c r="AQ567" s="118"/>
      <c r="AR567" s="118"/>
      <c r="AS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64"/>
      <c r="O568" s="161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  <c r="AI568" s="118"/>
      <c r="AJ568" s="118"/>
      <c r="AK568" s="118"/>
      <c r="AL568" s="118"/>
      <c r="AM568" s="118"/>
      <c r="AN568" s="118"/>
      <c r="AO568" s="118"/>
      <c r="AP568" s="118"/>
      <c r="AQ568" s="118"/>
      <c r="AR568" s="118"/>
      <c r="AS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64"/>
      <c r="O569" s="161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  <c r="AI569" s="118"/>
      <c r="AJ569" s="118"/>
      <c r="AK569" s="118"/>
      <c r="AL569" s="118"/>
      <c r="AM569" s="118"/>
      <c r="AN569" s="118"/>
      <c r="AO569" s="118"/>
      <c r="AP569" s="118"/>
      <c r="AQ569" s="118"/>
      <c r="AR569" s="118"/>
      <c r="AS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64"/>
      <c r="O570" s="161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  <c r="AI570" s="118"/>
      <c r="AJ570" s="118"/>
      <c r="AK570" s="118"/>
      <c r="AL570" s="118"/>
      <c r="AM570" s="118"/>
      <c r="AN570" s="118"/>
      <c r="AO570" s="118"/>
      <c r="AP570" s="118"/>
      <c r="AQ570" s="118"/>
      <c r="AR570" s="118"/>
      <c r="AS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64"/>
      <c r="O571" s="161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  <c r="AI571" s="118"/>
      <c r="AJ571" s="118"/>
      <c r="AK571" s="118"/>
      <c r="AL571" s="118"/>
      <c r="AM571" s="118"/>
      <c r="AN571" s="118"/>
      <c r="AO571" s="118"/>
      <c r="AP571" s="118"/>
      <c r="AQ571" s="118"/>
      <c r="AR571" s="118"/>
      <c r="AS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64"/>
      <c r="O572" s="161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  <c r="AI572" s="118"/>
      <c r="AJ572" s="118"/>
      <c r="AK572" s="118"/>
      <c r="AL572" s="118"/>
      <c r="AM572" s="118"/>
      <c r="AN572" s="118"/>
      <c r="AO572" s="118"/>
      <c r="AP572" s="118"/>
      <c r="AQ572" s="118"/>
      <c r="AR572" s="118"/>
      <c r="AS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64"/>
      <c r="O573" s="161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  <c r="AI573" s="118"/>
      <c r="AJ573" s="118"/>
      <c r="AK573" s="118"/>
      <c r="AL573" s="118"/>
      <c r="AM573" s="118"/>
      <c r="AN573" s="118"/>
      <c r="AO573" s="118"/>
      <c r="AP573" s="118"/>
      <c r="AQ573" s="118"/>
      <c r="AR573" s="118"/>
      <c r="AS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64"/>
      <c r="O574" s="161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  <c r="AL574" s="118"/>
      <c r="AM574" s="118"/>
      <c r="AN574" s="118"/>
      <c r="AO574" s="118"/>
      <c r="AP574" s="118"/>
      <c r="AQ574" s="118"/>
      <c r="AR574" s="118"/>
      <c r="AS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64"/>
      <c r="O575" s="161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  <c r="AL575" s="118"/>
      <c r="AM575" s="118"/>
      <c r="AN575" s="118"/>
      <c r="AO575" s="118"/>
      <c r="AP575" s="118"/>
      <c r="AQ575" s="118"/>
      <c r="AR575" s="118"/>
      <c r="AS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64"/>
      <c r="O576" s="161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  <c r="AL576" s="118"/>
      <c r="AM576" s="118"/>
      <c r="AN576" s="118"/>
      <c r="AO576" s="118"/>
      <c r="AP576" s="118"/>
      <c r="AQ576" s="118"/>
      <c r="AR576" s="118"/>
      <c r="AS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64"/>
      <c r="O577" s="161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  <c r="AI577" s="118"/>
      <c r="AJ577" s="118"/>
      <c r="AK577" s="118"/>
      <c r="AL577" s="118"/>
      <c r="AM577" s="118"/>
      <c r="AN577" s="118"/>
      <c r="AO577" s="118"/>
      <c r="AP577" s="118"/>
      <c r="AQ577" s="118"/>
      <c r="AR577" s="118"/>
      <c r="AS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64"/>
      <c r="O578" s="161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64"/>
      <c r="O579" s="161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  <c r="AI579" s="118"/>
      <c r="AJ579" s="118"/>
      <c r="AK579" s="118"/>
      <c r="AL579" s="118"/>
      <c r="AM579" s="118"/>
      <c r="AN579" s="118"/>
      <c r="AO579" s="118"/>
      <c r="AP579" s="118"/>
      <c r="AQ579" s="118"/>
      <c r="AR579" s="118"/>
      <c r="AS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64"/>
      <c r="O580" s="161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  <c r="AI580" s="118"/>
      <c r="AJ580" s="118"/>
      <c r="AK580" s="118"/>
      <c r="AL580" s="118"/>
      <c r="AM580" s="118"/>
      <c r="AN580" s="118"/>
      <c r="AO580" s="118"/>
      <c r="AP580" s="118"/>
      <c r="AQ580" s="118"/>
      <c r="AR580" s="118"/>
      <c r="AS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64"/>
      <c r="O581" s="161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118"/>
      <c r="AN581" s="118"/>
      <c r="AO581" s="118"/>
      <c r="AP581" s="118"/>
      <c r="AQ581" s="118"/>
      <c r="AR581" s="118"/>
      <c r="AS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64"/>
      <c r="O582" s="161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118"/>
      <c r="AN582" s="118"/>
      <c r="AO582" s="118"/>
      <c r="AP582" s="118"/>
      <c r="AQ582" s="118"/>
      <c r="AR582" s="118"/>
      <c r="AS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64"/>
      <c r="O583" s="161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  <c r="AL583" s="118"/>
      <c r="AM583" s="118"/>
      <c r="AN583" s="118"/>
      <c r="AO583" s="118"/>
      <c r="AP583" s="118"/>
      <c r="AQ583" s="118"/>
      <c r="AR583" s="118"/>
      <c r="AS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64"/>
      <c r="O584" s="161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  <c r="AL584" s="118"/>
      <c r="AM584" s="118"/>
      <c r="AN584" s="118"/>
      <c r="AO584" s="118"/>
      <c r="AP584" s="118"/>
      <c r="AQ584" s="118"/>
      <c r="AR584" s="118"/>
      <c r="AS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64"/>
      <c r="O585" s="161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  <c r="AL585" s="118"/>
      <c r="AM585" s="118"/>
      <c r="AN585" s="118"/>
      <c r="AO585" s="118"/>
      <c r="AP585" s="118"/>
      <c r="AQ585" s="118"/>
      <c r="AR585" s="118"/>
      <c r="AS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64"/>
      <c r="O586" s="161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64"/>
      <c r="O587" s="161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  <c r="AL587" s="118"/>
      <c r="AM587" s="118"/>
      <c r="AN587" s="118"/>
      <c r="AO587" s="118"/>
      <c r="AP587" s="118"/>
      <c r="AQ587" s="118"/>
      <c r="AR587" s="118"/>
      <c r="AS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64"/>
      <c r="O588" s="161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118"/>
      <c r="AN588" s="118"/>
      <c r="AO588" s="118"/>
      <c r="AP588" s="118"/>
      <c r="AQ588" s="118"/>
      <c r="AR588" s="118"/>
      <c r="AS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64"/>
      <c r="O589" s="161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  <c r="AL589" s="118"/>
      <c r="AM589" s="118"/>
      <c r="AN589" s="118"/>
      <c r="AO589" s="118"/>
      <c r="AP589" s="118"/>
      <c r="AQ589" s="118"/>
      <c r="AR589" s="118"/>
      <c r="AS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64"/>
      <c r="O590" s="161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  <c r="AL590" s="118"/>
      <c r="AM590" s="118"/>
      <c r="AN590" s="118"/>
      <c r="AO590" s="118"/>
      <c r="AP590" s="118"/>
      <c r="AQ590" s="118"/>
      <c r="AR590" s="118"/>
      <c r="AS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64"/>
      <c r="O591" s="161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  <c r="AL591" s="118"/>
      <c r="AM591" s="118"/>
      <c r="AN591" s="118"/>
      <c r="AO591" s="118"/>
      <c r="AP591" s="118"/>
      <c r="AQ591" s="118"/>
      <c r="AR591" s="118"/>
      <c r="AS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64"/>
      <c r="O592" s="161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  <c r="AL592" s="118"/>
      <c r="AM592" s="118"/>
      <c r="AN592" s="118"/>
      <c r="AO592" s="118"/>
      <c r="AP592" s="118"/>
      <c r="AQ592" s="118"/>
      <c r="AR592" s="118"/>
      <c r="AS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64"/>
      <c r="O593" s="161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  <c r="AL593" s="118"/>
      <c r="AM593" s="118"/>
      <c r="AN593" s="118"/>
      <c r="AO593" s="118"/>
      <c r="AP593" s="118"/>
      <c r="AQ593" s="118"/>
      <c r="AR593" s="118"/>
      <c r="AS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64"/>
      <c r="O594" s="161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8"/>
      <c r="AN594" s="118"/>
      <c r="AO594" s="118"/>
      <c r="AP594" s="118"/>
      <c r="AQ594" s="118"/>
      <c r="AR594" s="118"/>
      <c r="AS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64"/>
      <c r="O595" s="161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  <c r="AL595" s="118"/>
      <c r="AM595" s="118"/>
      <c r="AN595" s="118"/>
      <c r="AO595" s="118"/>
      <c r="AP595" s="118"/>
      <c r="AQ595" s="118"/>
      <c r="AR595" s="118"/>
      <c r="AS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64"/>
      <c r="O596" s="161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  <c r="AL596" s="118"/>
      <c r="AM596" s="118"/>
      <c r="AN596" s="118"/>
      <c r="AO596" s="118"/>
      <c r="AP596" s="118"/>
      <c r="AQ596" s="118"/>
      <c r="AR596" s="118"/>
      <c r="AS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64"/>
      <c r="O597" s="161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  <c r="AL597" s="118"/>
      <c r="AM597" s="118"/>
      <c r="AN597" s="118"/>
      <c r="AO597" s="118"/>
      <c r="AP597" s="118"/>
      <c r="AQ597" s="118"/>
      <c r="AR597" s="118"/>
      <c r="AS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64"/>
      <c r="O598" s="161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  <c r="AL598" s="118"/>
      <c r="AM598" s="118"/>
      <c r="AN598" s="118"/>
      <c r="AO598" s="118"/>
      <c r="AP598" s="118"/>
      <c r="AQ598" s="118"/>
      <c r="AR598" s="118"/>
      <c r="AS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64"/>
      <c r="O599" s="161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18"/>
      <c r="AS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64"/>
      <c r="O600" s="161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18"/>
      <c r="AS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64"/>
      <c r="O601" s="161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18"/>
      <c r="AS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64"/>
      <c r="O602" s="161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18"/>
      <c r="AS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64"/>
      <c r="O603" s="161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18"/>
      <c r="AS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64"/>
      <c r="O604" s="161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64"/>
      <c r="O605" s="161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18"/>
      <c r="AS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64"/>
      <c r="O606" s="161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18"/>
      <c r="AS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64"/>
      <c r="O607" s="161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18"/>
      <c r="AS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64"/>
      <c r="O608" s="161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  <c r="AI608" s="118"/>
      <c r="AJ608" s="118"/>
      <c r="AK608" s="118"/>
      <c r="AL608" s="118"/>
      <c r="AM608" s="118"/>
      <c r="AN608" s="118"/>
      <c r="AO608" s="118"/>
      <c r="AP608" s="118"/>
      <c r="AQ608" s="118"/>
      <c r="AR608" s="118"/>
      <c r="AS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64"/>
      <c r="O609" s="161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  <c r="AI609" s="118"/>
      <c r="AJ609" s="118"/>
      <c r="AK609" s="118"/>
      <c r="AL609" s="118"/>
      <c r="AM609" s="118"/>
      <c r="AN609" s="118"/>
      <c r="AO609" s="118"/>
      <c r="AP609" s="118"/>
      <c r="AQ609" s="118"/>
      <c r="AR609" s="118"/>
      <c r="AS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64"/>
      <c r="O610" s="161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  <c r="AI610" s="118"/>
      <c r="AJ610" s="118"/>
      <c r="AK610" s="118"/>
      <c r="AL610" s="118"/>
      <c r="AM610" s="118"/>
      <c r="AN610" s="118"/>
      <c r="AO610" s="118"/>
      <c r="AP610" s="118"/>
      <c r="AQ610" s="118"/>
      <c r="AR610" s="118"/>
      <c r="AS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64"/>
      <c r="O611" s="161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  <c r="AI611" s="118"/>
      <c r="AJ611" s="118"/>
      <c r="AK611" s="118"/>
      <c r="AL611" s="118"/>
      <c r="AM611" s="118"/>
      <c r="AN611" s="118"/>
      <c r="AO611" s="118"/>
      <c r="AP611" s="118"/>
      <c r="AQ611" s="118"/>
      <c r="AR611" s="118"/>
      <c r="AS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64"/>
      <c r="O612" s="161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  <c r="AI612" s="118"/>
      <c r="AJ612" s="118"/>
      <c r="AK612" s="118"/>
      <c r="AL612" s="118"/>
      <c r="AM612" s="118"/>
      <c r="AN612" s="118"/>
      <c r="AO612" s="118"/>
      <c r="AP612" s="118"/>
      <c r="AQ612" s="118"/>
      <c r="AR612" s="118"/>
      <c r="AS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64"/>
      <c r="O613" s="161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  <c r="AI613" s="118"/>
      <c r="AJ613" s="118"/>
      <c r="AK613" s="118"/>
      <c r="AL613" s="118"/>
      <c r="AM613" s="118"/>
      <c r="AN613" s="118"/>
      <c r="AO613" s="118"/>
      <c r="AP613" s="118"/>
      <c r="AQ613" s="118"/>
      <c r="AR613" s="118"/>
      <c r="AS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64"/>
      <c r="O614" s="161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  <c r="AI614" s="118"/>
      <c r="AJ614" s="118"/>
      <c r="AK614" s="118"/>
      <c r="AL614" s="118"/>
      <c r="AM614" s="118"/>
      <c r="AN614" s="118"/>
      <c r="AO614" s="118"/>
      <c r="AP614" s="118"/>
      <c r="AQ614" s="118"/>
      <c r="AR614" s="118"/>
      <c r="AS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64"/>
      <c r="O615" s="161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  <c r="AI615" s="118"/>
      <c r="AJ615" s="118"/>
      <c r="AK615" s="118"/>
      <c r="AL615" s="118"/>
      <c r="AM615" s="118"/>
      <c r="AN615" s="118"/>
      <c r="AO615" s="118"/>
      <c r="AP615" s="118"/>
      <c r="AQ615" s="118"/>
      <c r="AR615" s="118"/>
      <c r="AS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64"/>
      <c r="O616" s="161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  <c r="AI616" s="118"/>
      <c r="AJ616" s="118"/>
      <c r="AK616" s="118"/>
      <c r="AL616" s="118"/>
      <c r="AM616" s="118"/>
      <c r="AN616" s="118"/>
      <c r="AO616" s="118"/>
      <c r="AP616" s="118"/>
      <c r="AQ616" s="118"/>
      <c r="AR616" s="118"/>
      <c r="AS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64"/>
      <c r="O617" s="161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  <c r="AI617" s="118"/>
      <c r="AJ617" s="118"/>
      <c r="AK617" s="118"/>
      <c r="AL617" s="118"/>
      <c r="AM617" s="118"/>
      <c r="AN617" s="118"/>
      <c r="AO617" s="118"/>
      <c r="AP617" s="118"/>
      <c r="AQ617" s="118"/>
      <c r="AR617" s="118"/>
      <c r="AS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64"/>
      <c r="O618" s="161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  <c r="AI618" s="118"/>
      <c r="AJ618" s="118"/>
      <c r="AK618" s="118"/>
      <c r="AL618" s="118"/>
      <c r="AM618" s="118"/>
      <c r="AN618" s="118"/>
      <c r="AO618" s="118"/>
      <c r="AP618" s="118"/>
      <c r="AQ618" s="118"/>
      <c r="AR618" s="118"/>
      <c r="AS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64"/>
      <c r="O619" s="161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  <c r="AI619" s="118"/>
      <c r="AJ619" s="118"/>
      <c r="AK619" s="118"/>
      <c r="AL619" s="118"/>
      <c r="AM619" s="118"/>
      <c r="AN619" s="118"/>
      <c r="AO619" s="118"/>
      <c r="AP619" s="118"/>
      <c r="AQ619" s="118"/>
      <c r="AR619" s="118"/>
      <c r="AS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64"/>
      <c r="O620" s="161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  <c r="AI620" s="118"/>
      <c r="AJ620" s="118"/>
      <c r="AK620" s="118"/>
      <c r="AL620" s="118"/>
      <c r="AM620" s="118"/>
      <c r="AN620" s="118"/>
      <c r="AO620" s="118"/>
      <c r="AP620" s="118"/>
      <c r="AQ620" s="118"/>
      <c r="AR620" s="118"/>
      <c r="AS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64"/>
      <c r="O621" s="161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  <c r="AI621" s="118"/>
      <c r="AJ621" s="118"/>
      <c r="AK621" s="118"/>
      <c r="AL621" s="118"/>
      <c r="AM621" s="118"/>
      <c r="AN621" s="118"/>
      <c r="AO621" s="118"/>
      <c r="AP621" s="118"/>
      <c r="AQ621" s="118"/>
      <c r="AR621" s="118"/>
      <c r="AS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64"/>
      <c r="O622" s="161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64"/>
      <c r="O623" s="161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  <c r="AL623" s="118"/>
      <c r="AM623" s="118"/>
      <c r="AN623" s="118"/>
      <c r="AO623" s="118"/>
      <c r="AP623" s="118"/>
      <c r="AQ623" s="118"/>
      <c r="AR623" s="118"/>
      <c r="AS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64"/>
      <c r="O624" s="161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  <c r="AL624" s="118"/>
      <c r="AM624" s="118"/>
      <c r="AN624" s="118"/>
      <c r="AO624" s="118"/>
      <c r="AP624" s="118"/>
      <c r="AQ624" s="118"/>
      <c r="AR624" s="118"/>
      <c r="AS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64"/>
      <c r="O625" s="161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  <c r="AI625" s="118"/>
      <c r="AJ625" s="118"/>
      <c r="AK625" s="118"/>
      <c r="AL625" s="118"/>
      <c r="AM625" s="118"/>
      <c r="AN625" s="118"/>
      <c r="AO625" s="118"/>
      <c r="AP625" s="118"/>
      <c r="AQ625" s="118"/>
      <c r="AR625" s="118"/>
      <c r="AS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64"/>
      <c r="O626" s="161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64"/>
      <c r="O627" s="161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  <c r="AI627" s="118"/>
      <c r="AJ627" s="118"/>
      <c r="AK627" s="118"/>
      <c r="AL627" s="118"/>
      <c r="AM627" s="118"/>
      <c r="AN627" s="118"/>
      <c r="AO627" s="118"/>
      <c r="AP627" s="118"/>
      <c r="AQ627" s="118"/>
      <c r="AR627" s="118"/>
      <c r="AS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64"/>
      <c r="O628" s="161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  <c r="AI628" s="118"/>
      <c r="AJ628" s="118"/>
      <c r="AK628" s="118"/>
      <c r="AL628" s="118"/>
      <c r="AM628" s="118"/>
      <c r="AN628" s="118"/>
      <c r="AO628" s="118"/>
      <c r="AP628" s="118"/>
      <c r="AQ628" s="118"/>
      <c r="AR628" s="118"/>
      <c r="AS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64"/>
      <c r="O629" s="161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  <c r="AI629" s="118"/>
      <c r="AJ629" s="118"/>
      <c r="AK629" s="118"/>
      <c r="AL629" s="118"/>
      <c r="AM629" s="118"/>
      <c r="AN629" s="118"/>
      <c r="AO629" s="118"/>
      <c r="AP629" s="118"/>
      <c r="AQ629" s="118"/>
      <c r="AR629" s="118"/>
      <c r="AS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64"/>
      <c r="O630" s="161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  <c r="AL630" s="118"/>
      <c r="AM630" s="118"/>
      <c r="AN630" s="118"/>
      <c r="AO630" s="118"/>
      <c r="AP630" s="118"/>
      <c r="AQ630" s="118"/>
      <c r="AR630" s="118"/>
      <c r="AS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64"/>
      <c r="O631" s="161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  <c r="AL631" s="118"/>
      <c r="AM631" s="118"/>
      <c r="AN631" s="118"/>
      <c r="AO631" s="118"/>
      <c r="AP631" s="118"/>
      <c r="AQ631" s="118"/>
      <c r="AR631" s="118"/>
      <c r="AS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64"/>
      <c r="O632" s="161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8"/>
      <c r="AN632" s="118"/>
      <c r="AO632" s="118"/>
      <c r="AP632" s="118"/>
      <c r="AQ632" s="118"/>
      <c r="AR632" s="118"/>
      <c r="AS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64"/>
      <c r="O633" s="161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  <c r="AL633" s="118"/>
      <c r="AM633" s="118"/>
      <c r="AN633" s="118"/>
      <c r="AO633" s="118"/>
      <c r="AP633" s="118"/>
      <c r="AQ633" s="118"/>
      <c r="AR633" s="118"/>
      <c r="AS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64"/>
      <c r="O634" s="161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  <c r="AL634" s="118"/>
      <c r="AM634" s="118"/>
      <c r="AN634" s="118"/>
      <c r="AO634" s="118"/>
      <c r="AP634" s="118"/>
      <c r="AQ634" s="118"/>
      <c r="AR634" s="118"/>
      <c r="AS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64"/>
      <c r="O635" s="161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  <c r="AL635" s="118"/>
      <c r="AM635" s="118"/>
      <c r="AN635" s="118"/>
      <c r="AO635" s="118"/>
      <c r="AP635" s="118"/>
      <c r="AQ635" s="118"/>
      <c r="AR635" s="118"/>
      <c r="AS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64"/>
      <c r="O636" s="161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  <c r="AL636" s="118"/>
      <c r="AM636" s="118"/>
      <c r="AN636" s="118"/>
      <c r="AO636" s="118"/>
      <c r="AP636" s="118"/>
      <c r="AQ636" s="118"/>
      <c r="AR636" s="118"/>
      <c r="AS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64"/>
      <c r="O637" s="161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  <c r="AL637" s="118"/>
      <c r="AM637" s="118"/>
      <c r="AN637" s="118"/>
      <c r="AO637" s="118"/>
      <c r="AP637" s="118"/>
      <c r="AQ637" s="118"/>
      <c r="AR637" s="118"/>
      <c r="AS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64"/>
      <c r="O638" s="161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  <c r="AL638" s="118"/>
      <c r="AM638" s="118"/>
      <c r="AN638" s="118"/>
      <c r="AO638" s="118"/>
      <c r="AP638" s="118"/>
      <c r="AQ638" s="118"/>
      <c r="AR638" s="118"/>
      <c r="AS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64"/>
      <c r="O639" s="161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  <c r="AL639" s="118"/>
      <c r="AM639" s="118"/>
      <c r="AN639" s="118"/>
      <c r="AO639" s="118"/>
      <c r="AP639" s="118"/>
      <c r="AQ639" s="118"/>
      <c r="AR639" s="118"/>
      <c r="AS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64"/>
      <c r="O640" s="161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64"/>
      <c r="O641" s="161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  <c r="AL641" s="118"/>
      <c r="AM641" s="118"/>
      <c r="AN641" s="118"/>
      <c r="AO641" s="118"/>
      <c r="AP641" s="118"/>
      <c r="AQ641" s="118"/>
      <c r="AR641" s="118"/>
      <c r="AS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64"/>
      <c r="O642" s="161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  <c r="AL642" s="118"/>
      <c r="AM642" s="118"/>
      <c r="AN642" s="118"/>
      <c r="AO642" s="118"/>
      <c r="AP642" s="118"/>
      <c r="AQ642" s="118"/>
      <c r="AR642" s="118"/>
      <c r="AS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64"/>
      <c r="O643" s="161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  <c r="AL643" s="118"/>
      <c r="AM643" s="118"/>
      <c r="AN643" s="118"/>
      <c r="AO643" s="118"/>
      <c r="AP643" s="118"/>
      <c r="AQ643" s="118"/>
      <c r="AR643" s="118"/>
      <c r="AS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64"/>
      <c r="O644" s="161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  <c r="AL644" s="118"/>
      <c r="AM644" s="118"/>
      <c r="AN644" s="118"/>
      <c r="AO644" s="118"/>
      <c r="AP644" s="118"/>
      <c r="AQ644" s="118"/>
      <c r="AR644" s="118"/>
      <c r="AS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64"/>
      <c r="O645" s="161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  <c r="AL645" s="118"/>
      <c r="AM645" s="118"/>
      <c r="AN645" s="118"/>
      <c r="AO645" s="118"/>
      <c r="AP645" s="118"/>
      <c r="AQ645" s="118"/>
      <c r="AR645" s="118"/>
      <c r="AS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64"/>
      <c r="O646" s="161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64"/>
      <c r="O647" s="161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64"/>
      <c r="O648" s="161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64"/>
      <c r="O649" s="161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64"/>
      <c r="O650" s="161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  <c r="AL650" s="118"/>
      <c r="AM650" s="118"/>
      <c r="AN650" s="118"/>
      <c r="AO650" s="118"/>
      <c r="AP650" s="118"/>
      <c r="AQ650" s="118"/>
      <c r="AR650" s="118"/>
      <c r="AS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64"/>
      <c r="O651" s="161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  <c r="AL651" s="118"/>
      <c r="AM651" s="118"/>
      <c r="AN651" s="118"/>
      <c r="AO651" s="118"/>
      <c r="AP651" s="118"/>
      <c r="AQ651" s="118"/>
      <c r="AR651" s="118"/>
      <c r="AS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64"/>
      <c r="O652" s="161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  <c r="AL652" s="118"/>
      <c r="AM652" s="118"/>
      <c r="AN652" s="118"/>
      <c r="AO652" s="118"/>
      <c r="AP652" s="118"/>
      <c r="AQ652" s="118"/>
      <c r="AR652" s="118"/>
      <c r="AS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64"/>
      <c r="O653" s="161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  <c r="AL653" s="118"/>
      <c r="AM653" s="118"/>
      <c r="AN653" s="118"/>
      <c r="AO653" s="118"/>
      <c r="AP653" s="118"/>
      <c r="AQ653" s="118"/>
      <c r="AR653" s="118"/>
      <c r="AS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64"/>
      <c r="O654" s="161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  <c r="AL654" s="118"/>
      <c r="AM654" s="118"/>
      <c r="AN654" s="118"/>
      <c r="AO654" s="118"/>
      <c r="AP654" s="118"/>
      <c r="AQ654" s="118"/>
      <c r="AR654" s="118"/>
      <c r="AS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64"/>
      <c r="O655" s="161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  <c r="AL655" s="118"/>
      <c r="AM655" s="118"/>
      <c r="AN655" s="118"/>
      <c r="AO655" s="118"/>
      <c r="AP655" s="118"/>
      <c r="AQ655" s="118"/>
      <c r="AR655" s="118"/>
      <c r="AS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64"/>
      <c r="O656" s="161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  <c r="AI656" s="118"/>
      <c r="AJ656" s="118"/>
      <c r="AK656" s="118"/>
      <c r="AL656" s="118"/>
      <c r="AM656" s="118"/>
      <c r="AN656" s="118"/>
      <c r="AO656" s="118"/>
      <c r="AP656" s="118"/>
      <c r="AQ656" s="118"/>
      <c r="AR656" s="118"/>
      <c r="AS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64"/>
      <c r="O657" s="161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64"/>
      <c r="O658" s="161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  <c r="AI658" s="118"/>
      <c r="AJ658" s="118"/>
      <c r="AK658" s="118"/>
      <c r="AL658" s="118"/>
      <c r="AM658" s="118"/>
      <c r="AN658" s="118"/>
      <c r="AO658" s="118"/>
      <c r="AP658" s="118"/>
      <c r="AQ658" s="118"/>
      <c r="AR658" s="118"/>
      <c r="AS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64"/>
      <c r="O659" s="161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  <c r="AL659" s="118"/>
      <c r="AM659" s="118"/>
      <c r="AN659" s="118"/>
      <c r="AO659" s="118"/>
      <c r="AP659" s="118"/>
      <c r="AQ659" s="118"/>
      <c r="AR659" s="118"/>
      <c r="AS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64"/>
      <c r="O660" s="161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  <c r="AL660" s="118"/>
      <c r="AM660" s="118"/>
      <c r="AN660" s="118"/>
      <c r="AO660" s="118"/>
      <c r="AP660" s="118"/>
      <c r="AQ660" s="118"/>
      <c r="AR660" s="118"/>
      <c r="AS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64"/>
      <c r="O661" s="161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  <c r="AL661" s="118"/>
      <c r="AM661" s="118"/>
      <c r="AN661" s="118"/>
      <c r="AO661" s="118"/>
      <c r="AP661" s="118"/>
      <c r="AQ661" s="118"/>
      <c r="AR661" s="118"/>
      <c r="AS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64"/>
      <c r="O662" s="161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  <c r="AL662" s="118"/>
      <c r="AM662" s="118"/>
      <c r="AN662" s="118"/>
      <c r="AO662" s="118"/>
      <c r="AP662" s="118"/>
      <c r="AQ662" s="118"/>
      <c r="AR662" s="118"/>
      <c r="AS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64"/>
      <c r="O663" s="161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  <c r="AL663" s="118"/>
      <c r="AM663" s="118"/>
      <c r="AN663" s="118"/>
      <c r="AO663" s="118"/>
      <c r="AP663" s="118"/>
      <c r="AQ663" s="118"/>
      <c r="AR663" s="118"/>
      <c r="AS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64"/>
      <c r="O664" s="161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  <c r="AL664" s="118"/>
      <c r="AM664" s="118"/>
      <c r="AN664" s="118"/>
      <c r="AO664" s="118"/>
      <c r="AP664" s="118"/>
      <c r="AQ664" s="118"/>
      <c r="AR664" s="118"/>
      <c r="AS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64"/>
      <c r="O665" s="161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  <c r="AL665" s="118"/>
      <c r="AM665" s="118"/>
      <c r="AN665" s="118"/>
      <c r="AO665" s="118"/>
      <c r="AP665" s="118"/>
      <c r="AQ665" s="118"/>
      <c r="AR665" s="118"/>
      <c r="AS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64"/>
      <c r="O666" s="161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  <c r="AL666" s="118"/>
      <c r="AM666" s="118"/>
      <c r="AN666" s="118"/>
      <c r="AO666" s="118"/>
      <c r="AP666" s="118"/>
      <c r="AQ666" s="118"/>
      <c r="AR666" s="118"/>
      <c r="AS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64"/>
      <c r="O667" s="161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  <c r="AL667" s="118"/>
      <c r="AM667" s="118"/>
      <c r="AN667" s="118"/>
      <c r="AO667" s="118"/>
      <c r="AP667" s="118"/>
      <c r="AQ667" s="118"/>
      <c r="AR667" s="118"/>
      <c r="AS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64"/>
      <c r="O668" s="161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  <c r="AL668" s="118"/>
      <c r="AM668" s="118"/>
      <c r="AN668" s="118"/>
      <c r="AO668" s="118"/>
      <c r="AP668" s="118"/>
      <c r="AQ668" s="118"/>
      <c r="AR668" s="118"/>
      <c r="AS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64"/>
      <c r="O669" s="161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  <c r="AL669" s="118"/>
      <c r="AM669" s="118"/>
      <c r="AN669" s="118"/>
      <c r="AO669" s="118"/>
      <c r="AP669" s="118"/>
      <c r="AQ669" s="118"/>
      <c r="AR669" s="118"/>
      <c r="AS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64"/>
      <c r="O670" s="161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8"/>
      <c r="AN670" s="118"/>
      <c r="AO670" s="118"/>
      <c r="AP670" s="118"/>
      <c r="AQ670" s="118"/>
      <c r="AR670" s="118"/>
      <c r="AS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64"/>
      <c r="O671" s="161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  <c r="AL671" s="118"/>
      <c r="AM671" s="118"/>
      <c r="AN671" s="118"/>
      <c r="AO671" s="118"/>
      <c r="AP671" s="118"/>
      <c r="AQ671" s="118"/>
      <c r="AR671" s="118"/>
      <c r="AS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64"/>
      <c r="O672" s="161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  <c r="AL672" s="118"/>
      <c r="AM672" s="118"/>
      <c r="AN672" s="118"/>
      <c r="AO672" s="118"/>
      <c r="AP672" s="118"/>
      <c r="AQ672" s="118"/>
      <c r="AR672" s="118"/>
      <c r="AS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64"/>
      <c r="O673" s="161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  <c r="AL673" s="118"/>
      <c r="AM673" s="118"/>
      <c r="AN673" s="118"/>
      <c r="AO673" s="118"/>
      <c r="AP673" s="118"/>
      <c r="AQ673" s="118"/>
      <c r="AR673" s="118"/>
      <c r="AS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64"/>
      <c r="O674" s="161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  <c r="AL674" s="118"/>
      <c r="AM674" s="118"/>
      <c r="AN674" s="118"/>
      <c r="AO674" s="118"/>
      <c r="AP674" s="118"/>
      <c r="AQ674" s="118"/>
      <c r="AR674" s="118"/>
      <c r="AS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64"/>
      <c r="O675" s="161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  <c r="AL675" s="118"/>
      <c r="AM675" s="118"/>
      <c r="AN675" s="118"/>
      <c r="AO675" s="118"/>
      <c r="AP675" s="118"/>
      <c r="AQ675" s="118"/>
      <c r="AR675" s="118"/>
      <c r="AS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64"/>
      <c r="O676" s="161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  <c r="AL676" s="118"/>
      <c r="AM676" s="118"/>
      <c r="AN676" s="118"/>
      <c r="AO676" s="118"/>
      <c r="AP676" s="118"/>
      <c r="AQ676" s="118"/>
      <c r="AR676" s="118"/>
      <c r="AS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64"/>
      <c r="O677" s="161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  <c r="AL677" s="118"/>
      <c r="AM677" s="118"/>
      <c r="AN677" s="118"/>
      <c r="AO677" s="118"/>
      <c r="AP677" s="118"/>
      <c r="AQ677" s="118"/>
      <c r="AR677" s="118"/>
      <c r="AS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64"/>
      <c r="O678" s="161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  <c r="AL678" s="118"/>
      <c r="AM678" s="118"/>
      <c r="AN678" s="118"/>
      <c r="AO678" s="118"/>
      <c r="AP678" s="118"/>
      <c r="AQ678" s="118"/>
      <c r="AR678" s="118"/>
      <c r="AS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64"/>
      <c r="O679" s="161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  <c r="AL679" s="118"/>
      <c r="AM679" s="118"/>
      <c r="AN679" s="118"/>
      <c r="AO679" s="118"/>
      <c r="AP679" s="118"/>
      <c r="AQ679" s="118"/>
      <c r="AR679" s="118"/>
      <c r="AS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64"/>
      <c r="O680" s="161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  <c r="AL680" s="118"/>
      <c r="AM680" s="118"/>
      <c r="AN680" s="118"/>
      <c r="AO680" s="118"/>
      <c r="AP680" s="118"/>
      <c r="AQ680" s="118"/>
      <c r="AR680" s="118"/>
      <c r="AS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64"/>
      <c r="O681" s="161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  <c r="AL681" s="118"/>
      <c r="AM681" s="118"/>
      <c r="AN681" s="118"/>
      <c r="AO681" s="118"/>
      <c r="AP681" s="118"/>
      <c r="AQ681" s="118"/>
      <c r="AR681" s="118"/>
      <c r="AS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64"/>
      <c r="O682" s="161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  <c r="AL682" s="118"/>
      <c r="AM682" s="118"/>
      <c r="AN682" s="118"/>
      <c r="AO682" s="118"/>
      <c r="AP682" s="118"/>
      <c r="AQ682" s="118"/>
      <c r="AR682" s="118"/>
      <c r="AS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64"/>
      <c r="O683" s="161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  <c r="AL683" s="118"/>
      <c r="AM683" s="118"/>
      <c r="AN683" s="118"/>
      <c r="AO683" s="118"/>
      <c r="AP683" s="118"/>
      <c r="AQ683" s="118"/>
      <c r="AR683" s="118"/>
      <c r="AS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64"/>
      <c r="O684" s="161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  <c r="AL684" s="118"/>
      <c r="AM684" s="118"/>
      <c r="AN684" s="118"/>
      <c r="AO684" s="118"/>
      <c r="AP684" s="118"/>
      <c r="AQ684" s="118"/>
      <c r="AR684" s="118"/>
      <c r="AS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64"/>
      <c r="O685" s="161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  <c r="AL685" s="118"/>
      <c r="AM685" s="118"/>
      <c r="AN685" s="118"/>
      <c r="AO685" s="118"/>
      <c r="AP685" s="118"/>
      <c r="AQ685" s="118"/>
      <c r="AR685" s="118"/>
      <c r="AS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64"/>
      <c r="O686" s="161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  <c r="AL686" s="118"/>
      <c r="AM686" s="118"/>
      <c r="AN686" s="118"/>
      <c r="AO686" s="118"/>
      <c r="AP686" s="118"/>
      <c r="AQ686" s="118"/>
      <c r="AR686" s="118"/>
      <c r="AS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64"/>
      <c r="O687" s="161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  <c r="AL687" s="118"/>
      <c r="AM687" s="118"/>
      <c r="AN687" s="118"/>
      <c r="AO687" s="118"/>
      <c r="AP687" s="118"/>
      <c r="AQ687" s="118"/>
      <c r="AR687" s="118"/>
      <c r="AS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64"/>
      <c r="O688" s="161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  <c r="AL688" s="118"/>
      <c r="AM688" s="118"/>
      <c r="AN688" s="118"/>
      <c r="AO688" s="118"/>
      <c r="AP688" s="118"/>
      <c r="AQ688" s="118"/>
      <c r="AR688" s="118"/>
      <c r="AS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64"/>
      <c r="O689" s="161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  <c r="AL689" s="118"/>
      <c r="AM689" s="118"/>
      <c r="AN689" s="118"/>
      <c r="AO689" s="118"/>
      <c r="AP689" s="118"/>
      <c r="AQ689" s="118"/>
      <c r="AR689" s="118"/>
      <c r="AS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64"/>
      <c r="O690" s="161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  <c r="AL690" s="118"/>
      <c r="AM690" s="118"/>
      <c r="AN690" s="118"/>
      <c r="AO690" s="118"/>
      <c r="AP690" s="118"/>
      <c r="AQ690" s="118"/>
      <c r="AR690" s="118"/>
      <c r="AS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64"/>
      <c r="O691" s="161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  <c r="AL691" s="118"/>
      <c r="AM691" s="118"/>
      <c r="AN691" s="118"/>
      <c r="AO691" s="118"/>
      <c r="AP691" s="118"/>
      <c r="AQ691" s="118"/>
      <c r="AR691" s="118"/>
      <c r="AS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64"/>
      <c r="O692" s="161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  <c r="AL692" s="118"/>
      <c r="AM692" s="118"/>
      <c r="AN692" s="118"/>
      <c r="AO692" s="118"/>
      <c r="AP692" s="118"/>
      <c r="AQ692" s="118"/>
      <c r="AR692" s="118"/>
      <c r="AS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64"/>
      <c r="O693" s="161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  <c r="AL693" s="118"/>
      <c r="AM693" s="118"/>
      <c r="AN693" s="118"/>
      <c r="AO693" s="118"/>
      <c r="AP693" s="118"/>
      <c r="AQ693" s="118"/>
      <c r="AR693" s="118"/>
      <c r="AS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64"/>
      <c r="O694" s="161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  <c r="AL694" s="118"/>
      <c r="AM694" s="118"/>
      <c r="AN694" s="118"/>
      <c r="AO694" s="118"/>
      <c r="AP694" s="118"/>
      <c r="AQ694" s="118"/>
      <c r="AR694" s="118"/>
      <c r="AS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64"/>
      <c r="O695" s="161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  <c r="AI695" s="118"/>
      <c r="AJ695" s="118"/>
      <c r="AK695" s="118"/>
      <c r="AL695" s="118"/>
      <c r="AM695" s="118"/>
      <c r="AN695" s="118"/>
      <c r="AO695" s="118"/>
      <c r="AP695" s="118"/>
      <c r="AQ695" s="118"/>
      <c r="AR695" s="118"/>
      <c r="AS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64"/>
      <c r="O696" s="161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  <c r="AI696" s="118"/>
      <c r="AJ696" s="118"/>
      <c r="AK696" s="118"/>
      <c r="AL696" s="118"/>
      <c r="AM696" s="118"/>
      <c r="AN696" s="118"/>
      <c r="AO696" s="118"/>
      <c r="AP696" s="118"/>
      <c r="AQ696" s="118"/>
      <c r="AR696" s="118"/>
      <c r="AS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64"/>
      <c r="O697" s="161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  <c r="AI697" s="118"/>
      <c r="AJ697" s="118"/>
      <c r="AK697" s="118"/>
      <c r="AL697" s="118"/>
      <c r="AM697" s="118"/>
      <c r="AN697" s="118"/>
      <c r="AO697" s="118"/>
      <c r="AP697" s="118"/>
      <c r="AQ697" s="118"/>
      <c r="AR697" s="118"/>
      <c r="AS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64"/>
      <c r="O698" s="161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  <c r="AI698" s="118"/>
      <c r="AJ698" s="118"/>
      <c r="AK698" s="118"/>
      <c r="AL698" s="118"/>
      <c r="AM698" s="118"/>
      <c r="AN698" s="118"/>
      <c r="AO698" s="118"/>
      <c r="AP698" s="118"/>
      <c r="AQ698" s="118"/>
      <c r="AR698" s="118"/>
      <c r="AS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64"/>
      <c r="O699" s="161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  <c r="AI699" s="118"/>
      <c r="AJ699" s="118"/>
      <c r="AK699" s="118"/>
      <c r="AL699" s="118"/>
      <c r="AM699" s="118"/>
      <c r="AN699" s="118"/>
      <c r="AO699" s="118"/>
      <c r="AP699" s="118"/>
      <c r="AQ699" s="118"/>
      <c r="AR699" s="118"/>
      <c r="AS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64"/>
      <c r="O700" s="161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  <c r="AI700" s="118"/>
      <c r="AJ700" s="118"/>
      <c r="AK700" s="118"/>
      <c r="AL700" s="118"/>
      <c r="AM700" s="118"/>
      <c r="AN700" s="118"/>
      <c r="AO700" s="118"/>
      <c r="AP700" s="118"/>
      <c r="AQ700" s="118"/>
      <c r="AR700" s="118"/>
      <c r="AS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64"/>
      <c r="O701" s="161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  <c r="AI701" s="118"/>
      <c r="AJ701" s="118"/>
      <c r="AK701" s="118"/>
      <c r="AL701" s="118"/>
      <c r="AM701" s="118"/>
      <c r="AN701" s="118"/>
      <c r="AO701" s="118"/>
      <c r="AP701" s="118"/>
      <c r="AQ701" s="118"/>
      <c r="AR701" s="118"/>
      <c r="AS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64"/>
      <c r="O702" s="161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  <c r="AI702" s="118"/>
      <c r="AJ702" s="118"/>
      <c r="AK702" s="118"/>
      <c r="AL702" s="118"/>
      <c r="AM702" s="118"/>
      <c r="AN702" s="118"/>
      <c r="AO702" s="118"/>
      <c r="AP702" s="118"/>
      <c r="AQ702" s="118"/>
      <c r="AR702" s="118"/>
      <c r="AS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64"/>
      <c r="O703" s="161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  <c r="AI703" s="118"/>
      <c r="AJ703" s="118"/>
      <c r="AK703" s="118"/>
      <c r="AL703" s="118"/>
      <c r="AM703" s="118"/>
      <c r="AN703" s="118"/>
      <c r="AO703" s="118"/>
      <c r="AP703" s="118"/>
      <c r="AQ703" s="118"/>
      <c r="AR703" s="118"/>
      <c r="AS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64"/>
      <c r="O704" s="161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  <c r="AI704" s="118"/>
      <c r="AJ704" s="118"/>
      <c r="AK704" s="118"/>
      <c r="AL704" s="118"/>
      <c r="AM704" s="118"/>
      <c r="AN704" s="118"/>
      <c r="AO704" s="118"/>
      <c r="AP704" s="118"/>
      <c r="AQ704" s="118"/>
      <c r="AR704" s="118"/>
      <c r="AS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64"/>
      <c r="O705" s="161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  <c r="AI705" s="118"/>
      <c r="AJ705" s="118"/>
      <c r="AK705" s="118"/>
      <c r="AL705" s="118"/>
      <c r="AM705" s="118"/>
      <c r="AN705" s="118"/>
      <c r="AO705" s="118"/>
      <c r="AP705" s="118"/>
      <c r="AQ705" s="118"/>
      <c r="AR705" s="118"/>
      <c r="AS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64"/>
      <c r="O706" s="161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  <c r="AI706" s="118"/>
      <c r="AJ706" s="118"/>
      <c r="AK706" s="118"/>
      <c r="AL706" s="118"/>
      <c r="AM706" s="118"/>
      <c r="AN706" s="118"/>
      <c r="AO706" s="118"/>
      <c r="AP706" s="118"/>
      <c r="AQ706" s="118"/>
      <c r="AR706" s="118"/>
      <c r="AS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64"/>
      <c r="O707" s="161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  <c r="AI707" s="118"/>
      <c r="AJ707" s="118"/>
      <c r="AK707" s="118"/>
      <c r="AL707" s="118"/>
      <c r="AM707" s="118"/>
      <c r="AN707" s="118"/>
      <c r="AO707" s="118"/>
      <c r="AP707" s="118"/>
      <c r="AQ707" s="118"/>
      <c r="AR707" s="118"/>
      <c r="AS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64"/>
      <c r="O708" s="161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8"/>
      <c r="AN708" s="118"/>
      <c r="AO708" s="118"/>
      <c r="AP708" s="118"/>
      <c r="AQ708" s="118"/>
      <c r="AR708" s="118"/>
      <c r="AS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64"/>
      <c r="O709" s="161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  <c r="AI709" s="118"/>
      <c r="AJ709" s="118"/>
      <c r="AK709" s="118"/>
      <c r="AL709" s="118"/>
      <c r="AM709" s="118"/>
      <c r="AN709" s="118"/>
      <c r="AO709" s="118"/>
      <c r="AP709" s="118"/>
      <c r="AQ709" s="118"/>
      <c r="AR709" s="118"/>
      <c r="AS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64"/>
      <c r="O710" s="161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64"/>
      <c r="O711" s="161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  <c r="AI711" s="118"/>
      <c r="AJ711" s="118"/>
      <c r="AK711" s="118"/>
      <c r="AL711" s="118"/>
      <c r="AM711" s="118"/>
      <c r="AN711" s="118"/>
      <c r="AO711" s="118"/>
      <c r="AP711" s="118"/>
      <c r="AQ711" s="118"/>
      <c r="AR711" s="118"/>
      <c r="AS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64"/>
      <c r="O712" s="161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  <c r="AI712" s="118"/>
      <c r="AJ712" s="118"/>
      <c r="AK712" s="118"/>
      <c r="AL712" s="118"/>
      <c r="AM712" s="118"/>
      <c r="AN712" s="118"/>
      <c r="AO712" s="118"/>
      <c r="AP712" s="118"/>
      <c r="AQ712" s="118"/>
      <c r="AR712" s="118"/>
      <c r="AS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64"/>
      <c r="O713" s="161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  <c r="AI713" s="118"/>
      <c r="AJ713" s="118"/>
      <c r="AK713" s="118"/>
      <c r="AL713" s="118"/>
      <c r="AM713" s="118"/>
      <c r="AN713" s="118"/>
      <c r="AO713" s="118"/>
      <c r="AP713" s="118"/>
      <c r="AQ713" s="118"/>
      <c r="AR713" s="118"/>
      <c r="AS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64"/>
      <c r="O714" s="161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/>
      <c r="AK714" s="118"/>
      <c r="AL714" s="118"/>
      <c r="AM714" s="118"/>
      <c r="AN714" s="118"/>
      <c r="AO714" s="118"/>
      <c r="AP714" s="118"/>
      <c r="AQ714" s="118"/>
      <c r="AR714" s="118"/>
      <c r="AS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64"/>
      <c r="O715" s="161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  <c r="AI715" s="118"/>
      <c r="AJ715" s="118"/>
      <c r="AK715" s="118"/>
      <c r="AL715" s="118"/>
      <c r="AM715" s="118"/>
      <c r="AN715" s="118"/>
      <c r="AO715" s="118"/>
      <c r="AP715" s="118"/>
      <c r="AQ715" s="118"/>
      <c r="AR715" s="118"/>
      <c r="AS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64"/>
      <c r="O716" s="161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  <c r="AI716" s="118"/>
      <c r="AJ716" s="118"/>
      <c r="AK716" s="118"/>
      <c r="AL716" s="118"/>
      <c r="AM716" s="118"/>
      <c r="AN716" s="118"/>
      <c r="AO716" s="118"/>
      <c r="AP716" s="118"/>
      <c r="AQ716" s="118"/>
      <c r="AR716" s="118"/>
      <c r="AS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64"/>
      <c r="O717" s="161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  <c r="AI717" s="118"/>
      <c r="AJ717" s="118"/>
      <c r="AK717" s="118"/>
      <c r="AL717" s="118"/>
      <c r="AM717" s="118"/>
      <c r="AN717" s="118"/>
      <c r="AO717" s="118"/>
      <c r="AP717" s="118"/>
      <c r="AQ717" s="118"/>
      <c r="AR717" s="118"/>
      <c r="AS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64"/>
      <c r="O718" s="161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  <c r="AI718" s="118"/>
      <c r="AJ718" s="118"/>
      <c r="AK718" s="118"/>
      <c r="AL718" s="118"/>
      <c r="AM718" s="118"/>
      <c r="AN718" s="118"/>
      <c r="AO718" s="118"/>
      <c r="AP718" s="118"/>
      <c r="AQ718" s="118"/>
      <c r="AR718" s="118"/>
      <c r="AS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64"/>
      <c r="O719" s="161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  <c r="AI719" s="118"/>
      <c r="AJ719" s="118"/>
      <c r="AK719" s="118"/>
      <c r="AL719" s="118"/>
      <c r="AM719" s="118"/>
      <c r="AN719" s="118"/>
      <c r="AO719" s="118"/>
      <c r="AP719" s="118"/>
      <c r="AQ719" s="118"/>
      <c r="AR719" s="118"/>
      <c r="AS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64"/>
      <c r="O720" s="161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  <c r="AI720" s="118"/>
      <c r="AJ720" s="118"/>
      <c r="AK720" s="118"/>
      <c r="AL720" s="118"/>
      <c r="AM720" s="118"/>
      <c r="AN720" s="118"/>
      <c r="AO720" s="118"/>
      <c r="AP720" s="118"/>
      <c r="AQ720" s="118"/>
      <c r="AR720" s="118"/>
      <c r="AS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64"/>
      <c r="O721" s="161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  <c r="AI721" s="118"/>
      <c r="AJ721" s="118"/>
      <c r="AK721" s="118"/>
      <c r="AL721" s="118"/>
      <c r="AM721" s="118"/>
      <c r="AN721" s="118"/>
      <c r="AO721" s="118"/>
      <c r="AP721" s="118"/>
      <c r="AQ721" s="118"/>
      <c r="AR721" s="118"/>
      <c r="AS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64"/>
      <c r="O722" s="161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  <c r="AI722" s="118"/>
      <c r="AJ722" s="118"/>
      <c r="AK722" s="118"/>
      <c r="AL722" s="118"/>
      <c r="AM722" s="118"/>
      <c r="AN722" s="118"/>
      <c r="AO722" s="118"/>
      <c r="AP722" s="118"/>
      <c r="AQ722" s="118"/>
      <c r="AR722" s="118"/>
      <c r="AS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64"/>
      <c r="O723" s="161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/>
      <c r="AK723" s="118"/>
      <c r="AL723" s="118"/>
      <c r="AM723" s="118"/>
      <c r="AN723" s="118"/>
      <c r="AO723" s="118"/>
      <c r="AP723" s="118"/>
      <c r="AQ723" s="118"/>
      <c r="AR723" s="118"/>
      <c r="AS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64"/>
      <c r="O724" s="161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  <c r="AI724" s="118"/>
      <c r="AJ724" s="118"/>
      <c r="AK724" s="118"/>
      <c r="AL724" s="118"/>
      <c r="AM724" s="118"/>
      <c r="AN724" s="118"/>
      <c r="AO724" s="118"/>
      <c r="AP724" s="118"/>
      <c r="AQ724" s="118"/>
      <c r="AR724" s="118"/>
      <c r="AS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64"/>
      <c r="O725" s="161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  <c r="AI725" s="118"/>
      <c r="AJ725" s="118"/>
      <c r="AK725" s="118"/>
      <c r="AL725" s="118"/>
      <c r="AM725" s="118"/>
      <c r="AN725" s="118"/>
      <c r="AO725" s="118"/>
      <c r="AP725" s="118"/>
      <c r="AQ725" s="118"/>
      <c r="AR725" s="118"/>
      <c r="AS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64"/>
      <c r="O726" s="161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  <c r="AI726" s="118"/>
      <c r="AJ726" s="118"/>
      <c r="AK726" s="118"/>
      <c r="AL726" s="118"/>
      <c r="AM726" s="118"/>
      <c r="AN726" s="118"/>
      <c r="AO726" s="118"/>
      <c r="AP726" s="118"/>
      <c r="AQ726" s="118"/>
      <c r="AR726" s="118"/>
      <c r="AS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64"/>
      <c r="O727" s="161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  <c r="AI727" s="118"/>
      <c r="AJ727" s="118"/>
      <c r="AK727" s="118"/>
      <c r="AL727" s="118"/>
      <c r="AM727" s="118"/>
      <c r="AN727" s="118"/>
      <c r="AO727" s="118"/>
      <c r="AP727" s="118"/>
      <c r="AQ727" s="118"/>
      <c r="AR727" s="118"/>
      <c r="AS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64"/>
      <c r="O728" s="161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  <c r="AI728" s="118"/>
      <c r="AJ728" s="118"/>
      <c r="AK728" s="118"/>
      <c r="AL728" s="118"/>
      <c r="AM728" s="118"/>
      <c r="AN728" s="118"/>
      <c r="AO728" s="118"/>
      <c r="AP728" s="118"/>
      <c r="AQ728" s="118"/>
      <c r="AR728" s="118"/>
      <c r="AS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64"/>
      <c r="O729" s="161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  <c r="AI729" s="118"/>
      <c r="AJ729" s="118"/>
      <c r="AK729" s="118"/>
      <c r="AL729" s="118"/>
      <c r="AM729" s="118"/>
      <c r="AN729" s="118"/>
      <c r="AO729" s="118"/>
      <c r="AP729" s="118"/>
      <c r="AQ729" s="118"/>
      <c r="AR729" s="118"/>
      <c r="AS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64"/>
      <c r="O730" s="161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/>
      <c r="AK730" s="118"/>
      <c r="AL730" s="118"/>
      <c r="AM730" s="118"/>
      <c r="AN730" s="118"/>
      <c r="AO730" s="118"/>
      <c r="AP730" s="118"/>
      <c r="AQ730" s="118"/>
      <c r="AR730" s="118"/>
      <c r="AS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64"/>
      <c r="O731" s="161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/>
      <c r="AK731" s="118"/>
      <c r="AL731" s="118"/>
      <c r="AM731" s="118"/>
      <c r="AN731" s="118"/>
      <c r="AO731" s="118"/>
      <c r="AP731" s="118"/>
      <c r="AQ731" s="118"/>
      <c r="AR731" s="118"/>
      <c r="AS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64"/>
      <c r="O732" s="161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  <c r="AI732" s="118"/>
      <c r="AJ732" s="118"/>
      <c r="AK732" s="118"/>
      <c r="AL732" s="118"/>
      <c r="AM732" s="118"/>
      <c r="AN732" s="118"/>
      <c r="AO732" s="118"/>
      <c r="AP732" s="118"/>
      <c r="AQ732" s="118"/>
      <c r="AR732" s="118"/>
      <c r="AS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64"/>
      <c r="O733" s="161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  <c r="AI733" s="118"/>
      <c r="AJ733" s="118"/>
      <c r="AK733" s="118"/>
      <c r="AL733" s="118"/>
      <c r="AM733" s="118"/>
      <c r="AN733" s="118"/>
      <c r="AO733" s="118"/>
      <c r="AP733" s="118"/>
      <c r="AQ733" s="118"/>
      <c r="AR733" s="118"/>
      <c r="AS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64"/>
      <c r="O734" s="161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  <c r="AI734" s="118"/>
      <c r="AJ734" s="118"/>
      <c r="AK734" s="118"/>
      <c r="AL734" s="118"/>
      <c r="AM734" s="118"/>
      <c r="AN734" s="118"/>
      <c r="AO734" s="118"/>
      <c r="AP734" s="118"/>
      <c r="AQ734" s="118"/>
      <c r="AR734" s="118"/>
      <c r="AS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64"/>
      <c r="O735" s="161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  <c r="AI735" s="118"/>
      <c r="AJ735" s="118"/>
      <c r="AK735" s="118"/>
      <c r="AL735" s="118"/>
      <c r="AM735" s="118"/>
      <c r="AN735" s="118"/>
      <c r="AO735" s="118"/>
      <c r="AP735" s="118"/>
      <c r="AQ735" s="118"/>
      <c r="AR735" s="118"/>
      <c r="AS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64"/>
      <c r="O736" s="161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  <c r="AI736" s="118"/>
      <c r="AJ736" s="118"/>
      <c r="AK736" s="118"/>
      <c r="AL736" s="118"/>
      <c r="AM736" s="118"/>
      <c r="AN736" s="118"/>
      <c r="AO736" s="118"/>
      <c r="AP736" s="118"/>
      <c r="AQ736" s="118"/>
      <c r="AR736" s="118"/>
      <c r="AS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64"/>
      <c r="O737" s="161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  <c r="AI737" s="118"/>
      <c r="AJ737" s="118"/>
      <c r="AK737" s="118"/>
      <c r="AL737" s="118"/>
      <c r="AM737" s="118"/>
      <c r="AN737" s="118"/>
      <c r="AO737" s="118"/>
      <c r="AP737" s="118"/>
      <c r="AQ737" s="118"/>
      <c r="AR737" s="118"/>
      <c r="AS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64"/>
      <c r="O738" s="161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  <c r="AI738" s="118"/>
      <c r="AJ738" s="118"/>
      <c r="AK738" s="118"/>
      <c r="AL738" s="118"/>
      <c r="AM738" s="118"/>
      <c r="AN738" s="118"/>
      <c r="AO738" s="118"/>
      <c r="AP738" s="118"/>
      <c r="AQ738" s="118"/>
      <c r="AR738" s="118"/>
      <c r="AS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64"/>
      <c r="O739" s="161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  <c r="AI739" s="118"/>
      <c r="AJ739" s="118"/>
      <c r="AK739" s="118"/>
      <c r="AL739" s="118"/>
      <c r="AM739" s="118"/>
      <c r="AN739" s="118"/>
      <c r="AO739" s="118"/>
      <c r="AP739" s="118"/>
      <c r="AQ739" s="118"/>
      <c r="AR739" s="118"/>
      <c r="AS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64"/>
      <c r="O740" s="161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  <c r="AI740" s="118"/>
      <c r="AJ740" s="118"/>
      <c r="AK740" s="118"/>
      <c r="AL740" s="118"/>
      <c r="AM740" s="118"/>
      <c r="AN740" s="118"/>
      <c r="AO740" s="118"/>
      <c r="AP740" s="118"/>
      <c r="AQ740" s="118"/>
      <c r="AR740" s="118"/>
      <c r="AS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64"/>
      <c r="O741" s="161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  <c r="AI741" s="118"/>
      <c r="AJ741" s="118"/>
      <c r="AK741" s="118"/>
      <c r="AL741" s="118"/>
      <c r="AM741" s="118"/>
      <c r="AN741" s="118"/>
      <c r="AO741" s="118"/>
      <c r="AP741" s="118"/>
      <c r="AQ741" s="118"/>
      <c r="AR741" s="118"/>
      <c r="AS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64"/>
      <c r="O742" s="161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  <c r="AI742" s="118"/>
      <c r="AJ742" s="118"/>
      <c r="AK742" s="118"/>
      <c r="AL742" s="118"/>
      <c r="AM742" s="118"/>
      <c r="AN742" s="118"/>
      <c r="AO742" s="118"/>
      <c r="AP742" s="118"/>
      <c r="AQ742" s="118"/>
      <c r="AR742" s="118"/>
      <c r="AS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64"/>
      <c r="O743" s="161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  <c r="AI743" s="118"/>
      <c r="AJ743" s="118"/>
      <c r="AK743" s="118"/>
      <c r="AL743" s="118"/>
      <c r="AM743" s="118"/>
      <c r="AN743" s="118"/>
      <c r="AO743" s="118"/>
      <c r="AP743" s="118"/>
      <c r="AQ743" s="118"/>
      <c r="AR743" s="118"/>
      <c r="AS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64"/>
      <c r="O744" s="161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  <c r="AI744" s="118"/>
      <c r="AJ744" s="118"/>
      <c r="AK744" s="118"/>
      <c r="AL744" s="118"/>
      <c r="AM744" s="118"/>
      <c r="AN744" s="118"/>
      <c r="AO744" s="118"/>
      <c r="AP744" s="118"/>
      <c r="AQ744" s="118"/>
      <c r="AR744" s="118"/>
      <c r="AS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64"/>
      <c r="O745" s="161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  <c r="AI745" s="118"/>
      <c r="AJ745" s="118"/>
      <c r="AK745" s="118"/>
      <c r="AL745" s="118"/>
      <c r="AM745" s="118"/>
      <c r="AN745" s="118"/>
      <c r="AO745" s="118"/>
      <c r="AP745" s="118"/>
      <c r="AQ745" s="118"/>
      <c r="AR745" s="118"/>
      <c r="AS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64"/>
      <c r="O746" s="161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8"/>
      <c r="AN746" s="118"/>
      <c r="AO746" s="118"/>
      <c r="AP746" s="118"/>
      <c r="AQ746" s="118"/>
      <c r="AR746" s="118"/>
      <c r="AS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64"/>
      <c r="O747" s="161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  <c r="AI747" s="118"/>
      <c r="AJ747" s="118"/>
      <c r="AK747" s="118"/>
      <c r="AL747" s="118"/>
      <c r="AM747" s="118"/>
      <c r="AN747" s="118"/>
      <c r="AO747" s="118"/>
      <c r="AP747" s="118"/>
      <c r="AQ747" s="118"/>
      <c r="AR747" s="118"/>
      <c r="AS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64"/>
      <c r="O748" s="161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  <c r="AI748" s="118"/>
      <c r="AJ748" s="118"/>
      <c r="AK748" s="118"/>
      <c r="AL748" s="118"/>
      <c r="AM748" s="118"/>
      <c r="AN748" s="118"/>
      <c r="AO748" s="118"/>
      <c r="AP748" s="118"/>
      <c r="AQ748" s="118"/>
      <c r="AR748" s="118"/>
      <c r="AS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64"/>
      <c r="O749" s="161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  <c r="AI749" s="118"/>
      <c r="AJ749" s="118"/>
      <c r="AK749" s="118"/>
      <c r="AL749" s="118"/>
      <c r="AM749" s="118"/>
      <c r="AN749" s="118"/>
      <c r="AO749" s="118"/>
      <c r="AP749" s="118"/>
      <c r="AQ749" s="118"/>
      <c r="AR749" s="118"/>
      <c r="AS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64"/>
      <c r="O750" s="161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  <c r="AI750" s="118"/>
      <c r="AJ750" s="118"/>
      <c r="AK750" s="118"/>
      <c r="AL750" s="118"/>
      <c r="AM750" s="118"/>
      <c r="AN750" s="118"/>
      <c r="AO750" s="118"/>
      <c r="AP750" s="118"/>
      <c r="AQ750" s="118"/>
      <c r="AR750" s="118"/>
      <c r="AS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64"/>
      <c r="O751" s="161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  <c r="AI751" s="118"/>
      <c r="AJ751" s="118"/>
      <c r="AK751" s="118"/>
      <c r="AL751" s="118"/>
      <c r="AM751" s="118"/>
      <c r="AN751" s="118"/>
      <c r="AO751" s="118"/>
      <c r="AP751" s="118"/>
      <c r="AQ751" s="118"/>
      <c r="AR751" s="118"/>
      <c r="AS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64"/>
      <c r="O752" s="161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  <c r="AI752" s="118"/>
      <c r="AJ752" s="118"/>
      <c r="AK752" s="118"/>
      <c r="AL752" s="118"/>
      <c r="AM752" s="118"/>
      <c r="AN752" s="118"/>
      <c r="AO752" s="118"/>
      <c r="AP752" s="118"/>
      <c r="AQ752" s="118"/>
      <c r="AR752" s="118"/>
      <c r="AS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64"/>
      <c r="O753" s="161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  <c r="AI753" s="118"/>
      <c r="AJ753" s="118"/>
      <c r="AK753" s="118"/>
      <c r="AL753" s="118"/>
      <c r="AM753" s="118"/>
      <c r="AN753" s="118"/>
      <c r="AO753" s="118"/>
      <c r="AP753" s="118"/>
      <c r="AQ753" s="118"/>
      <c r="AR753" s="118"/>
      <c r="AS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64"/>
      <c r="O754" s="161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  <c r="AI754" s="118"/>
      <c r="AJ754" s="118"/>
      <c r="AK754" s="118"/>
      <c r="AL754" s="118"/>
      <c r="AM754" s="118"/>
      <c r="AN754" s="118"/>
      <c r="AO754" s="118"/>
      <c r="AP754" s="118"/>
      <c r="AQ754" s="118"/>
      <c r="AR754" s="118"/>
      <c r="AS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64"/>
      <c r="O755" s="161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  <c r="AI755" s="118"/>
      <c r="AJ755" s="118"/>
      <c r="AK755" s="118"/>
      <c r="AL755" s="118"/>
      <c r="AM755" s="118"/>
      <c r="AN755" s="118"/>
      <c r="AO755" s="118"/>
      <c r="AP755" s="118"/>
      <c r="AQ755" s="118"/>
      <c r="AR755" s="118"/>
      <c r="AS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64"/>
      <c r="O756" s="161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  <c r="AI756" s="118"/>
      <c r="AJ756" s="118"/>
      <c r="AK756" s="118"/>
      <c r="AL756" s="118"/>
      <c r="AM756" s="118"/>
      <c r="AN756" s="118"/>
      <c r="AO756" s="118"/>
      <c r="AP756" s="118"/>
      <c r="AQ756" s="118"/>
      <c r="AR756" s="118"/>
      <c r="AS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64"/>
      <c r="O757" s="161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  <c r="AI757" s="118"/>
      <c r="AJ757" s="118"/>
      <c r="AK757" s="118"/>
      <c r="AL757" s="118"/>
      <c r="AM757" s="118"/>
      <c r="AN757" s="118"/>
      <c r="AO757" s="118"/>
      <c r="AP757" s="118"/>
      <c r="AQ757" s="118"/>
      <c r="AR757" s="118"/>
      <c r="AS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64"/>
      <c r="O758" s="161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  <c r="AI758" s="118"/>
      <c r="AJ758" s="118"/>
      <c r="AK758" s="118"/>
      <c r="AL758" s="118"/>
      <c r="AM758" s="118"/>
      <c r="AN758" s="118"/>
      <c r="AO758" s="118"/>
      <c r="AP758" s="118"/>
      <c r="AQ758" s="118"/>
      <c r="AR758" s="118"/>
      <c r="AS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64"/>
      <c r="O759" s="161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  <c r="AI759" s="118"/>
      <c r="AJ759" s="118"/>
      <c r="AK759" s="118"/>
      <c r="AL759" s="118"/>
      <c r="AM759" s="118"/>
      <c r="AN759" s="118"/>
      <c r="AO759" s="118"/>
      <c r="AP759" s="118"/>
      <c r="AQ759" s="118"/>
      <c r="AR759" s="118"/>
      <c r="AS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64"/>
      <c r="O760" s="161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  <c r="AI760" s="118"/>
      <c r="AJ760" s="118"/>
      <c r="AK760" s="118"/>
      <c r="AL760" s="118"/>
      <c r="AM760" s="118"/>
      <c r="AN760" s="118"/>
      <c r="AO760" s="118"/>
      <c r="AP760" s="118"/>
      <c r="AQ760" s="118"/>
      <c r="AR760" s="118"/>
      <c r="AS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64"/>
      <c r="O761" s="161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  <c r="AI761" s="118"/>
      <c r="AJ761" s="118"/>
      <c r="AK761" s="118"/>
      <c r="AL761" s="118"/>
      <c r="AM761" s="118"/>
      <c r="AN761" s="118"/>
      <c r="AO761" s="118"/>
      <c r="AP761" s="118"/>
      <c r="AQ761" s="118"/>
      <c r="AR761" s="118"/>
      <c r="AS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64"/>
      <c r="O762" s="161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  <c r="AI762" s="118"/>
      <c r="AJ762" s="118"/>
      <c r="AK762" s="118"/>
      <c r="AL762" s="118"/>
      <c r="AM762" s="118"/>
      <c r="AN762" s="118"/>
      <c r="AO762" s="118"/>
      <c r="AP762" s="118"/>
      <c r="AQ762" s="118"/>
      <c r="AR762" s="118"/>
      <c r="AS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64"/>
      <c r="O763" s="161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64"/>
      <c r="O764" s="161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  <c r="AI764" s="118"/>
      <c r="AJ764" s="118"/>
      <c r="AK764" s="118"/>
      <c r="AL764" s="118"/>
      <c r="AM764" s="118"/>
      <c r="AN764" s="118"/>
      <c r="AO764" s="118"/>
      <c r="AP764" s="118"/>
      <c r="AQ764" s="118"/>
      <c r="AR764" s="118"/>
      <c r="AS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64"/>
      <c r="O765" s="161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  <c r="AI765" s="118"/>
      <c r="AJ765" s="118"/>
      <c r="AK765" s="118"/>
      <c r="AL765" s="118"/>
      <c r="AM765" s="118"/>
      <c r="AN765" s="118"/>
      <c r="AO765" s="118"/>
      <c r="AP765" s="118"/>
      <c r="AQ765" s="118"/>
      <c r="AR765" s="118"/>
      <c r="AS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64"/>
      <c r="O766" s="161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  <c r="AI766" s="118"/>
      <c r="AJ766" s="118"/>
      <c r="AK766" s="118"/>
      <c r="AL766" s="118"/>
      <c r="AM766" s="118"/>
      <c r="AN766" s="118"/>
      <c r="AO766" s="118"/>
      <c r="AP766" s="118"/>
      <c r="AQ766" s="118"/>
      <c r="AR766" s="118"/>
      <c r="AS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64"/>
      <c r="O767" s="161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  <c r="AI767" s="118"/>
      <c r="AJ767" s="118"/>
      <c r="AK767" s="118"/>
      <c r="AL767" s="118"/>
      <c r="AM767" s="118"/>
      <c r="AN767" s="118"/>
      <c r="AO767" s="118"/>
      <c r="AP767" s="118"/>
      <c r="AQ767" s="118"/>
      <c r="AR767" s="118"/>
      <c r="AS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64"/>
      <c r="O768" s="161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  <c r="AI768" s="118"/>
      <c r="AJ768" s="118"/>
      <c r="AK768" s="118"/>
      <c r="AL768" s="118"/>
      <c r="AM768" s="118"/>
      <c r="AN768" s="118"/>
      <c r="AO768" s="118"/>
      <c r="AP768" s="118"/>
      <c r="AQ768" s="118"/>
      <c r="AR768" s="118"/>
      <c r="AS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64"/>
      <c r="O769" s="161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  <c r="AI769" s="118"/>
      <c r="AJ769" s="118"/>
      <c r="AK769" s="118"/>
      <c r="AL769" s="118"/>
      <c r="AM769" s="118"/>
      <c r="AN769" s="118"/>
      <c r="AO769" s="118"/>
      <c r="AP769" s="118"/>
      <c r="AQ769" s="118"/>
      <c r="AR769" s="118"/>
      <c r="AS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64"/>
      <c r="O770" s="161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  <c r="AI770" s="118"/>
      <c r="AJ770" s="118"/>
      <c r="AK770" s="118"/>
      <c r="AL770" s="118"/>
      <c r="AM770" s="118"/>
      <c r="AN770" s="118"/>
      <c r="AO770" s="118"/>
      <c r="AP770" s="118"/>
      <c r="AQ770" s="118"/>
      <c r="AR770" s="118"/>
      <c r="AS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64"/>
      <c r="O771" s="161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  <c r="AI771" s="118"/>
      <c r="AJ771" s="118"/>
      <c r="AK771" s="118"/>
      <c r="AL771" s="118"/>
      <c r="AM771" s="118"/>
      <c r="AN771" s="118"/>
      <c r="AO771" s="118"/>
      <c r="AP771" s="118"/>
      <c r="AQ771" s="118"/>
      <c r="AR771" s="118"/>
      <c r="AS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64"/>
      <c r="O772" s="161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  <c r="AI772" s="118"/>
      <c r="AJ772" s="118"/>
      <c r="AK772" s="118"/>
      <c r="AL772" s="118"/>
      <c r="AM772" s="118"/>
      <c r="AN772" s="118"/>
      <c r="AO772" s="118"/>
      <c r="AP772" s="118"/>
      <c r="AQ772" s="118"/>
      <c r="AR772" s="118"/>
      <c r="AS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64"/>
      <c r="O773" s="161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  <c r="AI773" s="118"/>
      <c r="AJ773" s="118"/>
      <c r="AK773" s="118"/>
      <c r="AL773" s="118"/>
      <c r="AM773" s="118"/>
      <c r="AN773" s="118"/>
      <c r="AO773" s="118"/>
      <c r="AP773" s="118"/>
      <c r="AQ773" s="118"/>
      <c r="AR773" s="118"/>
      <c r="AS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64"/>
      <c r="O774" s="161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  <c r="AI774" s="118"/>
      <c r="AJ774" s="118"/>
      <c r="AK774" s="118"/>
      <c r="AL774" s="118"/>
      <c r="AM774" s="118"/>
      <c r="AN774" s="118"/>
      <c r="AO774" s="118"/>
      <c r="AP774" s="118"/>
      <c r="AQ774" s="118"/>
      <c r="AR774" s="118"/>
      <c r="AS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64"/>
      <c r="O775" s="161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  <c r="AL775" s="118"/>
      <c r="AM775" s="118"/>
      <c r="AN775" s="118"/>
      <c r="AO775" s="118"/>
      <c r="AP775" s="118"/>
      <c r="AQ775" s="118"/>
      <c r="AR775" s="118"/>
      <c r="AS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64"/>
      <c r="O776" s="161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  <c r="AI776" s="118"/>
      <c r="AJ776" s="118"/>
      <c r="AK776" s="118"/>
      <c r="AL776" s="118"/>
      <c r="AM776" s="118"/>
      <c r="AN776" s="118"/>
      <c r="AO776" s="118"/>
      <c r="AP776" s="118"/>
      <c r="AQ776" s="118"/>
      <c r="AR776" s="118"/>
      <c r="AS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64"/>
      <c r="O777" s="161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  <c r="AI777" s="118"/>
      <c r="AJ777" s="118"/>
      <c r="AK777" s="118"/>
      <c r="AL777" s="118"/>
      <c r="AM777" s="118"/>
      <c r="AN777" s="118"/>
      <c r="AO777" s="118"/>
      <c r="AP777" s="118"/>
      <c r="AQ777" s="118"/>
      <c r="AR777" s="118"/>
      <c r="AS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64"/>
      <c r="O778" s="161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  <c r="AI778" s="118"/>
      <c r="AJ778" s="118"/>
      <c r="AK778" s="118"/>
      <c r="AL778" s="118"/>
      <c r="AM778" s="118"/>
      <c r="AN778" s="118"/>
      <c r="AO778" s="118"/>
      <c r="AP778" s="118"/>
      <c r="AQ778" s="118"/>
      <c r="AR778" s="118"/>
      <c r="AS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64"/>
      <c r="O779" s="161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  <c r="AI779" s="118"/>
      <c r="AJ779" s="118"/>
      <c r="AK779" s="118"/>
      <c r="AL779" s="118"/>
      <c r="AM779" s="118"/>
      <c r="AN779" s="118"/>
      <c r="AO779" s="118"/>
      <c r="AP779" s="118"/>
      <c r="AQ779" s="118"/>
      <c r="AR779" s="118"/>
      <c r="AS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64"/>
      <c r="O780" s="161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  <c r="AI780" s="118"/>
      <c r="AJ780" s="118"/>
      <c r="AK780" s="118"/>
      <c r="AL780" s="118"/>
      <c r="AM780" s="118"/>
      <c r="AN780" s="118"/>
      <c r="AO780" s="118"/>
      <c r="AP780" s="118"/>
      <c r="AQ780" s="118"/>
      <c r="AR780" s="118"/>
      <c r="AS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64"/>
      <c r="O781" s="161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  <c r="AI781" s="118"/>
      <c r="AJ781" s="118"/>
      <c r="AK781" s="118"/>
      <c r="AL781" s="118"/>
      <c r="AM781" s="118"/>
      <c r="AN781" s="118"/>
      <c r="AO781" s="118"/>
      <c r="AP781" s="118"/>
      <c r="AQ781" s="118"/>
      <c r="AR781" s="118"/>
      <c r="AS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64"/>
      <c r="O782" s="161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  <c r="AI782" s="118"/>
      <c r="AJ782" s="118"/>
      <c r="AK782" s="118"/>
      <c r="AL782" s="118"/>
      <c r="AM782" s="118"/>
      <c r="AN782" s="118"/>
      <c r="AO782" s="118"/>
      <c r="AP782" s="118"/>
      <c r="AQ782" s="118"/>
      <c r="AR782" s="118"/>
      <c r="AS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64"/>
      <c r="O783" s="161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  <c r="AI783" s="118"/>
      <c r="AJ783" s="118"/>
      <c r="AK783" s="118"/>
      <c r="AL783" s="118"/>
      <c r="AM783" s="118"/>
      <c r="AN783" s="118"/>
      <c r="AO783" s="118"/>
      <c r="AP783" s="118"/>
      <c r="AQ783" s="118"/>
      <c r="AR783" s="118"/>
      <c r="AS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64"/>
      <c r="O784" s="161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8"/>
      <c r="AN784" s="118"/>
      <c r="AO784" s="118"/>
      <c r="AP784" s="118"/>
      <c r="AQ784" s="118"/>
      <c r="AR784" s="118"/>
      <c r="AS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64"/>
      <c r="O785" s="161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  <c r="AI785" s="118"/>
      <c r="AJ785" s="118"/>
      <c r="AK785" s="118"/>
      <c r="AL785" s="118"/>
      <c r="AM785" s="118"/>
      <c r="AN785" s="118"/>
      <c r="AO785" s="118"/>
      <c r="AP785" s="118"/>
      <c r="AQ785" s="118"/>
      <c r="AR785" s="118"/>
      <c r="AS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64"/>
      <c r="O786" s="161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  <c r="AI786" s="118"/>
      <c r="AJ786" s="118"/>
      <c r="AK786" s="118"/>
      <c r="AL786" s="118"/>
      <c r="AM786" s="118"/>
      <c r="AN786" s="118"/>
      <c r="AO786" s="118"/>
      <c r="AP786" s="118"/>
      <c r="AQ786" s="118"/>
      <c r="AR786" s="118"/>
      <c r="AS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64"/>
      <c r="O787" s="161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  <c r="AI787" s="118"/>
      <c r="AJ787" s="118"/>
      <c r="AK787" s="118"/>
      <c r="AL787" s="118"/>
      <c r="AM787" s="118"/>
      <c r="AN787" s="118"/>
      <c r="AO787" s="118"/>
      <c r="AP787" s="118"/>
      <c r="AQ787" s="118"/>
      <c r="AR787" s="118"/>
      <c r="AS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64"/>
      <c r="O788" s="161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  <c r="AI788" s="118"/>
      <c r="AJ788" s="118"/>
      <c r="AK788" s="118"/>
      <c r="AL788" s="118"/>
      <c r="AM788" s="118"/>
      <c r="AN788" s="118"/>
      <c r="AO788" s="118"/>
      <c r="AP788" s="118"/>
      <c r="AQ788" s="118"/>
      <c r="AR788" s="118"/>
      <c r="AS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64"/>
      <c r="O789" s="161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  <c r="AI789" s="118"/>
      <c r="AJ789" s="118"/>
      <c r="AK789" s="118"/>
      <c r="AL789" s="118"/>
      <c r="AM789" s="118"/>
      <c r="AN789" s="118"/>
      <c r="AO789" s="118"/>
      <c r="AP789" s="118"/>
      <c r="AQ789" s="118"/>
      <c r="AR789" s="118"/>
      <c r="AS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64"/>
      <c r="O790" s="161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  <c r="AI790" s="118"/>
      <c r="AJ790" s="118"/>
      <c r="AK790" s="118"/>
      <c r="AL790" s="118"/>
      <c r="AM790" s="118"/>
      <c r="AN790" s="118"/>
      <c r="AO790" s="118"/>
      <c r="AP790" s="118"/>
      <c r="AQ790" s="118"/>
      <c r="AR790" s="118"/>
      <c r="AS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64"/>
      <c r="O791" s="161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  <c r="AI791" s="118"/>
      <c r="AJ791" s="118"/>
      <c r="AK791" s="118"/>
      <c r="AL791" s="118"/>
      <c r="AM791" s="118"/>
      <c r="AN791" s="118"/>
      <c r="AO791" s="118"/>
      <c r="AP791" s="118"/>
      <c r="AQ791" s="118"/>
      <c r="AR791" s="118"/>
      <c r="AS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64"/>
      <c r="O792" s="161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  <c r="AI792" s="118"/>
      <c r="AJ792" s="118"/>
      <c r="AK792" s="118"/>
      <c r="AL792" s="118"/>
      <c r="AM792" s="118"/>
      <c r="AN792" s="118"/>
      <c r="AO792" s="118"/>
      <c r="AP792" s="118"/>
      <c r="AQ792" s="118"/>
      <c r="AR792" s="118"/>
      <c r="AS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64"/>
      <c r="O793" s="161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  <c r="AI793" s="118"/>
      <c r="AJ793" s="118"/>
      <c r="AK793" s="118"/>
      <c r="AL793" s="118"/>
      <c r="AM793" s="118"/>
      <c r="AN793" s="118"/>
      <c r="AO793" s="118"/>
      <c r="AP793" s="118"/>
      <c r="AQ793" s="118"/>
      <c r="AR793" s="118"/>
      <c r="AS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64"/>
      <c r="O794" s="161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  <c r="AI794" s="118"/>
      <c r="AJ794" s="118"/>
      <c r="AK794" s="118"/>
      <c r="AL794" s="118"/>
      <c r="AM794" s="118"/>
      <c r="AN794" s="118"/>
      <c r="AO794" s="118"/>
      <c r="AP794" s="118"/>
      <c r="AQ794" s="118"/>
      <c r="AR794" s="118"/>
      <c r="AS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64"/>
      <c r="O795" s="161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  <c r="AI795" s="118"/>
      <c r="AJ795" s="118"/>
      <c r="AK795" s="118"/>
      <c r="AL795" s="118"/>
      <c r="AM795" s="118"/>
      <c r="AN795" s="118"/>
      <c r="AO795" s="118"/>
      <c r="AP795" s="118"/>
      <c r="AQ795" s="118"/>
      <c r="AR795" s="118"/>
      <c r="AS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64"/>
      <c r="O796" s="161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  <c r="AI796" s="118"/>
      <c r="AJ796" s="118"/>
      <c r="AK796" s="118"/>
      <c r="AL796" s="118"/>
      <c r="AM796" s="118"/>
      <c r="AN796" s="118"/>
      <c r="AO796" s="118"/>
      <c r="AP796" s="118"/>
      <c r="AQ796" s="118"/>
      <c r="AR796" s="118"/>
      <c r="AS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64"/>
      <c r="O797" s="161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  <c r="AI797" s="118"/>
      <c r="AJ797" s="118"/>
      <c r="AK797" s="118"/>
      <c r="AL797" s="118"/>
      <c r="AM797" s="118"/>
      <c r="AN797" s="118"/>
      <c r="AO797" s="118"/>
      <c r="AP797" s="118"/>
      <c r="AQ797" s="118"/>
      <c r="AR797" s="118"/>
      <c r="AS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64"/>
      <c r="O798" s="161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  <c r="AI798" s="118"/>
      <c r="AJ798" s="118"/>
      <c r="AK798" s="118"/>
      <c r="AL798" s="118"/>
      <c r="AM798" s="118"/>
      <c r="AN798" s="118"/>
      <c r="AO798" s="118"/>
      <c r="AP798" s="118"/>
      <c r="AQ798" s="118"/>
      <c r="AR798" s="118"/>
      <c r="AS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64"/>
      <c r="O799" s="161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  <c r="AI799" s="118"/>
      <c r="AJ799" s="118"/>
      <c r="AK799" s="118"/>
      <c r="AL799" s="118"/>
      <c r="AM799" s="118"/>
      <c r="AN799" s="118"/>
      <c r="AO799" s="118"/>
      <c r="AP799" s="118"/>
      <c r="AQ799" s="118"/>
      <c r="AR799" s="118"/>
      <c r="AS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64"/>
      <c r="O800" s="161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  <c r="AI800" s="118"/>
      <c r="AJ800" s="118"/>
      <c r="AK800" s="118"/>
      <c r="AL800" s="118"/>
      <c r="AM800" s="118"/>
      <c r="AN800" s="118"/>
      <c r="AO800" s="118"/>
      <c r="AP800" s="118"/>
      <c r="AQ800" s="118"/>
      <c r="AR800" s="118"/>
      <c r="AS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64"/>
      <c r="O801" s="161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  <c r="AI801" s="118"/>
      <c r="AJ801" s="118"/>
      <c r="AK801" s="118"/>
      <c r="AL801" s="118"/>
      <c r="AM801" s="118"/>
      <c r="AN801" s="118"/>
      <c r="AO801" s="118"/>
      <c r="AP801" s="118"/>
      <c r="AQ801" s="118"/>
      <c r="AR801" s="118"/>
      <c r="AS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64"/>
      <c r="O802" s="161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  <c r="AI802" s="118"/>
      <c r="AJ802" s="118"/>
      <c r="AK802" s="118"/>
      <c r="AL802" s="118"/>
      <c r="AM802" s="118"/>
      <c r="AN802" s="118"/>
      <c r="AO802" s="118"/>
      <c r="AP802" s="118"/>
      <c r="AQ802" s="118"/>
      <c r="AR802" s="118"/>
      <c r="AS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64"/>
      <c r="O803" s="161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  <c r="AI803" s="118"/>
      <c r="AJ803" s="118"/>
      <c r="AK803" s="118"/>
      <c r="AL803" s="118"/>
      <c r="AM803" s="118"/>
      <c r="AN803" s="118"/>
      <c r="AO803" s="118"/>
      <c r="AP803" s="118"/>
      <c r="AQ803" s="118"/>
      <c r="AR803" s="118"/>
      <c r="AS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64"/>
      <c r="O804" s="161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  <c r="AI804" s="118"/>
      <c r="AJ804" s="118"/>
      <c r="AK804" s="118"/>
      <c r="AL804" s="118"/>
      <c r="AM804" s="118"/>
      <c r="AN804" s="118"/>
      <c r="AO804" s="118"/>
      <c r="AP804" s="118"/>
      <c r="AQ804" s="118"/>
      <c r="AR804" s="118"/>
      <c r="AS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64"/>
      <c r="O805" s="161"/>
      <c r="P805" s="161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  <c r="AI805" s="118"/>
      <c r="AJ805" s="118"/>
      <c r="AK805" s="118"/>
      <c r="AL805" s="118"/>
      <c r="AM805" s="118"/>
      <c r="AN805" s="118"/>
      <c r="AO805" s="118"/>
      <c r="AP805" s="118"/>
      <c r="AQ805" s="118"/>
      <c r="AR805" s="118"/>
      <c r="AS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64"/>
      <c r="O806" s="161"/>
      <c r="P806" s="161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  <c r="AI806" s="118"/>
      <c r="AJ806" s="118"/>
      <c r="AK806" s="118"/>
      <c r="AL806" s="118"/>
      <c r="AM806" s="118"/>
      <c r="AN806" s="118"/>
      <c r="AO806" s="118"/>
      <c r="AP806" s="118"/>
      <c r="AQ806" s="118"/>
      <c r="AR806" s="118"/>
      <c r="AS806" s="118"/>
    </row>
    <row r="807">
      <c r="A807" s="118"/>
      <c r="B807" s="118"/>
      <c r="C807" s="118"/>
      <c r="D807" s="118"/>
      <c r="E807" s="118"/>
      <c r="F807" s="161"/>
      <c r="G807" s="161"/>
      <c r="H807" s="118"/>
      <c r="I807" s="118"/>
      <c r="J807" s="161"/>
      <c r="K807" s="161"/>
      <c r="L807" s="161"/>
      <c r="M807" s="161"/>
      <c r="N807" s="161"/>
      <c r="O807" s="161"/>
      <c r="P807" s="161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  <c r="AI807" s="118"/>
      <c r="AJ807" s="118"/>
      <c r="AK807" s="118"/>
      <c r="AL807" s="118"/>
      <c r="AM807" s="118"/>
      <c r="AN807" s="118"/>
      <c r="AO807" s="118"/>
      <c r="AP807" s="118"/>
      <c r="AQ807" s="118"/>
      <c r="AR807" s="118"/>
      <c r="AS807" s="118"/>
    </row>
    <row r="808">
      <c r="A808" s="118"/>
      <c r="B808" s="118"/>
      <c r="C808" s="118"/>
      <c r="D808" s="118"/>
      <c r="E808" s="118"/>
      <c r="F808" s="161"/>
      <c r="G808" s="161"/>
      <c r="H808" s="118"/>
      <c r="I808" s="118"/>
      <c r="J808" s="161"/>
      <c r="K808" s="161"/>
      <c r="L808" s="161"/>
      <c r="M808" s="161"/>
      <c r="N808" s="161"/>
      <c r="O808" s="161"/>
      <c r="P808" s="161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  <c r="AI808" s="118"/>
      <c r="AJ808" s="118"/>
      <c r="AK808" s="118"/>
      <c r="AL808" s="118"/>
      <c r="AM808" s="118"/>
      <c r="AN808" s="118"/>
      <c r="AO808" s="118"/>
      <c r="AP808" s="118"/>
      <c r="AQ808" s="118"/>
      <c r="AR808" s="118"/>
      <c r="AS808" s="118"/>
    </row>
    <row r="809">
      <c r="A809" s="118"/>
      <c r="B809" s="118"/>
      <c r="C809" s="118"/>
      <c r="D809" s="118"/>
      <c r="E809" s="118"/>
      <c r="F809" s="161"/>
      <c r="G809" s="161"/>
      <c r="H809" s="118"/>
      <c r="I809" s="118"/>
      <c r="J809" s="161"/>
      <c r="K809" s="161"/>
      <c r="L809" s="161"/>
      <c r="M809" s="161"/>
      <c r="N809" s="161"/>
      <c r="O809" s="161"/>
      <c r="P809" s="161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  <c r="AI809" s="118"/>
      <c r="AJ809" s="118"/>
      <c r="AK809" s="118"/>
      <c r="AL809" s="118"/>
      <c r="AM809" s="118"/>
      <c r="AN809" s="118"/>
      <c r="AO809" s="118"/>
      <c r="AP809" s="118"/>
      <c r="AQ809" s="118"/>
      <c r="AR809" s="118"/>
      <c r="AS809" s="118"/>
    </row>
    <row r="810">
      <c r="A810" s="118"/>
      <c r="B810" s="118"/>
      <c r="C810" s="118"/>
      <c r="D810" s="118"/>
      <c r="E810" s="118"/>
      <c r="F810" s="161"/>
      <c r="G810" s="161"/>
      <c r="H810" s="118"/>
      <c r="I810" s="118"/>
      <c r="J810" s="161"/>
      <c r="K810" s="161"/>
      <c r="L810" s="161"/>
      <c r="M810" s="161"/>
      <c r="N810" s="161"/>
      <c r="O810" s="161"/>
      <c r="P810" s="161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  <c r="AI810" s="118"/>
      <c r="AJ810" s="118"/>
      <c r="AK810" s="118"/>
      <c r="AL810" s="118"/>
      <c r="AM810" s="118"/>
      <c r="AN810" s="118"/>
      <c r="AO810" s="118"/>
      <c r="AP810" s="118"/>
      <c r="AQ810" s="118"/>
      <c r="AR810" s="118"/>
      <c r="AS810" s="118"/>
    </row>
    <row r="811">
      <c r="A811" s="118"/>
      <c r="B811" s="118"/>
      <c r="C811" s="118"/>
      <c r="D811" s="118"/>
      <c r="E811" s="118"/>
      <c r="F811" s="161"/>
      <c r="G811" s="161"/>
      <c r="H811" s="118"/>
      <c r="I811" s="118"/>
      <c r="J811" s="161"/>
      <c r="K811" s="161"/>
      <c r="L811" s="161"/>
      <c r="M811" s="161"/>
      <c r="N811" s="161"/>
      <c r="O811" s="161"/>
      <c r="P811" s="161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  <c r="AI811" s="118"/>
      <c r="AJ811" s="118"/>
      <c r="AK811" s="118"/>
      <c r="AL811" s="118"/>
      <c r="AM811" s="118"/>
      <c r="AN811" s="118"/>
      <c r="AO811" s="118"/>
      <c r="AP811" s="118"/>
      <c r="AQ811" s="118"/>
      <c r="AR811" s="118"/>
      <c r="AS811" s="118"/>
    </row>
    <row r="812">
      <c r="A812" s="118"/>
      <c r="B812" s="118"/>
      <c r="C812" s="118"/>
      <c r="D812" s="118"/>
      <c r="E812" s="118"/>
      <c r="F812" s="161"/>
      <c r="G812" s="161"/>
      <c r="H812" s="118"/>
      <c r="I812" s="118"/>
      <c r="J812" s="161"/>
      <c r="K812" s="161"/>
      <c r="L812" s="161"/>
      <c r="M812" s="161"/>
      <c r="N812" s="161"/>
      <c r="O812" s="161"/>
      <c r="P812" s="161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  <c r="AI812" s="118"/>
      <c r="AJ812" s="118"/>
      <c r="AK812" s="118"/>
      <c r="AL812" s="118"/>
      <c r="AM812" s="118"/>
      <c r="AN812" s="118"/>
      <c r="AO812" s="118"/>
      <c r="AP812" s="118"/>
      <c r="AQ812" s="118"/>
      <c r="AR812" s="118"/>
      <c r="AS812" s="118"/>
    </row>
    <row r="813">
      <c r="A813" s="118"/>
      <c r="B813" s="118"/>
      <c r="C813" s="118"/>
      <c r="D813" s="118"/>
      <c r="E813" s="118"/>
      <c r="F813" s="161"/>
      <c r="G813" s="161"/>
      <c r="H813" s="118"/>
      <c r="I813" s="118"/>
      <c r="J813" s="161"/>
      <c r="K813" s="161"/>
      <c r="L813" s="161"/>
      <c r="M813" s="161"/>
      <c r="N813" s="161"/>
      <c r="O813" s="161"/>
      <c r="P813" s="161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  <c r="AI813" s="118"/>
      <c r="AJ813" s="118"/>
      <c r="AK813" s="118"/>
      <c r="AL813" s="118"/>
      <c r="AM813" s="118"/>
      <c r="AN813" s="118"/>
      <c r="AO813" s="118"/>
      <c r="AP813" s="118"/>
      <c r="AQ813" s="118"/>
      <c r="AR813" s="118"/>
      <c r="AS813" s="118"/>
    </row>
    <row r="814">
      <c r="A814" s="118"/>
      <c r="B814" s="118"/>
      <c r="C814" s="118"/>
      <c r="D814" s="118"/>
      <c r="E814" s="118"/>
      <c r="F814" s="161"/>
      <c r="G814" s="161"/>
      <c r="H814" s="118"/>
      <c r="I814" s="118"/>
      <c r="J814" s="161"/>
      <c r="K814" s="161"/>
      <c r="L814" s="161"/>
      <c r="M814" s="161"/>
      <c r="N814" s="161"/>
      <c r="O814" s="161"/>
      <c r="P814" s="161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  <c r="AI814" s="118"/>
      <c r="AJ814" s="118"/>
      <c r="AK814" s="118"/>
      <c r="AL814" s="118"/>
      <c r="AM814" s="118"/>
      <c r="AN814" s="118"/>
      <c r="AO814" s="118"/>
      <c r="AP814" s="118"/>
      <c r="AQ814" s="118"/>
      <c r="AR814" s="118"/>
      <c r="AS814" s="118"/>
    </row>
    <row r="815">
      <c r="A815" s="118"/>
      <c r="B815" s="118"/>
      <c r="C815" s="118"/>
      <c r="D815" s="118"/>
      <c r="E815" s="118"/>
      <c r="F815" s="161"/>
      <c r="G815" s="161"/>
      <c r="H815" s="118"/>
      <c r="I815" s="118"/>
      <c r="J815" s="161"/>
      <c r="K815" s="161"/>
      <c r="L815" s="161"/>
      <c r="M815" s="161"/>
      <c r="N815" s="161"/>
      <c r="O815" s="161"/>
      <c r="P815" s="161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  <c r="AI815" s="118"/>
      <c r="AJ815" s="118"/>
      <c r="AK815" s="118"/>
      <c r="AL815" s="118"/>
      <c r="AM815" s="118"/>
      <c r="AN815" s="118"/>
      <c r="AO815" s="118"/>
      <c r="AP815" s="118"/>
      <c r="AQ815" s="118"/>
      <c r="AR815" s="118"/>
      <c r="AS815" s="118"/>
    </row>
    <row r="816">
      <c r="A816" s="118"/>
      <c r="B816" s="118"/>
      <c r="C816" s="118"/>
      <c r="D816" s="118"/>
      <c r="E816" s="118"/>
      <c r="F816" s="161"/>
      <c r="G816" s="161"/>
      <c r="H816" s="118"/>
      <c r="I816" s="118"/>
      <c r="J816" s="161"/>
      <c r="K816" s="161"/>
      <c r="L816" s="161"/>
      <c r="M816" s="161"/>
      <c r="N816" s="161"/>
      <c r="O816" s="161"/>
      <c r="P816" s="161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</row>
    <row r="817">
      <c r="A817" s="118"/>
      <c r="B817" s="118"/>
      <c r="C817" s="118"/>
      <c r="D817" s="118"/>
      <c r="E817" s="118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  <c r="AI817" s="118"/>
      <c r="AJ817" s="118"/>
      <c r="AK817" s="118"/>
      <c r="AL817" s="118"/>
      <c r="AM817" s="118"/>
      <c r="AN817" s="118"/>
      <c r="AO817" s="118"/>
      <c r="AP817" s="118"/>
      <c r="AQ817" s="118"/>
      <c r="AR817" s="118"/>
      <c r="AS817" s="118"/>
    </row>
    <row r="818">
      <c r="A818" s="118"/>
      <c r="B818" s="118"/>
      <c r="C818" s="118"/>
      <c r="D818" s="118"/>
      <c r="E818" s="118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  <c r="AI818" s="118"/>
      <c r="AJ818" s="118"/>
      <c r="AK818" s="118"/>
      <c r="AL818" s="118"/>
      <c r="AM818" s="118"/>
      <c r="AN818" s="118"/>
      <c r="AO818" s="118"/>
      <c r="AP818" s="118"/>
      <c r="AQ818" s="118"/>
      <c r="AR818" s="118"/>
      <c r="AS818" s="118"/>
    </row>
    <row r="819">
      <c r="A819" s="118"/>
      <c r="B819" s="118"/>
      <c r="C819" s="118"/>
      <c r="D819" s="118"/>
      <c r="E819" s="118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  <c r="AI819" s="118"/>
      <c r="AJ819" s="118"/>
      <c r="AK819" s="118"/>
      <c r="AL819" s="118"/>
      <c r="AM819" s="118"/>
      <c r="AN819" s="118"/>
      <c r="AO819" s="118"/>
      <c r="AP819" s="118"/>
      <c r="AQ819" s="118"/>
      <c r="AR819" s="118"/>
      <c r="AS819" s="118"/>
    </row>
    <row r="820">
      <c r="A820" s="118"/>
      <c r="B820" s="118"/>
      <c r="C820" s="118"/>
      <c r="D820" s="118"/>
      <c r="E820" s="118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  <c r="AI820" s="118"/>
      <c r="AJ820" s="118"/>
      <c r="AK820" s="118"/>
      <c r="AL820" s="118"/>
      <c r="AM820" s="118"/>
      <c r="AN820" s="118"/>
      <c r="AO820" s="118"/>
      <c r="AP820" s="118"/>
      <c r="AQ820" s="118"/>
      <c r="AR820" s="118"/>
      <c r="AS820" s="118"/>
    </row>
    <row r="821">
      <c r="A821" s="118"/>
      <c r="B821" s="118"/>
      <c r="C821" s="118"/>
      <c r="D821" s="118"/>
      <c r="E821" s="118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  <c r="AI821" s="118"/>
      <c r="AJ821" s="118"/>
      <c r="AK821" s="118"/>
      <c r="AL821" s="118"/>
      <c r="AM821" s="118"/>
      <c r="AN821" s="118"/>
      <c r="AO821" s="118"/>
      <c r="AP821" s="118"/>
      <c r="AQ821" s="118"/>
      <c r="AR821" s="118"/>
      <c r="AS821" s="118"/>
    </row>
    <row r="822">
      <c r="A822" s="118"/>
      <c r="B822" s="118"/>
      <c r="C822" s="118"/>
      <c r="D822" s="118"/>
      <c r="E822" s="118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8"/>
      <c r="AN822" s="118"/>
      <c r="AO822" s="118"/>
      <c r="AP822" s="118"/>
      <c r="AQ822" s="118"/>
      <c r="AR822" s="118"/>
      <c r="AS822" s="118"/>
    </row>
    <row r="823">
      <c r="A823" s="118"/>
      <c r="B823" s="118"/>
      <c r="C823" s="118"/>
      <c r="D823" s="118"/>
      <c r="E823" s="118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  <c r="AI823" s="118"/>
      <c r="AJ823" s="118"/>
      <c r="AK823" s="118"/>
      <c r="AL823" s="118"/>
      <c r="AM823" s="118"/>
      <c r="AN823" s="118"/>
      <c r="AO823" s="118"/>
      <c r="AP823" s="118"/>
      <c r="AQ823" s="118"/>
      <c r="AR823" s="118"/>
      <c r="AS823" s="118"/>
    </row>
    <row r="824">
      <c r="A824" s="118"/>
      <c r="B824" s="118"/>
      <c r="C824" s="118"/>
      <c r="D824" s="118"/>
      <c r="E824" s="118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  <c r="AI824" s="118"/>
      <c r="AJ824" s="118"/>
      <c r="AK824" s="118"/>
      <c r="AL824" s="118"/>
      <c r="AM824" s="118"/>
      <c r="AN824" s="118"/>
      <c r="AO824" s="118"/>
      <c r="AP824" s="118"/>
      <c r="AQ824" s="118"/>
      <c r="AR824" s="118"/>
      <c r="AS824" s="118"/>
    </row>
    <row r="825">
      <c r="A825" s="118"/>
      <c r="B825" s="118"/>
      <c r="C825" s="118"/>
      <c r="D825" s="118"/>
      <c r="E825" s="118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  <c r="AI825" s="118"/>
      <c r="AJ825" s="118"/>
      <c r="AK825" s="118"/>
      <c r="AL825" s="118"/>
      <c r="AM825" s="118"/>
      <c r="AN825" s="118"/>
      <c r="AO825" s="118"/>
      <c r="AP825" s="118"/>
      <c r="AQ825" s="118"/>
      <c r="AR825" s="118"/>
      <c r="AS825" s="118"/>
    </row>
    <row r="826">
      <c r="A826" s="118"/>
      <c r="B826" s="118"/>
      <c r="C826" s="118"/>
      <c r="D826" s="118"/>
      <c r="E826" s="118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  <c r="AI826" s="118"/>
      <c r="AJ826" s="118"/>
      <c r="AK826" s="118"/>
      <c r="AL826" s="118"/>
      <c r="AM826" s="118"/>
      <c r="AN826" s="118"/>
      <c r="AO826" s="118"/>
      <c r="AP826" s="118"/>
      <c r="AQ826" s="118"/>
      <c r="AR826" s="118"/>
      <c r="AS826" s="118"/>
    </row>
    <row r="827">
      <c r="A827" s="118"/>
      <c r="B827" s="118"/>
      <c r="C827" s="118"/>
      <c r="D827" s="118"/>
      <c r="E827" s="118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  <c r="AI827" s="118"/>
      <c r="AJ827" s="118"/>
      <c r="AK827" s="118"/>
      <c r="AL827" s="118"/>
      <c r="AM827" s="118"/>
      <c r="AN827" s="118"/>
      <c r="AO827" s="118"/>
      <c r="AP827" s="118"/>
      <c r="AQ827" s="118"/>
      <c r="AR827" s="118"/>
      <c r="AS827" s="118"/>
    </row>
    <row r="828">
      <c r="A828" s="118"/>
      <c r="B828" s="118"/>
      <c r="C828" s="118"/>
      <c r="D828" s="118"/>
      <c r="E828" s="118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  <c r="AI828" s="118"/>
      <c r="AJ828" s="118"/>
      <c r="AK828" s="118"/>
      <c r="AL828" s="118"/>
      <c r="AM828" s="118"/>
      <c r="AN828" s="118"/>
      <c r="AO828" s="118"/>
      <c r="AP828" s="118"/>
      <c r="AQ828" s="118"/>
      <c r="AR828" s="118"/>
      <c r="AS828" s="118"/>
    </row>
    <row r="829">
      <c r="A829" s="118"/>
      <c r="B829" s="118"/>
      <c r="C829" s="118"/>
      <c r="D829" s="118"/>
      <c r="E829" s="118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  <c r="AL829" s="118"/>
      <c r="AM829" s="118"/>
      <c r="AN829" s="118"/>
      <c r="AO829" s="118"/>
      <c r="AP829" s="118"/>
      <c r="AQ829" s="118"/>
      <c r="AR829" s="118"/>
      <c r="AS829" s="118"/>
    </row>
    <row r="830">
      <c r="A830" s="118"/>
      <c r="B830" s="118"/>
      <c r="C830" s="118"/>
      <c r="D830" s="118"/>
      <c r="E830" s="118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  <c r="AL830" s="118"/>
      <c r="AM830" s="118"/>
      <c r="AN830" s="118"/>
      <c r="AO830" s="118"/>
      <c r="AP830" s="118"/>
      <c r="AQ830" s="118"/>
      <c r="AR830" s="118"/>
      <c r="AS830" s="118"/>
    </row>
    <row r="831">
      <c r="A831" s="118"/>
      <c r="B831" s="118"/>
      <c r="C831" s="118"/>
      <c r="D831" s="118"/>
      <c r="E831" s="118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  <c r="AI831" s="118"/>
      <c r="AJ831" s="118"/>
      <c r="AK831" s="118"/>
      <c r="AL831" s="118"/>
      <c r="AM831" s="118"/>
      <c r="AN831" s="118"/>
      <c r="AO831" s="118"/>
      <c r="AP831" s="118"/>
      <c r="AQ831" s="118"/>
      <c r="AR831" s="118"/>
      <c r="AS831" s="118"/>
    </row>
    <row r="832">
      <c r="A832" s="118"/>
      <c r="B832" s="118"/>
      <c r="C832" s="118"/>
      <c r="D832" s="118"/>
      <c r="E832" s="118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  <c r="AI832" s="118"/>
      <c r="AJ832" s="118"/>
      <c r="AK832" s="118"/>
      <c r="AL832" s="118"/>
      <c r="AM832" s="118"/>
      <c r="AN832" s="118"/>
      <c r="AO832" s="118"/>
      <c r="AP832" s="118"/>
      <c r="AQ832" s="118"/>
      <c r="AR832" s="118"/>
      <c r="AS832" s="118"/>
    </row>
    <row r="833">
      <c r="A833" s="118"/>
      <c r="B833" s="118"/>
      <c r="C833" s="118"/>
      <c r="D833" s="118"/>
      <c r="E833" s="118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  <c r="AI833" s="118"/>
      <c r="AJ833" s="118"/>
      <c r="AK833" s="118"/>
      <c r="AL833" s="118"/>
      <c r="AM833" s="118"/>
      <c r="AN833" s="118"/>
      <c r="AO833" s="118"/>
      <c r="AP833" s="118"/>
      <c r="AQ833" s="118"/>
      <c r="AR833" s="118"/>
      <c r="AS833" s="118"/>
    </row>
    <row r="834">
      <c r="A834" s="118"/>
      <c r="B834" s="118"/>
      <c r="C834" s="118"/>
      <c r="D834" s="118"/>
      <c r="E834" s="118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  <c r="AI834" s="118"/>
      <c r="AJ834" s="118"/>
      <c r="AK834" s="118"/>
      <c r="AL834" s="118"/>
      <c r="AM834" s="118"/>
      <c r="AN834" s="118"/>
      <c r="AO834" s="118"/>
      <c r="AP834" s="118"/>
      <c r="AQ834" s="118"/>
      <c r="AR834" s="118"/>
      <c r="AS834" s="118"/>
    </row>
    <row r="835">
      <c r="A835" s="118"/>
      <c r="B835" s="118"/>
      <c r="C835" s="118"/>
      <c r="D835" s="118"/>
      <c r="E835" s="118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  <c r="AI835" s="118"/>
      <c r="AJ835" s="118"/>
      <c r="AK835" s="118"/>
      <c r="AL835" s="118"/>
      <c r="AM835" s="118"/>
      <c r="AN835" s="118"/>
      <c r="AO835" s="118"/>
      <c r="AP835" s="118"/>
      <c r="AQ835" s="118"/>
      <c r="AR835" s="118"/>
      <c r="AS835" s="118"/>
    </row>
    <row r="836">
      <c r="A836" s="118"/>
      <c r="B836" s="118"/>
      <c r="C836" s="118"/>
      <c r="D836" s="118"/>
      <c r="E836" s="118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  <c r="AI836" s="118"/>
      <c r="AJ836" s="118"/>
      <c r="AK836" s="118"/>
      <c r="AL836" s="118"/>
      <c r="AM836" s="118"/>
      <c r="AN836" s="118"/>
      <c r="AO836" s="118"/>
      <c r="AP836" s="118"/>
      <c r="AQ836" s="118"/>
      <c r="AR836" s="118"/>
      <c r="AS836" s="118"/>
    </row>
    <row r="837">
      <c r="A837" s="118"/>
      <c r="B837" s="118"/>
      <c r="C837" s="118"/>
      <c r="D837" s="118"/>
      <c r="E837" s="118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  <c r="AI837" s="118"/>
      <c r="AJ837" s="118"/>
      <c r="AK837" s="118"/>
      <c r="AL837" s="118"/>
      <c r="AM837" s="118"/>
      <c r="AN837" s="118"/>
      <c r="AO837" s="118"/>
      <c r="AP837" s="118"/>
      <c r="AQ837" s="118"/>
      <c r="AR837" s="118"/>
      <c r="AS837" s="118"/>
    </row>
    <row r="838">
      <c r="A838" s="118"/>
      <c r="B838" s="118"/>
      <c r="C838" s="118"/>
      <c r="D838" s="118"/>
      <c r="E838" s="118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  <c r="AI838" s="118"/>
      <c r="AJ838" s="118"/>
      <c r="AK838" s="118"/>
      <c r="AL838" s="118"/>
      <c r="AM838" s="118"/>
      <c r="AN838" s="118"/>
      <c r="AO838" s="118"/>
      <c r="AP838" s="118"/>
      <c r="AQ838" s="118"/>
      <c r="AR838" s="118"/>
      <c r="AS838" s="118"/>
    </row>
    <row r="839">
      <c r="A839" s="118"/>
      <c r="B839" s="118"/>
      <c r="C839" s="118"/>
      <c r="D839" s="118"/>
      <c r="E839" s="118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  <c r="AI839" s="118"/>
      <c r="AJ839" s="118"/>
      <c r="AK839" s="118"/>
      <c r="AL839" s="118"/>
      <c r="AM839" s="118"/>
      <c r="AN839" s="118"/>
      <c r="AO839" s="118"/>
      <c r="AP839" s="118"/>
      <c r="AQ839" s="118"/>
      <c r="AR839" s="118"/>
      <c r="AS839" s="118"/>
    </row>
    <row r="840">
      <c r="A840" s="118"/>
      <c r="B840" s="118"/>
      <c r="C840" s="118"/>
      <c r="D840" s="118"/>
      <c r="E840" s="118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  <c r="AI840" s="118"/>
      <c r="AJ840" s="118"/>
      <c r="AK840" s="118"/>
      <c r="AL840" s="118"/>
      <c r="AM840" s="118"/>
      <c r="AN840" s="118"/>
      <c r="AO840" s="118"/>
      <c r="AP840" s="118"/>
      <c r="AQ840" s="118"/>
      <c r="AR840" s="118"/>
      <c r="AS840" s="118"/>
    </row>
    <row r="841">
      <c r="A841" s="118"/>
      <c r="B841" s="118"/>
      <c r="C841" s="118"/>
      <c r="D841" s="118"/>
      <c r="E841" s="118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  <c r="AI841" s="118"/>
      <c r="AJ841" s="118"/>
      <c r="AK841" s="118"/>
      <c r="AL841" s="118"/>
      <c r="AM841" s="118"/>
      <c r="AN841" s="118"/>
      <c r="AO841" s="118"/>
      <c r="AP841" s="118"/>
      <c r="AQ841" s="118"/>
      <c r="AR841" s="118"/>
      <c r="AS841" s="118"/>
    </row>
    <row r="842">
      <c r="A842" s="118"/>
      <c r="B842" s="118"/>
      <c r="C842" s="118"/>
      <c r="D842" s="118"/>
      <c r="E842" s="118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  <c r="AI842" s="118"/>
      <c r="AJ842" s="118"/>
      <c r="AK842" s="118"/>
      <c r="AL842" s="118"/>
      <c r="AM842" s="118"/>
      <c r="AN842" s="118"/>
      <c r="AO842" s="118"/>
      <c r="AP842" s="118"/>
      <c r="AQ842" s="118"/>
      <c r="AR842" s="118"/>
      <c r="AS842" s="118"/>
    </row>
  </sheetData>
  <mergeCells count="15">
    <mergeCell ref="G3:G4"/>
    <mergeCell ref="H3:H4"/>
    <mergeCell ref="I3:I4"/>
    <mergeCell ref="J3:M3"/>
    <mergeCell ref="N3:N4"/>
    <mergeCell ref="O3:O4"/>
    <mergeCell ref="P3:P4"/>
    <mergeCell ref="Q3:Q4"/>
    <mergeCell ref="J1:M1"/>
    <mergeCell ref="A3:A4"/>
    <mergeCell ref="B3:B4"/>
    <mergeCell ref="C3:C4"/>
    <mergeCell ref="D3:D4"/>
    <mergeCell ref="E3:E4"/>
    <mergeCell ref="F3:F4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7.75"/>
    <col customWidth="1" min="3" max="3" width="4.13"/>
    <col customWidth="1" hidden="1" min="4" max="4" width="4.75"/>
    <col customWidth="1" min="5" max="5" width="17.38"/>
    <col customWidth="1" hidden="1" min="6" max="6" width="17.25"/>
    <col customWidth="1" hidden="1" min="7" max="7" width="16.63"/>
    <col customWidth="1" min="8" max="9" width="3.25"/>
    <col customWidth="1" min="10" max="10" width="17.75"/>
    <col customWidth="1" min="11" max="11" width="19.88"/>
    <col customWidth="1" min="12" max="12" width="18.63"/>
    <col customWidth="1" min="13" max="13" width="20.13"/>
    <col customWidth="1" min="14" max="14" width="5.38"/>
    <col customWidth="1" min="15" max="15" width="6.13"/>
    <col customWidth="1" min="16" max="16" width="19.75"/>
    <col customWidth="1" min="17" max="17" width="23.13"/>
    <col customWidth="1" hidden="1" min="18" max="18" width="14.75"/>
    <col customWidth="1" hidden="1" min="19" max="19" width="23.13"/>
  </cols>
  <sheetData>
    <row r="1" ht="23.25" customHeight="1">
      <c r="A1" s="106"/>
      <c r="B1" s="107">
        <f>NOW()</f>
        <v>46137.95904</v>
      </c>
      <c r="C1" s="108">
        <f> COUNTIF(C5:C25, "&gt;0")</f>
        <v>7</v>
      </c>
      <c r="D1" s="109"/>
      <c r="F1" s="110"/>
      <c r="G1" s="110"/>
      <c r="H1" s="111"/>
      <c r="I1" s="111"/>
      <c r="J1" s="112" t="s">
        <v>125</v>
      </c>
      <c r="N1" s="113"/>
      <c r="O1" s="114">
        <v>46144.0</v>
      </c>
      <c r="P1" s="181" t="s">
        <v>126</v>
      </c>
      <c r="Q1" s="115"/>
      <c r="R1" s="116"/>
      <c r="S1" s="117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</row>
    <row r="2" ht="27.75" customHeight="1">
      <c r="A2" s="119">
        <v>17.0</v>
      </c>
      <c r="B2" s="120" t="s">
        <v>482</v>
      </c>
      <c r="C2" s="182"/>
      <c r="D2" s="212"/>
      <c r="E2" s="122"/>
      <c r="F2" s="122"/>
      <c r="G2" s="122"/>
      <c r="H2" s="122">
        <f t="shared" ref="H2:I2" si="1">COUNTIF(H4:H23, "&gt;0")</f>
        <v>0</v>
      </c>
      <c r="I2" s="122">
        <f t="shared" si="1"/>
        <v>1</v>
      </c>
      <c r="J2" s="122"/>
      <c r="K2" s="122"/>
      <c r="L2" s="213">
        <v>5.0</v>
      </c>
      <c r="M2" s="122"/>
      <c r="N2" s="124">
        <f>COUNTIF(N4:N23, "&gt;0")</f>
        <v>13</v>
      </c>
      <c r="O2" s="124">
        <f>COUNTIF(O4:O25, "&gt;0")</f>
        <v>6</v>
      </c>
      <c r="P2" s="125">
        <v>46137.0</v>
      </c>
      <c r="Q2" s="118"/>
      <c r="R2" s="117"/>
      <c r="S2" s="117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</row>
    <row r="3" ht="22.5" customHeight="1">
      <c r="A3" s="129" t="s">
        <v>5</v>
      </c>
      <c r="B3" s="129" t="s">
        <v>6</v>
      </c>
      <c r="C3" s="129" t="s">
        <v>9</v>
      </c>
      <c r="D3" s="129"/>
      <c r="E3" s="129" t="s">
        <v>18</v>
      </c>
      <c r="F3" s="130" t="s">
        <v>131</v>
      </c>
      <c r="G3" s="129" t="s">
        <v>132</v>
      </c>
      <c r="H3" s="129"/>
      <c r="I3" s="129"/>
      <c r="J3" s="131" t="s">
        <v>133</v>
      </c>
      <c r="K3" s="132"/>
      <c r="L3" s="132"/>
      <c r="M3" s="133"/>
      <c r="N3" s="129" t="s">
        <v>134</v>
      </c>
      <c r="O3" s="129" t="s">
        <v>135</v>
      </c>
      <c r="P3" s="130" t="s">
        <v>136</v>
      </c>
      <c r="Q3" s="129" t="s">
        <v>137</v>
      </c>
      <c r="R3" s="117"/>
      <c r="S3" s="117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</row>
    <row r="4" ht="27.0" customHeight="1">
      <c r="A4" s="50"/>
      <c r="B4" s="50"/>
      <c r="C4" s="50"/>
      <c r="D4" s="50"/>
      <c r="E4" s="50"/>
      <c r="F4" s="50"/>
      <c r="G4" s="50"/>
      <c r="H4" s="50"/>
      <c r="I4" s="50"/>
      <c r="J4" s="137" t="s">
        <v>140</v>
      </c>
      <c r="K4" s="137" t="s">
        <v>141</v>
      </c>
      <c r="L4" s="137" t="s">
        <v>142</v>
      </c>
      <c r="M4" s="137" t="s">
        <v>143</v>
      </c>
      <c r="N4" s="50"/>
      <c r="O4" s="50"/>
      <c r="P4" s="50"/>
      <c r="Q4" s="50"/>
      <c r="R4" s="117"/>
      <c r="S4" s="117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</row>
    <row r="5">
      <c r="A5" s="138">
        <v>1.0</v>
      </c>
      <c r="B5" s="60" t="s">
        <v>66</v>
      </c>
      <c r="C5" s="231"/>
      <c r="D5" s="75"/>
      <c r="E5" s="76" t="s">
        <v>48</v>
      </c>
      <c r="F5" s="144"/>
      <c r="G5" s="144"/>
      <c r="H5" s="232"/>
      <c r="I5" s="232">
        <v>1.0</v>
      </c>
      <c r="J5" s="185" t="s">
        <v>265</v>
      </c>
      <c r="K5" s="185" t="s">
        <v>265</v>
      </c>
      <c r="L5" s="185" t="s">
        <v>265</v>
      </c>
      <c r="M5" s="185" t="s">
        <v>265</v>
      </c>
      <c r="N5" s="233"/>
      <c r="O5" s="126"/>
      <c r="P5" s="185" t="s">
        <v>483</v>
      </c>
      <c r="Q5" s="64"/>
      <c r="R5" s="117"/>
      <c r="S5" s="117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ht="30.0" customHeight="1">
      <c r="A6" s="138">
        <f t="shared" ref="A6:A21" si="2">A5+1</f>
        <v>2</v>
      </c>
      <c r="B6" s="60" t="s">
        <v>484</v>
      </c>
      <c r="C6" s="231"/>
      <c r="D6" s="75"/>
      <c r="E6" s="80" t="s">
        <v>485</v>
      </c>
      <c r="F6" s="59" t="s">
        <v>486</v>
      </c>
      <c r="G6" s="59" t="s">
        <v>146</v>
      </c>
      <c r="H6" s="234"/>
      <c r="I6" s="157"/>
      <c r="J6" s="141" t="s">
        <v>487</v>
      </c>
      <c r="K6" s="223" t="s">
        <v>488</v>
      </c>
      <c r="L6" s="235" t="s">
        <v>486</v>
      </c>
      <c r="M6" s="141" t="s">
        <v>489</v>
      </c>
      <c r="N6" s="142">
        <v>1.0</v>
      </c>
      <c r="O6" s="126"/>
      <c r="P6" s="59"/>
      <c r="Q6" s="64"/>
      <c r="R6" s="117"/>
      <c r="S6" s="117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>
      <c r="A7" s="138">
        <f t="shared" si="2"/>
        <v>3</v>
      </c>
      <c r="B7" s="60" t="s">
        <v>67</v>
      </c>
      <c r="C7" s="231"/>
      <c r="D7" s="77"/>
      <c r="E7" s="60" t="s">
        <v>68</v>
      </c>
      <c r="F7" s="59" t="s">
        <v>83</v>
      </c>
      <c r="G7" s="59" t="s">
        <v>158</v>
      </c>
      <c r="H7" s="234"/>
      <c r="I7" s="157"/>
      <c r="J7" s="141" t="s">
        <v>68</v>
      </c>
      <c r="K7" s="223" t="s">
        <v>490</v>
      </c>
      <c r="L7" s="148" t="s">
        <v>83</v>
      </c>
      <c r="M7" s="141" t="s">
        <v>491</v>
      </c>
      <c r="N7" s="142">
        <v>1.0</v>
      </c>
      <c r="O7" s="126"/>
      <c r="P7" s="59"/>
      <c r="Q7" s="59"/>
      <c r="R7" s="117"/>
      <c r="S7" s="117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ht="33.0" customHeight="1">
      <c r="A8" s="138">
        <f t="shared" si="2"/>
        <v>4</v>
      </c>
      <c r="B8" s="159" t="s">
        <v>492</v>
      </c>
      <c r="C8" s="140">
        <v>5.0</v>
      </c>
      <c r="D8" s="77"/>
      <c r="E8" s="60" t="s">
        <v>37</v>
      </c>
      <c r="F8" s="63" t="s">
        <v>493</v>
      </c>
      <c r="G8" s="59" t="s">
        <v>204</v>
      </c>
      <c r="H8" s="234"/>
      <c r="I8" s="157"/>
      <c r="J8" s="159" t="s">
        <v>494</v>
      </c>
      <c r="K8" s="200" t="s">
        <v>495</v>
      </c>
      <c r="L8" s="159" t="s">
        <v>493</v>
      </c>
      <c r="M8" s="236" t="s">
        <v>371</v>
      </c>
      <c r="N8" s="142">
        <v>1.0</v>
      </c>
      <c r="O8" s="142">
        <v>1.0</v>
      </c>
      <c r="P8" s="59"/>
      <c r="Q8" s="237"/>
      <c r="R8" s="216" t="s">
        <v>496</v>
      </c>
      <c r="S8" s="217" t="s">
        <v>497</v>
      </c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</row>
    <row r="9" ht="30.0" customHeight="1">
      <c r="A9" s="138">
        <f t="shared" si="2"/>
        <v>5</v>
      </c>
      <c r="B9" s="202" t="s">
        <v>498</v>
      </c>
      <c r="C9" s="140">
        <v>5.0</v>
      </c>
      <c r="D9" s="77"/>
      <c r="E9" s="60" t="s">
        <v>68</v>
      </c>
      <c r="F9" s="238" t="s">
        <v>83</v>
      </c>
      <c r="G9" s="97" t="s">
        <v>158</v>
      </c>
      <c r="H9" s="234"/>
      <c r="I9" s="157"/>
      <c r="J9" s="202" t="s">
        <v>28</v>
      </c>
      <c r="K9" s="239" t="s">
        <v>159</v>
      </c>
      <c r="L9" s="148" t="s">
        <v>83</v>
      </c>
      <c r="M9" s="141" t="s">
        <v>366</v>
      </c>
      <c r="N9" s="142">
        <v>1.0</v>
      </c>
      <c r="O9" s="142">
        <v>1.0</v>
      </c>
      <c r="P9" s="59"/>
      <c r="Q9" s="59"/>
      <c r="R9" s="117"/>
      <c r="S9" s="117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</row>
    <row r="10" ht="33.0" customHeight="1">
      <c r="A10" s="138">
        <f t="shared" si="2"/>
        <v>6</v>
      </c>
      <c r="B10" s="202" t="s">
        <v>499</v>
      </c>
      <c r="C10" s="140">
        <v>5.0</v>
      </c>
      <c r="D10" s="77"/>
      <c r="E10" s="60" t="s">
        <v>35</v>
      </c>
      <c r="F10" s="59" t="s">
        <v>493</v>
      </c>
      <c r="G10" s="59" t="s">
        <v>204</v>
      </c>
      <c r="H10" s="234"/>
      <c r="I10" s="157"/>
      <c r="J10" s="141" t="s">
        <v>494</v>
      </c>
      <c r="K10" s="139" t="s">
        <v>495</v>
      </c>
      <c r="L10" s="141" t="s">
        <v>493</v>
      </c>
      <c r="M10" s="141" t="s">
        <v>371</v>
      </c>
      <c r="N10" s="142">
        <v>1.0</v>
      </c>
      <c r="O10" s="142">
        <v>1.0</v>
      </c>
      <c r="P10" s="59"/>
      <c r="Q10" s="64"/>
      <c r="R10" s="216" t="s">
        <v>500</v>
      </c>
      <c r="S10" s="217" t="s">
        <v>501</v>
      </c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</row>
    <row r="11" ht="33.0" customHeight="1">
      <c r="A11" s="138">
        <f t="shared" si="2"/>
        <v>7</v>
      </c>
      <c r="B11" s="60" t="s">
        <v>69</v>
      </c>
      <c r="C11" s="140"/>
      <c r="D11" s="77"/>
      <c r="E11" s="60" t="s">
        <v>37</v>
      </c>
      <c r="F11" s="59" t="s">
        <v>413</v>
      </c>
      <c r="G11" s="97" t="s">
        <v>158</v>
      </c>
      <c r="H11" s="234"/>
      <c r="I11" s="157"/>
      <c r="J11" s="141" t="s">
        <v>28</v>
      </c>
      <c r="K11" s="139" t="s">
        <v>159</v>
      </c>
      <c r="L11" s="148" t="s">
        <v>83</v>
      </c>
      <c r="M11" s="141" t="s">
        <v>366</v>
      </c>
      <c r="N11" s="142">
        <v>1.0</v>
      </c>
      <c r="O11" s="126"/>
      <c r="P11" s="59"/>
      <c r="Q11" s="64"/>
      <c r="R11" s="240">
        <v>8.9217918345E10</v>
      </c>
      <c r="S11" s="241" t="s">
        <v>502</v>
      </c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</row>
    <row r="12" ht="30.75" customHeight="1">
      <c r="A12" s="138">
        <f t="shared" si="2"/>
        <v>8</v>
      </c>
      <c r="B12" s="60" t="s">
        <v>503</v>
      </c>
      <c r="C12" s="231"/>
      <c r="D12" s="77"/>
      <c r="E12" s="76" t="s">
        <v>48</v>
      </c>
      <c r="F12" s="85" t="s">
        <v>504</v>
      </c>
      <c r="G12" s="59" t="s">
        <v>505</v>
      </c>
      <c r="H12" s="234"/>
      <c r="I12" s="157"/>
      <c r="J12" s="141" t="s">
        <v>506</v>
      </c>
      <c r="K12" s="147" t="s">
        <v>507</v>
      </c>
      <c r="L12" s="242" t="s">
        <v>504</v>
      </c>
      <c r="M12" s="141" t="s">
        <v>508</v>
      </c>
      <c r="N12" s="142"/>
      <c r="O12" s="126"/>
      <c r="P12" s="59" t="s">
        <v>409</v>
      </c>
      <c r="Q12" s="64"/>
      <c r="R12" s="216" t="s">
        <v>509</v>
      </c>
      <c r="S12" s="217" t="s">
        <v>510</v>
      </c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</row>
    <row r="13" ht="28.5" customHeight="1">
      <c r="A13" s="138">
        <f t="shared" si="2"/>
        <v>9</v>
      </c>
      <c r="B13" s="60" t="s">
        <v>511</v>
      </c>
      <c r="C13" s="231"/>
      <c r="D13" s="77"/>
      <c r="E13" s="76" t="s">
        <v>48</v>
      </c>
      <c r="F13" s="238" t="s">
        <v>83</v>
      </c>
      <c r="G13" s="97" t="s">
        <v>158</v>
      </c>
      <c r="H13" s="234"/>
      <c r="I13" s="157"/>
      <c r="J13" s="220" t="s">
        <v>28</v>
      </c>
      <c r="K13" s="243" t="s">
        <v>159</v>
      </c>
      <c r="L13" s="148" t="s">
        <v>83</v>
      </c>
      <c r="M13" s="141" t="s">
        <v>366</v>
      </c>
      <c r="N13" s="142">
        <v>1.0</v>
      </c>
      <c r="O13" s="126"/>
      <c r="P13" s="59"/>
      <c r="Q13" s="64"/>
      <c r="R13" s="117"/>
      <c r="S13" s="117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</row>
    <row r="14">
      <c r="A14" s="138">
        <f t="shared" si="2"/>
        <v>10</v>
      </c>
      <c r="B14" s="202" t="s">
        <v>512</v>
      </c>
      <c r="C14" s="140">
        <v>5.0</v>
      </c>
      <c r="D14" s="77"/>
      <c r="E14" s="60" t="s">
        <v>26</v>
      </c>
      <c r="F14" s="59" t="s">
        <v>413</v>
      </c>
      <c r="G14" s="59" t="s">
        <v>158</v>
      </c>
      <c r="H14" s="234"/>
      <c r="I14" s="157"/>
      <c r="J14" s="141" t="s">
        <v>26</v>
      </c>
      <c r="K14" s="158" t="s">
        <v>513</v>
      </c>
      <c r="L14" s="148" t="s">
        <v>83</v>
      </c>
      <c r="M14" s="141" t="s">
        <v>366</v>
      </c>
      <c r="N14" s="142">
        <v>1.0</v>
      </c>
      <c r="O14" s="142">
        <v>1.0</v>
      </c>
      <c r="P14" s="59"/>
      <c r="Q14" s="64"/>
      <c r="R14" s="216" t="s">
        <v>514</v>
      </c>
      <c r="S14" s="217" t="s">
        <v>515</v>
      </c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</row>
    <row r="15" ht="33.75" customHeight="1">
      <c r="A15" s="138">
        <f t="shared" si="2"/>
        <v>11</v>
      </c>
      <c r="B15" s="60" t="s">
        <v>70</v>
      </c>
      <c r="C15" s="231"/>
      <c r="D15" s="77"/>
      <c r="E15" s="76" t="s">
        <v>48</v>
      </c>
      <c r="F15" s="59" t="s">
        <v>203</v>
      </c>
      <c r="G15" s="59" t="s">
        <v>204</v>
      </c>
      <c r="H15" s="234"/>
      <c r="I15" s="157"/>
      <c r="J15" s="141" t="s">
        <v>205</v>
      </c>
      <c r="K15" s="158" t="s">
        <v>206</v>
      </c>
      <c r="L15" s="159" t="s">
        <v>203</v>
      </c>
      <c r="M15" s="141" t="s">
        <v>207</v>
      </c>
      <c r="N15" s="142">
        <v>1.0</v>
      </c>
      <c r="O15" s="126"/>
      <c r="P15" s="59"/>
      <c r="Q15" s="59"/>
      <c r="R15" s="117"/>
      <c r="S15" s="117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</row>
    <row r="16" ht="33.0" customHeight="1">
      <c r="A16" s="138">
        <f t="shared" si="2"/>
        <v>12</v>
      </c>
      <c r="B16" s="202" t="s">
        <v>516</v>
      </c>
      <c r="C16" s="140">
        <v>5.0</v>
      </c>
      <c r="D16" s="77"/>
      <c r="E16" s="60" t="s">
        <v>57</v>
      </c>
      <c r="F16" s="63" t="s">
        <v>517</v>
      </c>
      <c r="G16" s="59" t="s">
        <v>146</v>
      </c>
      <c r="H16" s="234"/>
      <c r="I16" s="157"/>
      <c r="J16" s="203" t="s">
        <v>518</v>
      </c>
      <c r="K16" s="200" t="s">
        <v>519</v>
      </c>
      <c r="L16" s="159" t="s">
        <v>517</v>
      </c>
      <c r="M16" s="244" t="s">
        <v>520</v>
      </c>
      <c r="N16" s="142">
        <v>1.0</v>
      </c>
      <c r="O16" s="142">
        <v>1.0</v>
      </c>
      <c r="P16" s="59"/>
      <c r="Q16" s="59"/>
      <c r="R16" s="216" t="s">
        <v>521</v>
      </c>
      <c r="S16" s="217" t="s">
        <v>522</v>
      </c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</row>
    <row r="17" ht="33.0" customHeight="1">
      <c r="A17" s="138">
        <f t="shared" si="2"/>
        <v>13</v>
      </c>
      <c r="B17" s="60" t="s">
        <v>523</v>
      </c>
      <c r="C17" s="231"/>
      <c r="D17" s="77"/>
      <c r="E17" s="60" t="s">
        <v>101</v>
      </c>
      <c r="F17" s="63" t="s">
        <v>493</v>
      </c>
      <c r="G17" s="59" t="s">
        <v>204</v>
      </c>
      <c r="H17" s="234"/>
      <c r="I17" s="157"/>
      <c r="J17" s="159" t="s">
        <v>494</v>
      </c>
      <c r="K17" s="200" t="s">
        <v>495</v>
      </c>
      <c r="L17" s="159" t="s">
        <v>493</v>
      </c>
      <c r="M17" s="159" t="s">
        <v>371</v>
      </c>
      <c r="N17" s="142">
        <v>1.0</v>
      </c>
      <c r="O17" s="126"/>
      <c r="P17" s="59"/>
      <c r="Q17" s="59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</row>
    <row r="18" ht="33.0" customHeight="1">
      <c r="A18" s="245">
        <f t="shared" si="2"/>
        <v>14</v>
      </c>
      <c r="B18" s="202" t="s">
        <v>71</v>
      </c>
      <c r="C18" s="140">
        <v>5.0</v>
      </c>
      <c r="D18" s="77"/>
      <c r="E18" s="60" t="s">
        <v>68</v>
      </c>
      <c r="F18" s="63" t="s">
        <v>524</v>
      </c>
      <c r="G18" s="59" t="s">
        <v>525</v>
      </c>
      <c r="H18" s="234"/>
      <c r="I18" s="157"/>
      <c r="J18" s="159" t="s">
        <v>526</v>
      </c>
      <c r="K18" s="200" t="s">
        <v>527</v>
      </c>
      <c r="L18" s="159" t="s">
        <v>528</v>
      </c>
      <c r="M18" s="159" t="s">
        <v>529</v>
      </c>
      <c r="N18" s="142">
        <v>1.0</v>
      </c>
      <c r="O18" s="142">
        <v>1.0</v>
      </c>
      <c r="P18" s="59"/>
      <c r="Q18" s="59"/>
      <c r="R18" s="216" t="s">
        <v>530</v>
      </c>
      <c r="S18" s="217" t="s">
        <v>531</v>
      </c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</row>
    <row r="19" ht="45.0" customHeight="1">
      <c r="A19" s="138">
        <f t="shared" si="2"/>
        <v>15</v>
      </c>
      <c r="B19" s="60" t="s">
        <v>532</v>
      </c>
      <c r="C19" s="154">
        <v>5.0</v>
      </c>
      <c r="D19" s="77"/>
      <c r="E19" s="76" t="s">
        <v>48</v>
      </c>
      <c r="F19" s="63" t="s">
        <v>533</v>
      </c>
      <c r="G19" s="59" t="s">
        <v>146</v>
      </c>
      <c r="H19" s="234"/>
      <c r="I19" s="157"/>
      <c r="J19" s="141" t="s">
        <v>534</v>
      </c>
      <c r="K19" s="246" t="s">
        <v>535</v>
      </c>
      <c r="L19" s="159" t="s">
        <v>533</v>
      </c>
      <c r="M19" s="141" t="s">
        <v>536</v>
      </c>
      <c r="N19" s="142">
        <v>1.0</v>
      </c>
      <c r="O19" s="142"/>
      <c r="P19" s="59" t="s">
        <v>167</v>
      </c>
      <c r="Q19" s="59"/>
      <c r="R19" s="117"/>
      <c r="S19" s="117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</row>
    <row r="20" ht="42.0" customHeight="1">
      <c r="A20" s="193">
        <f t="shared" si="2"/>
        <v>16</v>
      </c>
      <c r="B20" s="60" t="s">
        <v>72</v>
      </c>
      <c r="C20" s="231"/>
      <c r="D20" s="77"/>
      <c r="E20" s="76" t="s">
        <v>118</v>
      </c>
      <c r="F20" s="63" t="s">
        <v>537</v>
      </c>
      <c r="G20" s="247" t="s">
        <v>538</v>
      </c>
      <c r="H20" s="234"/>
      <c r="I20" s="157"/>
      <c r="J20" s="141" t="s">
        <v>539</v>
      </c>
      <c r="K20" s="246" t="s">
        <v>540</v>
      </c>
      <c r="L20" s="159" t="s">
        <v>537</v>
      </c>
      <c r="M20" s="141" t="s">
        <v>541</v>
      </c>
      <c r="N20" s="142"/>
      <c r="O20" s="126"/>
      <c r="P20" s="59" t="s">
        <v>542</v>
      </c>
      <c r="Q20" s="59"/>
      <c r="R20" s="117"/>
      <c r="S20" s="117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</row>
    <row r="21" ht="33.75" customHeight="1">
      <c r="A21" s="138">
        <f t="shared" si="2"/>
        <v>17</v>
      </c>
      <c r="B21" s="60" t="s">
        <v>73</v>
      </c>
      <c r="C21" s="231"/>
      <c r="D21" s="77"/>
      <c r="E21" s="60" t="s">
        <v>22</v>
      </c>
      <c r="F21" s="248" t="s">
        <v>306</v>
      </c>
      <c r="G21" s="144"/>
      <c r="H21" s="234"/>
      <c r="I21" s="157"/>
      <c r="J21" s="141" t="s">
        <v>543</v>
      </c>
      <c r="K21" s="246" t="s">
        <v>544</v>
      </c>
      <c r="L21" s="159" t="s">
        <v>306</v>
      </c>
      <c r="M21" s="141" t="s">
        <v>545</v>
      </c>
      <c r="N21" s="142"/>
      <c r="O21" s="126"/>
      <c r="P21" s="59" t="s">
        <v>542</v>
      </c>
      <c r="Q21" s="59"/>
      <c r="R21" s="216" t="s">
        <v>546</v>
      </c>
      <c r="S21" s="217" t="s">
        <v>547</v>
      </c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</row>
    <row r="22" ht="25.5" customHeight="1">
      <c r="A22" s="162">
        <v>46144.0</v>
      </c>
      <c r="B22" s="163" t="s">
        <v>126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64"/>
      <c r="O22" s="161"/>
      <c r="P22" s="118"/>
      <c r="Q22" s="118"/>
      <c r="R22" s="117"/>
      <c r="S22" s="117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64"/>
      <c r="O23" s="161"/>
      <c r="P23" s="118"/>
      <c r="Q23" s="118"/>
      <c r="R23" s="117"/>
      <c r="S23" s="117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80"/>
      <c r="L24" s="118"/>
      <c r="M24" s="118"/>
      <c r="N24" s="164"/>
      <c r="O24" s="161"/>
      <c r="P24" s="118"/>
      <c r="Q24" s="118"/>
      <c r="R24" s="117"/>
      <c r="S24" s="117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64"/>
      <c r="O25" s="161"/>
      <c r="P25" s="118"/>
      <c r="Q25" s="118"/>
      <c r="R25" s="117"/>
      <c r="S25" s="117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64"/>
      <c r="O26" s="161"/>
      <c r="P26" s="118"/>
      <c r="Q26" s="118"/>
      <c r="R26" s="117"/>
      <c r="S26" s="117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64"/>
      <c r="O27" s="161"/>
      <c r="P27" s="118"/>
      <c r="Q27" s="118"/>
      <c r="R27" s="117"/>
      <c r="S27" s="117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64"/>
      <c r="O28" s="161"/>
      <c r="P28" s="118"/>
      <c r="Q28" s="118"/>
      <c r="R28" s="117"/>
      <c r="S28" s="117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64"/>
      <c r="O29" s="161"/>
      <c r="P29" s="118"/>
      <c r="Q29" s="118"/>
      <c r="R29" s="117"/>
      <c r="S29" s="117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64"/>
      <c r="O30" s="161"/>
      <c r="P30" s="118"/>
      <c r="Q30" s="118"/>
      <c r="R30" s="117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64"/>
      <c r="O31" s="161"/>
      <c r="P31" s="118"/>
      <c r="Q31" s="118"/>
      <c r="R31" s="117"/>
      <c r="S31" s="117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64"/>
      <c r="O32" s="161"/>
      <c r="P32" s="118"/>
      <c r="Q32" s="118"/>
      <c r="R32" s="117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64"/>
      <c r="O33" s="161"/>
      <c r="P33" s="118"/>
      <c r="Q33" s="118"/>
      <c r="R33" s="117"/>
      <c r="S33" s="117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64"/>
      <c r="O34" s="161"/>
      <c r="P34" s="118"/>
      <c r="Q34" s="118"/>
      <c r="R34" s="117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64"/>
      <c r="O35" s="161"/>
      <c r="P35" s="118"/>
      <c r="Q35" s="118"/>
      <c r="R35" s="117"/>
      <c r="S35" s="117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64"/>
      <c r="O36" s="161"/>
      <c r="P36" s="118"/>
      <c r="Q36" s="118"/>
      <c r="R36" s="117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64"/>
      <c r="O37" s="161"/>
      <c r="P37" s="118"/>
      <c r="Q37" s="118"/>
      <c r="R37" s="117"/>
      <c r="S37" s="117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64"/>
      <c r="O38" s="161"/>
      <c r="P38" s="118"/>
      <c r="Q38" s="118"/>
      <c r="R38" s="117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64"/>
      <c r="O39" s="161"/>
      <c r="P39" s="118"/>
      <c r="Q39" s="118"/>
      <c r="R39" s="117"/>
      <c r="S39" s="117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64"/>
      <c r="O40" s="161"/>
      <c r="P40" s="118"/>
      <c r="Q40" s="118"/>
      <c r="R40" s="117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64"/>
      <c r="O41" s="161"/>
      <c r="P41" s="118"/>
      <c r="Q41" s="118"/>
      <c r="R41" s="117"/>
      <c r="S41" s="117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64"/>
      <c r="O42" s="161"/>
      <c r="P42" s="118"/>
      <c r="Q42" s="118"/>
      <c r="R42" s="117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64"/>
      <c r="O43" s="161"/>
      <c r="P43" s="118"/>
      <c r="Q43" s="118"/>
      <c r="R43" s="117"/>
      <c r="S43" s="117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64"/>
      <c r="O44" s="161"/>
      <c r="P44" s="118"/>
      <c r="Q44" s="118"/>
      <c r="R44" s="117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64"/>
      <c r="O45" s="161"/>
      <c r="P45" s="118"/>
      <c r="Q45" s="118"/>
      <c r="R45" s="117"/>
      <c r="S45" s="117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64"/>
      <c r="O46" s="161"/>
      <c r="P46" s="118"/>
      <c r="Q46" s="118"/>
      <c r="R46" s="117"/>
      <c r="S46" s="117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64"/>
      <c r="O47" s="161"/>
      <c r="P47" s="118"/>
      <c r="Q47" s="118"/>
      <c r="R47" s="117"/>
      <c r="S47" s="117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64"/>
      <c r="O48" s="161"/>
      <c r="P48" s="118"/>
      <c r="Q48" s="118"/>
      <c r="R48" s="117"/>
      <c r="S48" s="117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64"/>
      <c r="O49" s="161"/>
      <c r="P49" s="118"/>
      <c r="Q49" s="118"/>
      <c r="R49" s="117"/>
      <c r="S49" s="117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64"/>
      <c r="O50" s="161"/>
      <c r="P50" s="118"/>
      <c r="Q50" s="118"/>
      <c r="R50" s="117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64"/>
      <c r="O51" s="161"/>
      <c r="P51" s="118"/>
      <c r="Q51" s="118"/>
      <c r="R51" s="117"/>
      <c r="S51" s="117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64"/>
      <c r="O52" s="161"/>
      <c r="P52" s="118"/>
      <c r="Q52" s="118"/>
      <c r="R52" s="117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64"/>
      <c r="O53" s="161"/>
      <c r="P53" s="118"/>
      <c r="Q53" s="118"/>
      <c r="R53" s="117"/>
      <c r="S53" s="117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64"/>
      <c r="O54" s="161"/>
      <c r="P54" s="118"/>
      <c r="Q54" s="118"/>
      <c r="R54" s="117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64"/>
      <c r="O55" s="161"/>
      <c r="P55" s="118"/>
      <c r="Q55" s="118"/>
      <c r="R55" s="117"/>
      <c r="S55" s="117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64"/>
      <c r="O56" s="161"/>
      <c r="P56" s="118"/>
      <c r="Q56" s="118"/>
      <c r="R56" s="117"/>
      <c r="S56" s="117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64"/>
      <c r="O57" s="161"/>
      <c r="P57" s="118"/>
      <c r="Q57" s="118"/>
      <c r="R57" s="117"/>
      <c r="S57" s="117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64"/>
      <c r="O58" s="161"/>
      <c r="P58" s="118"/>
      <c r="Q58" s="118"/>
      <c r="R58" s="117"/>
      <c r="S58" s="117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64"/>
      <c r="O59" s="161"/>
      <c r="P59" s="118"/>
      <c r="Q59" s="118"/>
      <c r="R59" s="117"/>
      <c r="S59" s="117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64"/>
      <c r="O60" s="161"/>
      <c r="P60" s="118"/>
      <c r="Q60" s="118"/>
      <c r="R60" s="117"/>
      <c r="S60" s="117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64"/>
      <c r="O61" s="161"/>
      <c r="P61" s="118"/>
      <c r="Q61" s="118"/>
      <c r="R61" s="117"/>
      <c r="S61" s="117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64"/>
      <c r="O62" s="161"/>
      <c r="P62" s="118"/>
      <c r="Q62" s="118"/>
      <c r="R62" s="117"/>
      <c r="S62" s="117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64"/>
      <c r="O63" s="161"/>
      <c r="P63" s="118"/>
      <c r="Q63" s="118"/>
      <c r="R63" s="117"/>
      <c r="S63" s="117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64"/>
      <c r="O64" s="161"/>
      <c r="P64" s="118"/>
      <c r="Q64" s="118"/>
      <c r="R64" s="117"/>
      <c r="S64" s="117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64"/>
      <c r="O65" s="161"/>
      <c r="P65" s="118"/>
      <c r="Q65" s="118"/>
      <c r="R65" s="117"/>
      <c r="S65" s="117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64"/>
      <c r="O66" s="161"/>
      <c r="P66" s="118"/>
      <c r="Q66" s="118"/>
      <c r="R66" s="117"/>
      <c r="S66" s="117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64"/>
      <c r="O67" s="161"/>
      <c r="P67" s="118"/>
      <c r="Q67" s="118"/>
      <c r="R67" s="117"/>
      <c r="S67" s="117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64"/>
      <c r="O68" s="161"/>
      <c r="P68" s="118"/>
      <c r="Q68" s="118"/>
      <c r="R68" s="117"/>
      <c r="S68" s="117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64"/>
      <c r="O69" s="161"/>
      <c r="P69" s="118"/>
      <c r="Q69" s="118"/>
      <c r="R69" s="117"/>
      <c r="S69" s="117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64"/>
      <c r="O70" s="161"/>
      <c r="P70" s="118"/>
      <c r="Q70" s="118"/>
      <c r="R70" s="117"/>
      <c r="S70" s="117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64"/>
      <c r="O71" s="161"/>
      <c r="P71" s="118"/>
      <c r="Q71" s="118"/>
      <c r="R71" s="117"/>
      <c r="S71" s="117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64"/>
      <c r="O72" s="161"/>
      <c r="P72" s="118"/>
      <c r="Q72" s="118"/>
      <c r="R72" s="117"/>
      <c r="S72" s="117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64"/>
      <c r="O73" s="161"/>
      <c r="P73" s="118"/>
      <c r="Q73" s="118"/>
      <c r="R73" s="117"/>
      <c r="S73" s="117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64"/>
      <c r="O74" s="161"/>
      <c r="P74" s="118"/>
      <c r="Q74" s="118"/>
      <c r="R74" s="117"/>
      <c r="S74" s="117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64"/>
      <c r="O75" s="161"/>
      <c r="P75" s="118"/>
      <c r="Q75" s="118"/>
      <c r="R75" s="117"/>
      <c r="S75" s="117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64"/>
      <c r="O76" s="161"/>
      <c r="P76" s="118"/>
      <c r="Q76" s="118"/>
      <c r="R76" s="117"/>
      <c r="S76" s="117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64"/>
      <c r="O77" s="161"/>
      <c r="P77" s="118"/>
      <c r="Q77" s="118"/>
      <c r="R77" s="117"/>
      <c r="S77" s="117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64"/>
      <c r="O78" s="161"/>
      <c r="P78" s="118"/>
      <c r="Q78" s="118"/>
      <c r="R78" s="117"/>
      <c r="S78" s="117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64"/>
      <c r="O79" s="161"/>
      <c r="P79" s="118"/>
      <c r="Q79" s="118"/>
      <c r="R79" s="117"/>
      <c r="S79" s="117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64"/>
      <c r="O80" s="161"/>
      <c r="P80" s="118"/>
      <c r="Q80" s="118"/>
      <c r="R80" s="117"/>
      <c r="S80" s="117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64"/>
      <c r="O81" s="161"/>
      <c r="P81" s="118"/>
      <c r="Q81" s="118"/>
      <c r="R81" s="117"/>
      <c r="S81" s="117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64"/>
      <c r="O82" s="161"/>
      <c r="P82" s="118"/>
      <c r="Q82" s="118"/>
      <c r="R82" s="117"/>
      <c r="S82" s="117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64"/>
      <c r="O83" s="161"/>
      <c r="P83" s="118"/>
      <c r="Q83" s="118"/>
      <c r="R83" s="117"/>
      <c r="S83" s="117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64"/>
      <c r="O84" s="161"/>
      <c r="P84" s="118"/>
      <c r="Q84" s="118"/>
      <c r="R84" s="117"/>
      <c r="S84" s="117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64"/>
      <c r="O85" s="161"/>
      <c r="P85" s="118"/>
      <c r="Q85" s="118"/>
      <c r="R85" s="117"/>
      <c r="S85" s="117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64"/>
      <c r="O86" s="161"/>
      <c r="P86" s="118"/>
      <c r="Q86" s="118"/>
      <c r="R86" s="117"/>
      <c r="S86" s="117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64"/>
      <c r="O87" s="161"/>
      <c r="P87" s="118"/>
      <c r="Q87" s="118"/>
      <c r="R87" s="117"/>
      <c r="S87" s="117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64"/>
      <c r="O88" s="161"/>
      <c r="P88" s="118"/>
      <c r="Q88" s="118"/>
      <c r="R88" s="117"/>
      <c r="S88" s="117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64"/>
      <c r="O89" s="161"/>
      <c r="P89" s="118"/>
      <c r="Q89" s="118"/>
      <c r="R89" s="117"/>
      <c r="S89" s="117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64"/>
      <c r="O90" s="161"/>
      <c r="P90" s="118"/>
      <c r="Q90" s="118"/>
      <c r="R90" s="117"/>
      <c r="S90" s="117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64"/>
      <c r="O91" s="161"/>
      <c r="P91" s="118"/>
      <c r="Q91" s="118"/>
      <c r="R91" s="117"/>
      <c r="S91" s="117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64"/>
      <c r="O92" s="161"/>
      <c r="P92" s="118"/>
      <c r="Q92" s="118"/>
      <c r="R92" s="117"/>
      <c r="S92" s="117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64"/>
      <c r="O93" s="161"/>
      <c r="P93" s="118"/>
      <c r="Q93" s="118"/>
      <c r="R93" s="117"/>
      <c r="S93" s="117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64"/>
      <c r="O94" s="161"/>
      <c r="P94" s="118"/>
      <c r="Q94" s="118"/>
      <c r="R94" s="117"/>
      <c r="S94" s="117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64"/>
      <c r="O95" s="161"/>
      <c r="P95" s="118"/>
      <c r="Q95" s="118"/>
      <c r="R95" s="117"/>
      <c r="S95" s="117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64"/>
      <c r="O96" s="161"/>
      <c r="P96" s="118"/>
      <c r="Q96" s="118"/>
      <c r="R96" s="117"/>
      <c r="S96" s="117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64"/>
      <c r="O97" s="161"/>
      <c r="P97" s="118"/>
      <c r="Q97" s="118"/>
      <c r="R97" s="117"/>
      <c r="S97" s="117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64"/>
      <c r="O98" s="161"/>
      <c r="P98" s="118"/>
      <c r="Q98" s="118"/>
      <c r="R98" s="117"/>
      <c r="S98" s="117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64"/>
      <c r="O99" s="161"/>
      <c r="P99" s="118"/>
      <c r="Q99" s="118"/>
      <c r="R99" s="117"/>
      <c r="S99" s="117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64"/>
      <c r="O100" s="161"/>
      <c r="P100" s="118"/>
      <c r="Q100" s="118"/>
      <c r="R100" s="117"/>
      <c r="S100" s="117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64"/>
      <c r="O101" s="161"/>
      <c r="P101" s="118"/>
      <c r="Q101" s="118"/>
      <c r="R101" s="117"/>
      <c r="S101" s="117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64"/>
      <c r="O102" s="161"/>
      <c r="P102" s="118"/>
      <c r="Q102" s="118"/>
      <c r="R102" s="117"/>
      <c r="S102" s="117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64"/>
      <c r="O103" s="161"/>
      <c r="P103" s="118"/>
      <c r="Q103" s="118"/>
      <c r="R103" s="117"/>
      <c r="S103" s="117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64"/>
      <c r="O104" s="161"/>
      <c r="P104" s="118"/>
      <c r="Q104" s="118"/>
      <c r="R104" s="117"/>
      <c r="S104" s="117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64"/>
      <c r="O105" s="161"/>
      <c r="P105" s="118"/>
      <c r="Q105" s="118"/>
      <c r="R105" s="117"/>
      <c r="S105" s="117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64"/>
      <c r="O106" s="161"/>
      <c r="P106" s="118"/>
      <c r="Q106" s="118"/>
      <c r="R106" s="117"/>
      <c r="S106" s="117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64"/>
      <c r="O107" s="161"/>
      <c r="P107" s="118"/>
      <c r="Q107" s="118"/>
      <c r="R107" s="117"/>
      <c r="S107" s="117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64"/>
      <c r="O108" s="161"/>
      <c r="P108" s="118"/>
      <c r="Q108" s="118"/>
      <c r="R108" s="117"/>
      <c r="S108" s="117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64"/>
      <c r="O109" s="161"/>
      <c r="P109" s="118"/>
      <c r="Q109" s="118"/>
      <c r="R109" s="117"/>
      <c r="S109" s="117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64"/>
      <c r="O110" s="161"/>
      <c r="P110" s="118"/>
      <c r="Q110" s="118"/>
      <c r="R110" s="117"/>
      <c r="S110" s="117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64"/>
      <c r="O111" s="161"/>
      <c r="P111" s="118"/>
      <c r="Q111" s="118"/>
      <c r="R111" s="117"/>
      <c r="S111" s="117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64"/>
      <c r="O112" s="161"/>
      <c r="P112" s="118"/>
      <c r="Q112" s="118"/>
      <c r="R112" s="117"/>
      <c r="S112" s="117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64"/>
      <c r="O113" s="161"/>
      <c r="P113" s="118"/>
      <c r="Q113" s="118"/>
      <c r="R113" s="117"/>
      <c r="S113" s="117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64"/>
      <c r="O114" s="161"/>
      <c r="P114" s="118"/>
      <c r="Q114" s="118"/>
      <c r="R114" s="117"/>
      <c r="S114" s="117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64"/>
      <c r="O115" s="161"/>
      <c r="P115" s="118"/>
      <c r="Q115" s="118"/>
      <c r="R115" s="117"/>
      <c r="S115" s="117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64"/>
      <c r="O116" s="161"/>
      <c r="P116" s="118"/>
      <c r="Q116" s="118"/>
      <c r="R116" s="117"/>
      <c r="S116" s="117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64"/>
      <c r="O117" s="161"/>
      <c r="P117" s="118"/>
      <c r="Q117" s="118"/>
      <c r="R117" s="117"/>
      <c r="S117" s="117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64"/>
      <c r="O118" s="161"/>
      <c r="P118" s="118"/>
      <c r="Q118" s="118"/>
      <c r="R118" s="117"/>
      <c r="S118" s="117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64"/>
      <c r="O119" s="161"/>
      <c r="P119" s="118"/>
      <c r="Q119" s="118"/>
      <c r="R119" s="117"/>
      <c r="S119" s="117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64"/>
      <c r="O120" s="161"/>
      <c r="P120" s="118"/>
      <c r="Q120" s="118"/>
      <c r="R120" s="117"/>
      <c r="S120" s="117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64"/>
      <c r="O121" s="161"/>
      <c r="P121" s="118"/>
      <c r="Q121" s="118"/>
      <c r="R121" s="117"/>
      <c r="S121" s="117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64"/>
      <c r="O122" s="161"/>
      <c r="P122" s="118"/>
      <c r="Q122" s="118"/>
      <c r="R122" s="117"/>
      <c r="S122" s="117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64"/>
      <c r="O123" s="161"/>
      <c r="P123" s="118"/>
      <c r="Q123" s="118"/>
      <c r="R123" s="117"/>
      <c r="S123" s="117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64"/>
      <c r="O124" s="161"/>
      <c r="P124" s="118"/>
      <c r="Q124" s="118"/>
      <c r="R124" s="117"/>
      <c r="S124" s="117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64"/>
      <c r="O125" s="161"/>
      <c r="P125" s="118"/>
      <c r="Q125" s="118"/>
      <c r="R125" s="117"/>
      <c r="S125" s="117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64"/>
      <c r="O126" s="161"/>
      <c r="P126" s="118"/>
      <c r="Q126" s="118"/>
      <c r="R126" s="117"/>
      <c r="S126" s="117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64"/>
      <c r="O127" s="161"/>
      <c r="P127" s="118"/>
      <c r="Q127" s="118"/>
      <c r="R127" s="117"/>
      <c r="S127" s="117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64"/>
      <c r="O128" s="161"/>
      <c r="P128" s="118"/>
      <c r="Q128" s="118"/>
      <c r="R128" s="117"/>
      <c r="S128" s="117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64"/>
      <c r="O129" s="161"/>
      <c r="P129" s="118"/>
      <c r="Q129" s="118"/>
      <c r="R129" s="117"/>
      <c r="S129" s="117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64"/>
      <c r="O130" s="161"/>
      <c r="P130" s="118"/>
      <c r="Q130" s="118"/>
      <c r="R130" s="117"/>
      <c r="S130" s="117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64"/>
      <c r="O131" s="161"/>
      <c r="P131" s="118"/>
      <c r="Q131" s="118"/>
      <c r="R131" s="117"/>
      <c r="S131" s="117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64"/>
      <c r="O132" s="161"/>
      <c r="P132" s="118"/>
      <c r="Q132" s="118"/>
      <c r="R132" s="117"/>
      <c r="S132" s="117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64"/>
      <c r="O133" s="161"/>
      <c r="P133" s="118"/>
      <c r="Q133" s="118"/>
      <c r="R133" s="117"/>
      <c r="S133" s="117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64"/>
      <c r="O134" s="161"/>
      <c r="P134" s="118"/>
      <c r="Q134" s="118"/>
      <c r="R134" s="117"/>
      <c r="S134" s="117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64"/>
      <c r="O135" s="161"/>
      <c r="P135" s="118"/>
      <c r="Q135" s="118"/>
      <c r="R135" s="117"/>
      <c r="S135" s="117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64"/>
      <c r="O136" s="161"/>
      <c r="P136" s="118"/>
      <c r="Q136" s="118"/>
      <c r="R136" s="117"/>
      <c r="S136" s="117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64"/>
      <c r="O137" s="161"/>
      <c r="P137" s="118"/>
      <c r="Q137" s="118"/>
      <c r="R137" s="117"/>
      <c r="S137" s="117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64"/>
      <c r="O138" s="161"/>
      <c r="P138" s="118"/>
      <c r="Q138" s="118"/>
      <c r="R138" s="117"/>
      <c r="S138" s="117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64"/>
      <c r="O139" s="161"/>
      <c r="P139" s="118"/>
      <c r="Q139" s="118"/>
      <c r="R139" s="117"/>
      <c r="S139" s="117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64"/>
      <c r="O140" s="161"/>
      <c r="P140" s="118"/>
      <c r="Q140" s="118"/>
      <c r="R140" s="117"/>
      <c r="S140" s="117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64"/>
      <c r="O141" s="161"/>
      <c r="P141" s="118"/>
      <c r="Q141" s="118"/>
      <c r="R141" s="117"/>
      <c r="S141" s="117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64"/>
      <c r="O142" s="161"/>
      <c r="P142" s="118"/>
      <c r="Q142" s="118"/>
      <c r="R142" s="117"/>
      <c r="S142" s="117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64"/>
      <c r="O143" s="161"/>
      <c r="P143" s="118"/>
      <c r="Q143" s="118"/>
      <c r="R143" s="117"/>
      <c r="S143" s="117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64"/>
      <c r="O144" s="161"/>
      <c r="P144" s="118"/>
      <c r="Q144" s="118"/>
      <c r="R144" s="117"/>
      <c r="S144" s="117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64"/>
      <c r="O145" s="161"/>
      <c r="P145" s="118"/>
      <c r="Q145" s="118"/>
      <c r="R145" s="117"/>
      <c r="S145" s="117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64"/>
      <c r="O146" s="161"/>
      <c r="P146" s="118"/>
      <c r="Q146" s="118"/>
      <c r="R146" s="117"/>
      <c r="S146" s="117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64"/>
      <c r="O147" s="161"/>
      <c r="P147" s="118"/>
      <c r="Q147" s="118"/>
      <c r="R147" s="117"/>
      <c r="S147" s="117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64"/>
      <c r="O148" s="161"/>
      <c r="P148" s="118"/>
      <c r="Q148" s="118"/>
      <c r="R148" s="117"/>
      <c r="S148" s="117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64"/>
      <c r="O149" s="161"/>
      <c r="P149" s="118"/>
      <c r="Q149" s="118"/>
      <c r="R149" s="117"/>
      <c r="S149" s="117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64"/>
      <c r="O150" s="161"/>
      <c r="P150" s="118"/>
      <c r="Q150" s="118"/>
      <c r="R150" s="117"/>
      <c r="S150" s="117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64"/>
      <c r="O151" s="161"/>
      <c r="P151" s="118"/>
      <c r="Q151" s="118"/>
      <c r="R151" s="117"/>
      <c r="S151" s="117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64"/>
      <c r="O152" s="161"/>
      <c r="P152" s="118"/>
      <c r="Q152" s="118"/>
      <c r="R152" s="117"/>
      <c r="S152" s="117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64"/>
      <c r="O153" s="161"/>
      <c r="P153" s="118"/>
      <c r="Q153" s="118"/>
      <c r="R153" s="117"/>
      <c r="S153" s="117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64"/>
      <c r="O154" s="161"/>
      <c r="P154" s="118"/>
      <c r="Q154" s="118"/>
      <c r="R154" s="117"/>
      <c r="S154" s="117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64"/>
      <c r="O155" s="161"/>
      <c r="P155" s="118"/>
      <c r="Q155" s="118"/>
      <c r="R155" s="117"/>
      <c r="S155" s="117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64"/>
      <c r="O156" s="161"/>
      <c r="P156" s="118"/>
      <c r="Q156" s="118"/>
      <c r="R156" s="117"/>
      <c r="S156" s="117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64"/>
      <c r="O157" s="161"/>
      <c r="P157" s="118"/>
      <c r="Q157" s="118"/>
      <c r="R157" s="117"/>
      <c r="S157" s="117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64"/>
      <c r="O158" s="161"/>
      <c r="P158" s="118"/>
      <c r="Q158" s="118"/>
      <c r="R158" s="117"/>
      <c r="S158" s="117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64"/>
      <c r="O159" s="161"/>
      <c r="P159" s="118"/>
      <c r="Q159" s="118"/>
      <c r="R159" s="117"/>
      <c r="S159" s="117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64"/>
      <c r="O160" s="161"/>
      <c r="P160" s="118"/>
      <c r="Q160" s="118"/>
      <c r="R160" s="117"/>
      <c r="S160" s="117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64"/>
      <c r="O161" s="161"/>
      <c r="P161" s="118"/>
      <c r="Q161" s="118"/>
      <c r="R161" s="117"/>
      <c r="S161" s="117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64"/>
      <c r="O162" s="161"/>
      <c r="P162" s="118"/>
      <c r="Q162" s="118"/>
      <c r="R162" s="117"/>
      <c r="S162" s="117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64"/>
      <c r="O163" s="161"/>
      <c r="P163" s="118"/>
      <c r="Q163" s="118"/>
      <c r="R163" s="117"/>
      <c r="S163" s="117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64"/>
      <c r="O164" s="161"/>
      <c r="P164" s="118"/>
      <c r="Q164" s="118"/>
      <c r="R164" s="117"/>
      <c r="S164" s="117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64"/>
      <c r="O165" s="161"/>
      <c r="P165" s="118"/>
      <c r="Q165" s="118"/>
      <c r="R165" s="117"/>
      <c r="S165" s="117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64"/>
      <c r="O166" s="161"/>
      <c r="P166" s="118"/>
      <c r="Q166" s="118"/>
      <c r="R166" s="117"/>
      <c r="S166" s="117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64"/>
      <c r="O167" s="161"/>
      <c r="P167" s="118"/>
      <c r="Q167" s="118"/>
      <c r="R167" s="117"/>
      <c r="S167" s="117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64"/>
      <c r="O168" s="161"/>
      <c r="P168" s="118"/>
      <c r="Q168" s="118"/>
      <c r="R168" s="117"/>
      <c r="S168" s="117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64"/>
      <c r="O169" s="161"/>
      <c r="P169" s="118"/>
      <c r="Q169" s="118"/>
      <c r="R169" s="117"/>
      <c r="S169" s="117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64"/>
      <c r="O170" s="161"/>
      <c r="P170" s="118"/>
      <c r="Q170" s="118"/>
      <c r="R170" s="117"/>
      <c r="S170" s="117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64"/>
      <c r="O171" s="161"/>
      <c r="P171" s="118"/>
      <c r="Q171" s="118"/>
      <c r="R171" s="117"/>
      <c r="S171" s="117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64"/>
      <c r="O172" s="161"/>
      <c r="P172" s="118"/>
      <c r="Q172" s="118"/>
      <c r="R172" s="117"/>
      <c r="S172" s="117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64"/>
      <c r="O173" s="161"/>
      <c r="P173" s="118"/>
      <c r="Q173" s="118"/>
      <c r="R173" s="117"/>
      <c r="S173" s="117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64"/>
      <c r="O174" s="161"/>
      <c r="P174" s="118"/>
      <c r="Q174" s="118"/>
      <c r="R174" s="117"/>
      <c r="S174" s="117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64"/>
      <c r="O175" s="161"/>
      <c r="P175" s="118"/>
      <c r="Q175" s="118"/>
      <c r="R175" s="117"/>
      <c r="S175" s="117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64"/>
      <c r="O176" s="161"/>
      <c r="P176" s="118"/>
      <c r="Q176" s="118"/>
      <c r="R176" s="117"/>
      <c r="S176" s="117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64"/>
      <c r="O177" s="161"/>
      <c r="P177" s="118"/>
      <c r="Q177" s="118"/>
      <c r="R177" s="117"/>
      <c r="S177" s="117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64"/>
      <c r="O178" s="161"/>
      <c r="P178" s="118"/>
      <c r="Q178" s="118"/>
      <c r="R178" s="117"/>
      <c r="S178" s="117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64"/>
      <c r="O179" s="161"/>
      <c r="P179" s="118"/>
      <c r="Q179" s="118"/>
      <c r="R179" s="117"/>
      <c r="S179" s="117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64"/>
      <c r="O180" s="161"/>
      <c r="P180" s="118"/>
      <c r="Q180" s="118"/>
      <c r="R180" s="117"/>
      <c r="S180" s="117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64"/>
      <c r="O181" s="161"/>
      <c r="P181" s="118"/>
      <c r="Q181" s="118"/>
      <c r="R181" s="117"/>
      <c r="S181" s="117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64"/>
      <c r="O182" s="161"/>
      <c r="P182" s="118"/>
      <c r="Q182" s="118"/>
      <c r="R182" s="117"/>
      <c r="S182" s="117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64"/>
      <c r="O183" s="161"/>
      <c r="P183" s="118"/>
      <c r="Q183" s="118"/>
      <c r="R183" s="117"/>
      <c r="S183" s="117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64"/>
      <c r="O184" s="161"/>
      <c r="P184" s="118"/>
      <c r="Q184" s="118"/>
      <c r="R184" s="117"/>
      <c r="S184" s="117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64"/>
      <c r="O185" s="161"/>
      <c r="P185" s="118"/>
      <c r="Q185" s="118"/>
      <c r="R185" s="117"/>
      <c r="S185" s="117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64"/>
      <c r="O186" s="161"/>
      <c r="P186" s="118"/>
      <c r="Q186" s="118"/>
      <c r="R186" s="117"/>
      <c r="S186" s="117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64"/>
      <c r="O187" s="161"/>
      <c r="P187" s="118"/>
      <c r="Q187" s="118"/>
      <c r="R187" s="117"/>
      <c r="S187" s="117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64"/>
      <c r="O188" s="161"/>
      <c r="P188" s="118"/>
      <c r="Q188" s="118"/>
      <c r="R188" s="117"/>
      <c r="S188" s="117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64"/>
      <c r="O189" s="161"/>
      <c r="P189" s="118"/>
      <c r="Q189" s="118"/>
      <c r="R189" s="117"/>
      <c r="S189" s="117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64"/>
      <c r="O190" s="161"/>
      <c r="P190" s="118"/>
      <c r="Q190" s="118"/>
      <c r="R190" s="117"/>
      <c r="S190" s="117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64"/>
      <c r="O191" s="161"/>
      <c r="P191" s="118"/>
      <c r="Q191" s="118"/>
      <c r="R191" s="117"/>
      <c r="S191" s="117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64"/>
      <c r="O192" s="161"/>
      <c r="P192" s="118"/>
      <c r="Q192" s="118"/>
      <c r="R192" s="117"/>
      <c r="S192" s="117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64"/>
      <c r="O193" s="161"/>
      <c r="P193" s="118"/>
      <c r="Q193" s="118"/>
      <c r="R193" s="117"/>
      <c r="S193" s="117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64"/>
      <c r="O194" s="161"/>
      <c r="P194" s="118"/>
      <c r="Q194" s="118"/>
      <c r="R194" s="117"/>
      <c r="S194" s="117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64"/>
      <c r="O195" s="161"/>
      <c r="P195" s="118"/>
      <c r="Q195" s="118"/>
      <c r="R195" s="117"/>
      <c r="S195" s="117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64"/>
      <c r="O196" s="161"/>
      <c r="P196" s="118"/>
      <c r="Q196" s="118"/>
      <c r="R196" s="117"/>
      <c r="S196" s="117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64"/>
      <c r="O197" s="161"/>
      <c r="P197" s="118"/>
      <c r="Q197" s="118"/>
      <c r="R197" s="117"/>
      <c r="S197" s="117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64"/>
      <c r="O198" s="161"/>
      <c r="P198" s="118"/>
      <c r="Q198" s="118"/>
      <c r="R198" s="117"/>
      <c r="S198" s="117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64"/>
      <c r="O199" s="161"/>
      <c r="P199" s="118"/>
      <c r="Q199" s="118"/>
      <c r="R199" s="117"/>
      <c r="S199" s="117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64"/>
      <c r="O200" s="161"/>
      <c r="P200" s="118"/>
      <c r="Q200" s="118"/>
      <c r="R200" s="117"/>
      <c r="S200" s="117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64"/>
      <c r="O201" s="161"/>
      <c r="P201" s="118"/>
      <c r="Q201" s="118"/>
      <c r="R201" s="117"/>
      <c r="S201" s="117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64"/>
      <c r="O202" s="161"/>
      <c r="P202" s="118"/>
      <c r="Q202" s="118"/>
      <c r="R202" s="117"/>
      <c r="S202" s="117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64"/>
      <c r="O203" s="161"/>
      <c r="P203" s="118"/>
      <c r="Q203" s="118"/>
      <c r="R203" s="117"/>
      <c r="S203" s="117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64"/>
      <c r="O204" s="161"/>
      <c r="P204" s="118"/>
      <c r="Q204" s="118"/>
      <c r="R204" s="117"/>
      <c r="S204" s="117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64"/>
      <c r="O205" s="161"/>
      <c r="P205" s="118"/>
      <c r="Q205" s="118"/>
      <c r="R205" s="117"/>
      <c r="S205" s="117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64"/>
      <c r="O206" s="161"/>
      <c r="P206" s="118"/>
      <c r="Q206" s="118"/>
      <c r="R206" s="117"/>
      <c r="S206" s="117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64"/>
      <c r="O207" s="161"/>
      <c r="P207" s="118"/>
      <c r="Q207" s="118"/>
      <c r="R207" s="117"/>
      <c r="S207" s="117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64"/>
      <c r="O208" s="161"/>
      <c r="P208" s="118"/>
      <c r="Q208" s="118"/>
      <c r="R208" s="117"/>
      <c r="S208" s="117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64"/>
      <c r="O209" s="161"/>
      <c r="P209" s="118"/>
      <c r="Q209" s="118"/>
      <c r="R209" s="117"/>
      <c r="S209" s="117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64"/>
      <c r="O210" s="161"/>
      <c r="P210" s="118"/>
      <c r="Q210" s="118"/>
      <c r="R210" s="117"/>
      <c r="S210" s="117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64"/>
      <c r="O211" s="161"/>
      <c r="P211" s="118"/>
      <c r="Q211" s="118"/>
      <c r="R211" s="117"/>
      <c r="S211" s="117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64"/>
      <c r="O212" s="161"/>
      <c r="P212" s="118"/>
      <c r="Q212" s="118"/>
      <c r="R212" s="117"/>
      <c r="S212" s="117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64"/>
      <c r="O213" s="161"/>
      <c r="P213" s="118"/>
      <c r="Q213" s="118"/>
      <c r="R213" s="117"/>
      <c r="S213" s="117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64"/>
      <c r="O214" s="161"/>
      <c r="P214" s="118"/>
      <c r="Q214" s="118"/>
      <c r="R214" s="117"/>
      <c r="S214" s="117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64"/>
      <c r="O215" s="161"/>
      <c r="P215" s="118"/>
      <c r="Q215" s="118"/>
      <c r="R215" s="117"/>
      <c r="S215" s="117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64"/>
      <c r="O216" s="161"/>
      <c r="P216" s="118"/>
      <c r="Q216" s="118"/>
      <c r="R216" s="117"/>
      <c r="S216" s="117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64"/>
      <c r="O217" s="161"/>
      <c r="P217" s="118"/>
      <c r="Q217" s="118"/>
      <c r="R217" s="117"/>
      <c r="S217" s="117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64"/>
      <c r="O218" s="161"/>
      <c r="P218" s="118"/>
      <c r="Q218" s="118"/>
      <c r="R218" s="117"/>
      <c r="S218" s="117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64"/>
      <c r="O219" s="161"/>
      <c r="P219" s="118"/>
      <c r="Q219" s="118"/>
      <c r="R219" s="117"/>
      <c r="S219" s="117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64"/>
      <c r="O220" s="161"/>
      <c r="P220" s="118"/>
      <c r="Q220" s="118"/>
      <c r="R220" s="117"/>
      <c r="S220" s="117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64"/>
      <c r="O221" s="161"/>
      <c r="P221" s="118"/>
      <c r="Q221" s="118"/>
      <c r="R221" s="117"/>
      <c r="S221" s="117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64"/>
      <c r="O222" s="161"/>
      <c r="P222" s="118"/>
      <c r="Q222" s="118"/>
      <c r="R222" s="117"/>
      <c r="S222" s="117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64"/>
      <c r="O223" s="161"/>
      <c r="P223" s="118"/>
      <c r="Q223" s="118"/>
      <c r="R223" s="117"/>
      <c r="S223" s="117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64"/>
      <c r="O224" s="161"/>
      <c r="P224" s="118"/>
      <c r="Q224" s="118"/>
      <c r="R224" s="117"/>
      <c r="S224" s="117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64"/>
      <c r="O225" s="161"/>
      <c r="P225" s="118"/>
      <c r="Q225" s="118"/>
      <c r="R225" s="117"/>
      <c r="S225" s="117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64"/>
      <c r="O226" s="161"/>
      <c r="P226" s="118"/>
      <c r="Q226" s="118"/>
      <c r="R226" s="117"/>
      <c r="S226" s="117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64"/>
      <c r="O227" s="161"/>
      <c r="P227" s="118"/>
      <c r="Q227" s="118"/>
      <c r="R227" s="117"/>
      <c r="S227" s="117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64"/>
      <c r="O228" s="161"/>
      <c r="P228" s="118"/>
      <c r="Q228" s="118"/>
      <c r="R228" s="117"/>
      <c r="S228" s="117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64"/>
      <c r="O229" s="161"/>
      <c r="P229" s="118"/>
      <c r="Q229" s="118"/>
      <c r="R229" s="117"/>
      <c r="S229" s="117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64"/>
      <c r="O230" s="161"/>
      <c r="P230" s="118"/>
      <c r="Q230" s="118"/>
      <c r="R230" s="117"/>
      <c r="S230" s="117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64"/>
      <c r="O231" s="161"/>
      <c r="P231" s="118"/>
      <c r="Q231" s="118"/>
      <c r="R231" s="117"/>
      <c r="S231" s="117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64"/>
      <c r="O232" s="161"/>
      <c r="P232" s="118"/>
      <c r="Q232" s="118"/>
      <c r="R232" s="117"/>
      <c r="S232" s="117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64"/>
      <c r="O233" s="161"/>
      <c r="P233" s="118"/>
      <c r="Q233" s="118"/>
      <c r="R233" s="117"/>
      <c r="S233" s="117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64"/>
      <c r="O234" s="161"/>
      <c r="P234" s="118"/>
      <c r="Q234" s="118"/>
      <c r="R234" s="117"/>
      <c r="S234" s="117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64"/>
      <c r="O235" s="161"/>
      <c r="P235" s="118"/>
      <c r="Q235" s="118"/>
      <c r="R235" s="117"/>
      <c r="S235" s="117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64"/>
      <c r="O236" s="161"/>
      <c r="P236" s="118"/>
      <c r="Q236" s="118"/>
      <c r="R236" s="117"/>
      <c r="S236" s="117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64"/>
      <c r="O237" s="161"/>
      <c r="P237" s="118"/>
      <c r="Q237" s="118"/>
      <c r="R237" s="117"/>
      <c r="S237" s="117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64"/>
      <c r="O238" s="161"/>
      <c r="P238" s="118"/>
      <c r="Q238" s="118"/>
      <c r="R238" s="117"/>
      <c r="S238" s="117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64"/>
      <c r="O239" s="161"/>
      <c r="P239" s="118"/>
      <c r="Q239" s="118"/>
      <c r="R239" s="117"/>
      <c r="S239" s="117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64"/>
      <c r="O240" s="161"/>
      <c r="P240" s="118"/>
      <c r="Q240" s="118"/>
      <c r="R240" s="117"/>
      <c r="S240" s="117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64"/>
      <c r="O241" s="161"/>
      <c r="P241" s="118"/>
      <c r="Q241" s="118"/>
      <c r="R241" s="117"/>
      <c r="S241" s="117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64"/>
      <c r="O242" s="161"/>
      <c r="P242" s="118"/>
      <c r="Q242" s="118"/>
      <c r="R242" s="117"/>
      <c r="S242" s="117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64"/>
      <c r="O243" s="161"/>
      <c r="P243" s="118"/>
      <c r="Q243" s="118"/>
      <c r="R243" s="117"/>
      <c r="S243" s="117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64"/>
      <c r="O244" s="161"/>
      <c r="P244" s="118"/>
      <c r="Q244" s="118"/>
      <c r="R244" s="117"/>
      <c r="S244" s="117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64"/>
      <c r="O245" s="161"/>
      <c r="P245" s="118"/>
      <c r="Q245" s="118"/>
      <c r="R245" s="117"/>
      <c r="S245" s="117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/>
      <c r="AR245" s="118"/>
      <c r="AS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64"/>
      <c r="O246" s="161"/>
      <c r="P246" s="118"/>
      <c r="Q246" s="118"/>
      <c r="R246" s="117"/>
      <c r="S246" s="117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64"/>
      <c r="O247" s="161"/>
      <c r="P247" s="118"/>
      <c r="Q247" s="118"/>
      <c r="R247" s="117"/>
      <c r="S247" s="117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64"/>
      <c r="O248" s="161"/>
      <c r="P248" s="118"/>
      <c r="Q248" s="118"/>
      <c r="R248" s="117"/>
      <c r="S248" s="117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64"/>
      <c r="O249" s="161"/>
      <c r="P249" s="118"/>
      <c r="Q249" s="118"/>
      <c r="R249" s="117"/>
      <c r="S249" s="117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AQ249" s="118"/>
      <c r="AR249" s="118"/>
      <c r="AS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64"/>
      <c r="O250" s="161"/>
      <c r="P250" s="118"/>
      <c r="Q250" s="118"/>
      <c r="R250" s="117"/>
      <c r="S250" s="117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64"/>
      <c r="O251" s="161"/>
      <c r="P251" s="118"/>
      <c r="Q251" s="118"/>
      <c r="R251" s="117"/>
      <c r="S251" s="117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/>
      <c r="AS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64"/>
      <c r="O252" s="161"/>
      <c r="P252" s="118"/>
      <c r="Q252" s="118"/>
      <c r="R252" s="117"/>
      <c r="S252" s="117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AQ252" s="118"/>
      <c r="AR252" s="118"/>
      <c r="AS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64"/>
      <c r="O253" s="161"/>
      <c r="P253" s="118"/>
      <c r="Q253" s="118"/>
      <c r="R253" s="117"/>
      <c r="S253" s="117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64"/>
      <c r="O254" s="161"/>
      <c r="P254" s="118"/>
      <c r="Q254" s="118"/>
      <c r="R254" s="117"/>
      <c r="S254" s="117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64"/>
      <c r="O255" s="161"/>
      <c r="P255" s="118"/>
      <c r="Q255" s="118"/>
      <c r="R255" s="117"/>
      <c r="S255" s="117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64"/>
      <c r="O256" s="161"/>
      <c r="P256" s="118"/>
      <c r="Q256" s="118"/>
      <c r="R256" s="117"/>
      <c r="S256" s="117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64"/>
      <c r="O257" s="161"/>
      <c r="P257" s="118"/>
      <c r="Q257" s="118"/>
      <c r="R257" s="117"/>
      <c r="S257" s="117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64"/>
      <c r="O258" s="161"/>
      <c r="P258" s="118"/>
      <c r="Q258" s="118"/>
      <c r="R258" s="117"/>
      <c r="S258" s="117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64"/>
      <c r="O259" s="161"/>
      <c r="P259" s="118"/>
      <c r="Q259" s="118"/>
      <c r="R259" s="117"/>
      <c r="S259" s="117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/>
      <c r="AR259" s="118"/>
      <c r="AS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64"/>
      <c r="O260" s="161"/>
      <c r="P260" s="118"/>
      <c r="Q260" s="118"/>
      <c r="R260" s="117"/>
      <c r="S260" s="117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64"/>
      <c r="O261" s="161"/>
      <c r="P261" s="118"/>
      <c r="Q261" s="118"/>
      <c r="R261" s="117"/>
      <c r="S261" s="117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AQ261" s="118"/>
      <c r="AR261" s="118"/>
      <c r="AS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64"/>
      <c r="O262" s="161"/>
      <c r="P262" s="118"/>
      <c r="Q262" s="118"/>
      <c r="R262" s="117"/>
      <c r="S262" s="117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118"/>
      <c r="AQ262" s="118"/>
      <c r="AR262" s="118"/>
      <c r="AS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64"/>
      <c r="O263" s="161"/>
      <c r="P263" s="118"/>
      <c r="Q263" s="118"/>
      <c r="R263" s="117"/>
      <c r="S263" s="117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  <c r="AL263" s="118"/>
      <c r="AM263" s="118"/>
      <c r="AN263" s="118"/>
      <c r="AO263" s="118"/>
      <c r="AP263" s="118"/>
      <c r="AQ263" s="118"/>
      <c r="AR263" s="118"/>
      <c r="AS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64"/>
      <c r="O264" s="161"/>
      <c r="P264" s="118"/>
      <c r="Q264" s="118"/>
      <c r="R264" s="117"/>
      <c r="S264" s="117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AQ264" s="118"/>
      <c r="AR264" s="118"/>
      <c r="AS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64"/>
      <c r="O265" s="161"/>
      <c r="P265" s="118"/>
      <c r="Q265" s="118"/>
      <c r="R265" s="117"/>
      <c r="S265" s="117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AQ265" s="118"/>
      <c r="AR265" s="118"/>
      <c r="AS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64"/>
      <c r="O266" s="161"/>
      <c r="P266" s="118"/>
      <c r="Q266" s="118"/>
      <c r="R266" s="117"/>
      <c r="S266" s="117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AQ266" s="118"/>
      <c r="AR266" s="118"/>
      <c r="AS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64"/>
      <c r="O267" s="161"/>
      <c r="P267" s="118"/>
      <c r="Q267" s="118"/>
      <c r="R267" s="117"/>
      <c r="S267" s="117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AQ267" s="118"/>
      <c r="AR267" s="118"/>
      <c r="AS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64"/>
      <c r="O268" s="161"/>
      <c r="P268" s="118"/>
      <c r="Q268" s="118"/>
      <c r="R268" s="117"/>
      <c r="S268" s="117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AQ268" s="118"/>
      <c r="AR268" s="118"/>
      <c r="AS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64"/>
      <c r="O269" s="161"/>
      <c r="P269" s="118"/>
      <c r="Q269" s="118"/>
      <c r="R269" s="117"/>
      <c r="S269" s="117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64"/>
      <c r="O270" s="161"/>
      <c r="P270" s="118"/>
      <c r="Q270" s="118"/>
      <c r="R270" s="117"/>
      <c r="S270" s="117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AQ270" s="118"/>
      <c r="AR270" s="118"/>
      <c r="AS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64"/>
      <c r="O271" s="161"/>
      <c r="P271" s="118"/>
      <c r="Q271" s="118"/>
      <c r="R271" s="117"/>
      <c r="S271" s="117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64"/>
      <c r="O272" s="161"/>
      <c r="P272" s="118"/>
      <c r="Q272" s="118"/>
      <c r="R272" s="117"/>
      <c r="S272" s="117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  <c r="AK272" s="118"/>
      <c r="AL272" s="118"/>
      <c r="AM272" s="118"/>
      <c r="AN272" s="118"/>
      <c r="AO272" s="118"/>
      <c r="AP272" s="118"/>
      <c r="AQ272" s="118"/>
      <c r="AR272" s="118"/>
      <c r="AS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64"/>
      <c r="O273" s="161"/>
      <c r="P273" s="118"/>
      <c r="Q273" s="118"/>
      <c r="R273" s="117"/>
      <c r="S273" s="117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64"/>
      <c r="O274" s="161"/>
      <c r="P274" s="118"/>
      <c r="Q274" s="118"/>
      <c r="R274" s="117"/>
      <c r="S274" s="117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  <c r="AL274" s="118"/>
      <c r="AM274" s="118"/>
      <c r="AN274" s="118"/>
      <c r="AO274" s="118"/>
      <c r="AP274" s="118"/>
      <c r="AQ274" s="118"/>
      <c r="AR274" s="118"/>
      <c r="AS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64"/>
      <c r="O275" s="161"/>
      <c r="P275" s="118"/>
      <c r="Q275" s="118"/>
      <c r="R275" s="117"/>
      <c r="S275" s="117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  <c r="AL275" s="118"/>
      <c r="AM275" s="118"/>
      <c r="AN275" s="118"/>
      <c r="AO275" s="118"/>
      <c r="AP275" s="118"/>
      <c r="AQ275" s="118"/>
      <c r="AR275" s="118"/>
      <c r="AS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64"/>
      <c r="O276" s="161"/>
      <c r="P276" s="118"/>
      <c r="Q276" s="118"/>
      <c r="R276" s="117"/>
      <c r="S276" s="117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64"/>
      <c r="O277" s="161"/>
      <c r="P277" s="118"/>
      <c r="Q277" s="118"/>
      <c r="R277" s="117"/>
      <c r="S277" s="117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  <c r="AL277" s="118"/>
      <c r="AM277" s="118"/>
      <c r="AN277" s="118"/>
      <c r="AO277" s="118"/>
      <c r="AP277" s="118"/>
      <c r="AQ277" s="118"/>
      <c r="AR277" s="118"/>
      <c r="AS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64"/>
      <c r="O278" s="161"/>
      <c r="P278" s="118"/>
      <c r="Q278" s="118"/>
      <c r="R278" s="117"/>
      <c r="S278" s="117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64"/>
      <c r="O279" s="161"/>
      <c r="P279" s="118"/>
      <c r="Q279" s="118"/>
      <c r="R279" s="117"/>
      <c r="S279" s="117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64"/>
      <c r="O280" s="161"/>
      <c r="P280" s="118"/>
      <c r="Q280" s="118"/>
      <c r="R280" s="117"/>
      <c r="S280" s="117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64"/>
      <c r="O281" s="161"/>
      <c r="P281" s="118"/>
      <c r="Q281" s="118"/>
      <c r="R281" s="117"/>
      <c r="S281" s="117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64"/>
      <c r="O282" s="161"/>
      <c r="P282" s="118"/>
      <c r="Q282" s="118"/>
      <c r="R282" s="117"/>
      <c r="S282" s="117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64"/>
      <c r="O283" s="161"/>
      <c r="P283" s="118"/>
      <c r="Q283" s="118"/>
      <c r="R283" s="117"/>
      <c r="S283" s="117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64"/>
      <c r="O284" s="161"/>
      <c r="P284" s="118"/>
      <c r="Q284" s="118"/>
      <c r="R284" s="117"/>
      <c r="S284" s="117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64"/>
      <c r="O285" s="161"/>
      <c r="P285" s="118"/>
      <c r="Q285" s="118"/>
      <c r="R285" s="117"/>
      <c r="S285" s="117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64"/>
      <c r="O286" s="161"/>
      <c r="P286" s="118"/>
      <c r="Q286" s="118"/>
      <c r="R286" s="117"/>
      <c r="S286" s="117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64"/>
      <c r="O287" s="161"/>
      <c r="P287" s="118"/>
      <c r="Q287" s="118"/>
      <c r="R287" s="117"/>
      <c r="S287" s="117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64"/>
      <c r="O288" s="161"/>
      <c r="P288" s="118"/>
      <c r="Q288" s="118"/>
      <c r="R288" s="117"/>
      <c r="S288" s="117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64"/>
      <c r="O289" s="161"/>
      <c r="P289" s="118"/>
      <c r="Q289" s="118"/>
      <c r="R289" s="117"/>
      <c r="S289" s="117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64"/>
      <c r="O290" s="161"/>
      <c r="P290" s="118"/>
      <c r="Q290" s="118"/>
      <c r="R290" s="117"/>
      <c r="S290" s="117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64"/>
      <c r="O291" s="161"/>
      <c r="P291" s="118"/>
      <c r="Q291" s="118"/>
      <c r="R291" s="117"/>
      <c r="S291" s="117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64"/>
      <c r="O292" s="161"/>
      <c r="P292" s="118"/>
      <c r="Q292" s="118"/>
      <c r="R292" s="117"/>
      <c r="S292" s="117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64"/>
      <c r="O293" s="161"/>
      <c r="P293" s="118"/>
      <c r="Q293" s="118"/>
      <c r="R293" s="117"/>
      <c r="S293" s="117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64"/>
      <c r="O294" s="161"/>
      <c r="P294" s="118"/>
      <c r="Q294" s="118"/>
      <c r="R294" s="117"/>
      <c r="S294" s="117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64"/>
      <c r="O295" s="161"/>
      <c r="P295" s="118"/>
      <c r="Q295" s="118"/>
      <c r="R295" s="117"/>
      <c r="S295" s="117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64"/>
      <c r="O296" s="161"/>
      <c r="P296" s="118"/>
      <c r="Q296" s="118"/>
      <c r="R296" s="117"/>
      <c r="S296" s="117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64"/>
      <c r="O297" s="161"/>
      <c r="P297" s="118"/>
      <c r="Q297" s="118"/>
      <c r="R297" s="117"/>
      <c r="S297" s="117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64"/>
      <c r="O298" s="161"/>
      <c r="P298" s="118"/>
      <c r="Q298" s="118"/>
      <c r="R298" s="117"/>
      <c r="S298" s="117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  <c r="AL298" s="118"/>
      <c r="AM298" s="118"/>
      <c r="AN298" s="118"/>
      <c r="AO298" s="118"/>
      <c r="AP298" s="118"/>
      <c r="AQ298" s="118"/>
      <c r="AR298" s="118"/>
      <c r="AS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64"/>
      <c r="O299" s="161"/>
      <c r="P299" s="118"/>
      <c r="Q299" s="118"/>
      <c r="R299" s="117"/>
      <c r="S299" s="117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  <c r="AL299" s="118"/>
      <c r="AM299" s="118"/>
      <c r="AN299" s="118"/>
      <c r="AO299" s="118"/>
      <c r="AP299" s="118"/>
      <c r="AQ299" s="118"/>
      <c r="AR299" s="118"/>
      <c r="AS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64"/>
      <c r="O300" s="161"/>
      <c r="P300" s="118"/>
      <c r="Q300" s="118"/>
      <c r="R300" s="117"/>
      <c r="S300" s="117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  <c r="AL300" s="118"/>
      <c r="AM300" s="118"/>
      <c r="AN300" s="118"/>
      <c r="AO300" s="118"/>
      <c r="AP300" s="118"/>
      <c r="AQ300" s="118"/>
      <c r="AR300" s="118"/>
      <c r="AS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64"/>
      <c r="O301" s="161"/>
      <c r="P301" s="118"/>
      <c r="Q301" s="118"/>
      <c r="R301" s="117"/>
      <c r="S301" s="117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/>
      <c r="AO301" s="118"/>
      <c r="AP301" s="118"/>
      <c r="AQ301" s="118"/>
      <c r="AR301" s="118"/>
      <c r="AS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64"/>
      <c r="O302" s="161"/>
      <c r="P302" s="118"/>
      <c r="Q302" s="118"/>
      <c r="R302" s="117"/>
      <c r="S302" s="117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  <c r="AL302" s="118"/>
      <c r="AM302" s="118"/>
      <c r="AN302" s="118"/>
      <c r="AO302" s="118"/>
      <c r="AP302" s="118"/>
      <c r="AQ302" s="118"/>
      <c r="AR302" s="118"/>
      <c r="AS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64"/>
      <c r="O303" s="161"/>
      <c r="P303" s="118"/>
      <c r="Q303" s="118"/>
      <c r="R303" s="117"/>
      <c r="S303" s="117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64"/>
      <c r="O304" s="161"/>
      <c r="P304" s="118"/>
      <c r="Q304" s="118"/>
      <c r="R304" s="117"/>
      <c r="S304" s="117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  <c r="AO304" s="118"/>
      <c r="AP304" s="118"/>
      <c r="AQ304" s="118"/>
      <c r="AR304" s="118"/>
      <c r="AS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64"/>
      <c r="O305" s="161"/>
      <c r="P305" s="118"/>
      <c r="Q305" s="118"/>
      <c r="R305" s="117"/>
      <c r="S305" s="117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64"/>
      <c r="O306" s="161"/>
      <c r="P306" s="118"/>
      <c r="Q306" s="118"/>
      <c r="R306" s="117"/>
      <c r="S306" s="117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64"/>
      <c r="O307" s="161"/>
      <c r="P307" s="118"/>
      <c r="Q307" s="118"/>
      <c r="R307" s="117"/>
      <c r="S307" s="117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64"/>
      <c r="O308" s="161"/>
      <c r="P308" s="118"/>
      <c r="Q308" s="118"/>
      <c r="R308" s="117"/>
      <c r="S308" s="117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64"/>
      <c r="O309" s="161"/>
      <c r="P309" s="118"/>
      <c r="Q309" s="118"/>
      <c r="R309" s="117"/>
      <c r="S309" s="117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64"/>
      <c r="O310" s="161"/>
      <c r="P310" s="118"/>
      <c r="Q310" s="118"/>
      <c r="R310" s="117"/>
      <c r="S310" s="117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64"/>
      <c r="O311" s="161"/>
      <c r="P311" s="118"/>
      <c r="Q311" s="118"/>
      <c r="R311" s="117"/>
      <c r="S311" s="117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64"/>
      <c r="O312" s="161"/>
      <c r="P312" s="118"/>
      <c r="Q312" s="118"/>
      <c r="R312" s="117"/>
      <c r="S312" s="117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64"/>
      <c r="O313" s="161"/>
      <c r="P313" s="118"/>
      <c r="Q313" s="118"/>
      <c r="R313" s="117"/>
      <c r="S313" s="117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64"/>
      <c r="O314" s="161"/>
      <c r="P314" s="118"/>
      <c r="Q314" s="118"/>
      <c r="R314" s="117"/>
      <c r="S314" s="117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64"/>
      <c r="O315" s="161"/>
      <c r="P315" s="118"/>
      <c r="Q315" s="118"/>
      <c r="R315" s="117"/>
      <c r="S315" s="117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64"/>
      <c r="O316" s="161"/>
      <c r="P316" s="118"/>
      <c r="Q316" s="118"/>
      <c r="R316" s="117"/>
      <c r="S316" s="117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64"/>
      <c r="O317" s="161"/>
      <c r="P317" s="118"/>
      <c r="Q317" s="118"/>
      <c r="R317" s="117"/>
      <c r="S317" s="117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64"/>
      <c r="O318" s="161"/>
      <c r="P318" s="118"/>
      <c r="Q318" s="118"/>
      <c r="R318" s="117"/>
      <c r="S318" s="117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64"/>
      <c r="O319" s="161"/>
      <c r="P319" s="118"/>
      <c r="Q319" s="118"/>
      <c r="R319" s="117"/>
      <c r="S319" s="117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64"/>
      <c r="O320" s="161"/>
      <c r="P320" s="118"/>
      <c r="Q320" s="118"/>
      <c r="R320" s="117"/>
      <c r="S320" s="117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64"/>
      <c r="O321" s="161"/>
      <c r="P321" s="118"/>
      <c r="Q321" s="118"/>
      <c r="R321" s="117"/>
      <c r="S321" s="117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  <c r="AL321" s="118"/>
      <c r="AM321" s="118"/>
      <c r="AN321" s="118"/>
      <c r="AO321" s="118"/>
      <c r="AP321" s="118"/>
      <c r="AQ321" s="118"/>
      <c r="AR321" s="118"/>
      <c r="AS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64"/>
      <c r="O322" s="161"/>
      <c r="P322" s="118"/>
      <c r="Q322" s="118"/>
      <c r="R322" s="117"/>
      <c r="S322" s="117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  <c r="AL322" s="118"/>
      <c r="AM322" s="118"/>
      <c r="AN322" s="118"/>
      <c r="AO322" s="118"/>
      <c r="AP322" s="118"/>
      <c r="AQ322" s="118"/>
      <c r="AR322" s="118"/>
      <c r="AS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64"/>
      <c r="O323" s="161"/>
      <c r="P323" s="118"/>
      <c r="Q323" s="118"/>
      <c r="R323" s="117"/>
      <c r="S323" s="117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8"/>
      <c r="AJ323" s="118"/>
      <c r="AK323" s="118"/>
      <c r="AL323" s="118"/>
      <c r="AM323" s="118"/>
      <c r="AN323" s="118"/>
      <c r="AO323" s="118"/>
      <c r="AP323" s="118"/>
      <c r="AQ323" s="118"/>
      <c r="AR323" s="118"/>
      <c r="AS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64"/>
      <c r="O324" s="161"/>
      <c r="P324" s="118"/>
      <c r="Q324" s="118"/>
      <c r="R324" s="117"/>
      <c r="S324" s="117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64"/>
      <c r="O325" s="161"/>
      <c r="P325" s="118"/>
      <c r="Q325" s="118"/>
      <c r="R325" s="117"/>
      <c r="S325" s="117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64"/>
      <c r="O326" s="161"/>
      <c r="P326" s="118"/>
      <c r="Q326" s="118"/>
      <c r="R326" s="117"/>
      <c r="S326" s="117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64"/>
      <c r="O327" s="161"/>
      <c r="P327" s="118"/>
      <c r="Q327" s="118"/>
      <c r="R327" s="117"/>
      <c r="S327" s="117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8"/>
      <c r="AJ327" s="118"/>
      <c r="AK327" s="118"/>
      <c r="AL327" s="118"/>
      <c r="AM327" s="118"/>
      <c r="AN327" s="118"/>
      <c r="AO327" s="118"/>
      <c r="AP327" s="118"/>
      <c r="AQ327" s="118"/>
      <c r="AR327" s="118"/>
      <c r="AS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64"/>
      <c r="O328" s="161"/>
      <c r="P328" s="118"/>
      <c r="Q328" s="118"/>
      <c r="R328" s="117"/>
      <c r="S328" s="117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8"/>
      <c r="AN328" s="118"/>
      <c r="AO328" s="118"/>
      <c r="AP328" s="118"/>
      <c r="AQ328" s="118"/>
      <c r="AR328" s="118"/>
      <c r="AS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64"/>
      <c r="O329" s="161"/>
      <c r="P329" s="118"/>
      <c r="Q329" s="118"/>
      <c r="R329" s="117"/>
      <c r="S329" s="117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64"/>
      <c r="O330" s="161"/>
      <c r="P330" s="118"/>
      <c r="Q330" s="118"/>
      <c r="R330" s="117"/>
      <c r="S330" s="117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64"/>
      <c r="O331" s="161"/>
      <c r="P331" s="118"/>
      <c r="Q331" s="118"/>
      <c r="R331" s="117"/>
      <c r="S331" s="117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64"/>
      <c r="O332" s="161"/>
      <c r="P332" s="118"/>
      <c r="Q332" s="118"/>
      <c r="R332" s="117"/>
      <c r="S332" s="117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  <c r="AL332" s="118"/>
      <c r="AM332" s="118"/>
      <c r="AN332" s="118"/>
      <c r="AO332" s="118"/>
      <c r="AP332" s="118"/>
      <c r="AQ332" s="118"/>
      <c r="AR332" s="118"/>
      <c r="AS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64"/>
      <c r="O333" s="161"/>
      <c r="P333" s="118"/>
      <c r="Q333" s="118"/>
      <c r="R333" s="117"/>
      <c r="S333" s="117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  <c r="AL333" s="118"/>
      <c r="AM333" s="118"/>
      <c r="AN333" s="118"/>
      <c r="AO333" s="118"/>
      <c r="AP333" s="118"/>
      <c r="AQ333" s="118"/>
      <c r="AR333" s="118"/>
      <c r="AS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64"/>
      <c r="O334" s="161"/>
      <c r="P334" s="118"/>
      <c r="Q334" s="118"/>
      <c r="R334" s="117"/>
      <c r="S334" s="117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8"/>
      <c r="AJ334" s="118"/>
      <c r="AK334" s="118"/>
      <c r="AL334" s="118"/>
      <c r="AM334" s="118"/>
      <c r="AN334" s="118"/>
      <c r="AO334" s="118"/>
      <c r="AP334" s="118"/>
      <c r="AQ334" s="118"/>
      <c r="AR334" s="118"/>
      <c r="AS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64"/>
      <c r="O335" s="161"/>
      <c r="P335" s="118"/>
      <c r="Q335" s="118"/>
      <c r="R335" s="117"/>
      <c r="S335" s="117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8"/>
      <c r="AJ335" s="118"/>
      <c r="AK335" s="118"/>
      <c r="AL335" s="118"/>
      <c r="AM335" s="118"/>
      <c r="AN335" s="118"/>
      <c r="AO335" s="118"/>
      <c r="AP335" s="118"/>
      <c r="AQ335" s="118"/>
      <c r="AR335" s="118"/>
      <c r="AS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64"/>
      <c r="O336" s="161"/>
      <c r="P336" s="118"/>
      <c r="Q336" s="118"/>
      <c r="R336" s="117"/>
      <c r="S336" s="117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8"/>
      <c r="AJ336" s="118"/>
      <c r="AK336" s="118"/>
      <c r="AL336" s="118"/>
      <c r="AM336" s="118"/>
      <c r="AN336" s="118"/>
      <c r="AO336" s="118"/>
      <c r="AP336" s="118"/>
      <c r="AQ336" s="118"/>
      <c r="AR336" s="118"/>
      <c r="AS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64"/>
      <c r="O337" s="161"/>
      <c r="P337" s="118"/>
      <c r="Q337" s="118"/>
      <c r="R337" s="117"/>
      <c r="S337" s="117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  <c r="AI337" s="118"/>
      <c r="AJ337" s="118"/>
      <c r="AK337" s="118"/>
      <c r="AL337" s="118"/>
      <c r="AM337" s="118"/>
      <c r="AN337" s="118"/>
      <c r="AO337" s="118"/>
      <c r="AP337" s="118"/>
      <c r="AQ337" s="118"/>
      <c r="AR337" s="118"/>
      <c r="AS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64"/>
      <c r="O338" s="161"/>
      <c r="P338" s="118"/>
      <c r="Q338" s="118"/>
      <c r="R338" s="117"/>
      <c r="S338" s="117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64"/>
      <c r="O339" s="161"/>
      <c r="P339" s="118"/>
      <c r="Q339" s="118"/>
      <c r="R339" s="117"/>
      <c r="S339" s="117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64"/>
      <c r="O340" s="161"/>
      <c r="P340" s="118"/>
      <c r="Q340" s="118"/>
      <c r="R340" s="117"/>
      <c r="S340" s="117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64"/>
      <c r="O341" s="161"/>
      <c r="P341" s="118"/>
      <c r="Q341" s="118"/>
      <c r="R341" s="117"/>
      <c r="S341" s="117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18"/>
      <c r="AS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64"/>
      <c r="O342" s="161"/>
      <c r="P342" s="118"/>
      <c r="Q342" s="118"/>
      <c r="R342" s="117"/>
      <c r="S342" s="117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18"/>
      <c r="AS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64"/>
      <c r="O343" s="161"/>
      <c r="P343" s="118"/>
      <c r="Q343" s="118"/>
      <c r="R343" s="117"/>
      <c r="S343" s="117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18"/>
      <c r="AS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64"/>
      <c r="O344" s="161"/>
      <c r="P344" s="118"/>
      <c r="Q344" s="118"/>
      <c r="R344" s="117"/>
      <c r="S344" s="117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18"/>
      <c r="AS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64"/>
      <c r="O345" s="161"/>
      <c r="P345" s="118"/>
      <c r="Q345" s="118"/>
      <c r="R345" s="117"/>
      <c r="S345" s="117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64"/>
      <c r="O346" s="161"/>
      <c r="P346" s="118"/>
      <c r="Q346" s="118"/>
      <c r="R346" s="117"/>
      <c r="S346" s="117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64"/>
      <c r="O347" s="161"/>
      <c r="P347" s="118"/>
      <c r="Q347" s="118"/>
      <c r="R347" s="117"/>
      <c r="S347" s="117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64"/>
      <c r="O348" s="161"/>
      <c r="P348" s="118"/>
      <c r="Q348" s="118"/>
      <c r="R348" s="117"/>
      <c r="S348" s="117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64"/>
      <c r="O349" s="161"/>
      <c r="P349" s="118"/>
      <c r="Q349" s="118"/>
      <c r="R349" s="117"/>
      <c r="S349" s="117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64"/>
      <c r="O350" s="161"/>
      <c r="P350" s="118"/>
      <c r="Q350" s="118"/>
      <c r="R350" s="117"/>
      <c r="S350" s="117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  <c r="AL350" s="118"/>
      <c r="AM350" s="118"/>
      <c r="AN350" s="118"/>
      <c r="AO350" s="118"/>
      <c r="AP350" s="118"/>
      <c r="AQ350" s="118"/>
      <c r="AR350" s="118"/>
      <c r="AS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64"/>
      <c r="O351" s="161"/>
      <c r="P351" s="118"/>
      <c r="Q351" s="118"/>
      <c r="R351" s="117"/>
      <c r="S351" s="117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64"/>
      <c r="O352" s="161"/>
      <c r="P352" s="118"/>
      <c r="Q352" s="118"/>
      <c r="R352" s="117"/>
      <c r="S352" s="117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64"/>
      <c r="O353" s="161"/>
      <c r="P353" s="118"/>
      <c r="Q353" s="118"/>
      <c r="R353" s="117"/>
      <c r="S353" s="117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64"/>
      <c r="O354" s="161"/>
      <c r="P354" s="118"/>
      <c r="Q354" s="118"/>
      <c r="R354" s="117"/>
      <c r="S354" s="117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64"/>
      <c r="O355" s="161"/>
      <c r="P355" s="118"/>
      <c r="Q355" s="118"/>
      <c r="R355" s="117"/>
      <c r="S355" s="117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  <c r="AL355" s="118"/>
      <c r="AM355" s="118"/>
      <c r="AN355" s="118"/>
      <c r="AO355" s="118"/>
      <c r="AP355" s="118"/>
      <c r="AQ355" s="118"/>
      <c r="AR355" s="118"/>
      <c r="AS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64"/>
      <c r="O356" s="161"/>
      <c r="P356" s="118"/>
      <c r="Q356" s="118"/>
      <c r="R356" s="117"/>
      <c r="S356" s="117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118"/>
      <c r="AN356" s="118"/>
      <c r="AO356" s="118"/>
      <c r="AP356" s="118"/>
      <c r="AQ356" s="118"/>
      <c r="AR356" s="118"/>
      <c r="AS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64"/>
      <c r="O357" s="161"/>
      <c r="P357" s="118"/>
      <c r="Q357" s="118"/>
      <c r="R357" s="117"/>
      <c r="S357" s="117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118"/>
      <c r="AN357" s="118"/>
      <c r="AO357" s="118"/>
      <c r="AP357" s="118"/>
      <c r="AQ357" s="118"/>
      <c r="AR357" s="118"/>
      <c r="AS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64"/>
      <c r="O358" s="161"/>
      <c r="P358" s="118"/>
      <c r="Q358" s="118"/>
      <c r="R358" s="117"/>
      <c r="S358" s="117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64"/>
      <c r="O359" s="161"/>
      <c r="P359" s="118"/>
      <c r="Q359" s="118"/>
      <c r="R359" s="117"/>
      <c r="S359" s="117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64"/>
      <c r="O360" s="161"/>
      <c r="P360" s="118"/>
      <c r="Q360" s="118"/>
      <c r="R360" s="117"/>
      <c r="S360" s="117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64"/>
      <c r="O361" s="161"/>
      <c r="P361" s="118"/>
      <c r="Q361" s="118"/>
      <c r="R361" s="117"/>
      <c r="S361" s="117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64"/>
      <c r="O362" s="161"/>
      <c r="P362" s="118"/>
      <c r="Q362" s="118"/>
      <c r="R362" s="117"/>
      <c r="S362" s="117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64"/>
      <c r="O363" s="161"/>
      <c r="P363" s="118"/>
      <c r="Q363" s="118"/>
      <c r="R363" s="117"/>
      <c r="S363" s="117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64"/>
      <c r="O364" s="161"/>
      <c r="P364" s="118"/>
      <c r="Q364" s="118"/>
      <c r="R364" s="117"/>
      <c r="S364" s="117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64"/>
      <c r="O365" s="161"/>
      <c r="P365" s="118"/>
      <c r="Q365" s="118"/>
      <c r="R365" s="117"/>
      <c r="S365" s="117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64"/>
      <c r="O366" s="161"/>
      <c r="P366" s="118"/>
      <c r="Q366" s="118"/>
      <c r="R366" s="117"/>
      <c r="S366" s="117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64"/>
      <c r="O367" s="161"/>
      <c r="P367" s="118"/>
      <c r="Q367" s="118"/>
      <c r="R367" s="117"/>
      <c r="S367" s="117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64"/>
      <c r="O368" s="161"/>
      <c r="P368" s="118"/>
      <c r="Q368" s="118"/>
      <c r="R368" s="117"/>
      <c r="S368" s="117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64"/>
      <c r="O369" s="161"/>
      <c r="P369" s="118"/>
      <c r="Q369" s="118"/>
      <c r="R369" s="117"/>
      <c r="S369" s="117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64"/>
      <c r="O370" s="161"/>
      <c r="P370" s="118"/>
      <c r="Q370" s="118"/>
      <c r="R370" s="117"/>
      <c r="S370" s="117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64"/>
      <c r="O371" s="161"/>
      <c r="P371" s="118"/>
      <c r="Q371" s="118"/>
      <c r="R371" s="117"/>
      <c r="S371" s="117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64"/>
      <c r="O372" s="161"/>
      <c r="P372" s="118"/>
      <c r="Q372" s="118"/>
      <c r="R372" s="117"/>
      <c r="S372" s="117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64"/>
      <c r="O373" s="161"/>
      <c r="P373" s="118"/>
      <c r="Q373" s="118"/>
      <c r="R373" s="117"/>
      <c r="S373" s="117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64"/>
      <c r="O374" s="161"/>
      <c r="P374" s="118"/>
      <c r="Q374" s="118"/>
      <c r="R374" s="117"/>
      <c r="S374" s="117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64"/>
      <c r="O375" s="161"/>
      <c r="P375" s="118"/>
      <c r="Q375" s="118"/>
      <c r="R375" s="117"/>
      <c r="S375" s="117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64"/>
      <c r="O376" s="161"/>
      <c r="P376" s="118"/>
      <c r="Q376" s="118"/>
      <c r="R376" s="117"/>
      <c r="S376" s="117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64"/>
      <c r="O377" s="161"/>
      <c r="P377" s="118"/>
      <c r="Q377" s="118"/>
      <c r="R377" s="117"/>
      <c r="S377" s="117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  <c r="AI377" s="118"/>
      <c r="AJ377" s="118"/>
      <c r="AK377" s="118"/>
      <c r="AL377" s="118"/>
      <c r="AM377" s="118"/>
      <c r="AN377" s="118"/>
      <c r="AO377" s="118"/>
      <c r="AP377" s="118"/>
      <c r="AQ377" s="118"/>
      <c r="AR377" s="118"/>
      <c r="AS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64"/>
      <c r="O378" s="161"/>
      <c r="P378" s="118"/>
      <c r="Q378" s="118"/>
      <c r="R378" s="117"/>
      <c r="S378" s="117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64"/>
      <c r="O379" s="161"/>
      <c r="P379" s="118"/>
      <c r="Q379" s="118"/>
      <c r="R379" s="117"/>
      <c r="S379" s="117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  <c r="AI379" s="118"/>
      <c r="AJ379" s="118"/>
      <c r="AK379" s="118"/>
      <c r="AL379" s="118"/>
      <c r="AM379" s="118"/>
      <c r="AN379" s="118"/>
      <c r="AO379" s="118"/>
      <c r="AP379" s="118"/>
      <c r="AQ379" s="118"/>
      <c r="AR379" s="118"/>
      <c r="AS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64"/>
      <c r="O380" s="161"/>
      <c r="P380" s="118"/>
      <c r="Q380" s="118"/>
      <c r="R380" s="117"/>
      <c r="S380" s="117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  <c r="AI380" s="118"/>
      <c r="AJ380" s="118"/>
      <c r="AK380" s="118"/>
      <c r="AL380" s="118"/>
      <c r="AM380" s="118"/>
      <c r="AN380" s="118"/>
      <c r="AO380" s="118"/>
      <c r="AP380" s="118"/>
      <c r="AQ380" s="118"/>
      <c r="AR380" s="118"/>
      <c r="AS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64"/>
      <c r="O381" s="161"/>
      <c r="P381" s="118"/>
      <c r="Q381" s="118"/>
      <c r="R381" s="117"/>
      <c r="S381" s="117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64"/>
      <c r="O382" s="161"/>
      <c r="P382" s="118"/>
      <c r="Q382" s="118"/>
      <c r="R382" s="117"/>
      <c r="S382" s="117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64"/>
      <c r="O383" s="161"/>
      <c r="P383" s="118"/>
      <c r="Q383" s="118"/>
      <c r="R383" s="117"/>
      <c r="S383" s="117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64"/>
      <c r="O384" s="161"/>
      <c r="P384" s="118"/>
      <c r="Q384" s="118"/>
      <c r="R384" s="117"/>
      <c r="S384" s="117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64"/>
      <c r="O385" s="161"/>
      <c r="P385" s="118"/>
      <c r="Q385" s="118"/>
      <c r="R385" s="117"/>
      <c r="S385" s="117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64"/>
      <c r="O386" s="161"/>
      <c r="P386" s="118"/>
      <c r="Q386" s="118"/>
      <c r="R386" s="117"/>
      <c r="S386" s="117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  <c r="AI386" s="118"/>
      <c r="AJ386" s="118"/>
      <c r="AK386" s="118"/>
      <c r="AL386" s="118"/>
      <c r="AM386" s="118"/>
      <c r="AN386" s="118"/>
      <c r="AO386" s="118"/>
      <c r="AP386" s="118"/>
      <c r="AQ386" s="118"/>
      <c r="AR386" s="118"/>
      <c r="AS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64"/>
      <c r="O387" s="161"/>
      <c r="P387" s="118"/>
      <c r="Q387" s="118"/>
      <c r="R387" s="117"/>
      <c r="S387" s="117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64"/>
      <c r="O388" s="161"/>
      <c r="P388" s="118"/>
      <c r="Q388" s="118"/>
      <c r="R388" s="117"/>
      <c r="S388" s="117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  <c r="AI388" s="118"/>
      <c r="AJ388" s="118"/>
      <c r="AK388" s="118"/>
      <c r="AL388" s="118"/>
      <c r="AM388" s="118"/>
      <c r="AN388" s="118"/>
      <c r="AO388" s="118"/>
      <c r="AP388" s="118"/>
      <c r="AQ388" s="118"/>
      <c r="AR388" s="118"/>
      <c r="AS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64"/>
      <c r="O389" s="161"/>
      <c r="P389" s="118"/>
      <c r="Q389" s="118"/>
      <c r="R389" s="117"/>
      <c r="S389" s="117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  <c r="AI389" s="118"/>
      <c r="AJ389" s="118"/>
      <c r="AK389" s="118"/>
      <c r="AL389" s="118"/>
      <c r="AM389" s="118"/>
      <c r="AN389" s="118"/>
      <c r="AO389" s="118"/>
      <c r="AP389" s="118"/>
      <c r="AQ389" s="118"/>
      <c r="AR389" s="118"/>
      <c r="AS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64"/>
      <c r="O390" s="161"/>
      <c r="P390" s="118"/>
      <c r="Q390" s="118"/>
      <c r="R390" s="117"/>
      <c r="S390" s="117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64"/>
      <c r="O391" s="161"/>
      <c r="P391" s="118"/>
      <c r="Q391" s="118"/>
      <c r="R391" s="117"/>
      <c r="S391" s="117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64"/>
      <c r="O392" s="161"/>
      <c r="P392" s="118"/>
      <c r="Q392" s="118"/>
      <c r="R392" s="117"/>
      <c r="S392" s="117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64"/>
      <c r="O393" s="161"/>
      <c r="P393" s="118"/>
      <c r="Q393" s="118"/>
      <c r="R393" s="117"/>
      <c r="S393" s="117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64"/>
      <c r="O394" s="161"/>
      <c r="P394" s="118"/>
      <c r="Q394" s="118"/>
      <c r="R394" s="117"/>
      <c r="S394" s="117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64"/>
      <c r="O395" s="161"/>
      <c r="P395" s="118"/>
      <c r="Q395" s="118"/>
      <c r="R395" s="117"/>
      <c r="S395" s="117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64"/>
      <c r="O396" s="161"/>
      <c r="P396" s="118"/>
      <c r="Q396" s="118"/>
      <c r="R396" s="117"/>
      <c r="S396" s="117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64"/>
      <c r="O397" s="161"/>
      <c r="P397" s="118"/>
      <c r="Q397" s="118"/>
      <c r="R397" s="117"/>
      <c r="S397" s="117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64"/>
      <c r="O398" s="161"/>
      <c r="P398" s="118"/>
      <c r="Q398" s="118"/>
      <c r="R398" s="117"/>
      <c r="S398" s="117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64"/>
      <c r="O399" s="161"/>
      <c r="P399" s="118"/>
      <c r="Q399" s="118"/>
      <c r="R399" s="117"/>
      <c r="S399" s="117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64"/>
      <c r="O400" s="161"/>
      <c r="P400" s="118"/>
      <c r="Q400" s="118"/>
      <c r="R400" s="117"/>
      <c r="S400" s="117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64"/>
      <c r="O401" s="161"/>
      <c r="P401" s="118"/>
      <c r="Q401" s="118"/>
      <c r="R401" s="117"/>
      <c r="S401" s="117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64"/>
      <c r="O402" s="161"/>
      <c r="P402" s="118"/>
      <c r="Q402" s="118"/>
      <c r="R402" s="117"/>
      <c r="S402" s="117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64"/>
      <c r="O403" s="161"/>
      <c r="P403" s="118"/>
      <c r="Q403" s="118"/>
      <c r="R403" s="117"/>
      <c r="S403" s="117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  <c r="AL403" s="118"/>
      <c r="AM403" s="118"/>
      <c r="AN403" s="118"/>
      <c r="AO403" s="118"/>
      <c r="AP403" s="118"/>
      <c r="AQ403" s="118"/>
      <c r="AR403" s="118"/>
      <c r="AS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64"/>
      <c r="O404" s="161"/>
      <c r="P404" s="118"/>
      <c r="Q404" s="118"/>
      <c r="R404" s="117"/>
      <c r="S404" s="117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64"/>
      <c r="O405" s="161"/>
      <c r="P405" s="118"/>
      <c r="Q405" s="118"/>
      <c r="R405" s="117"/>
      <c r="S405" s="117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64"/>
      <c r="O406" s="161"/>
      <c r="P406" s="118"/>
      <c r="Q406" s="118"/>
      <c r="R406" s="117"/>
      <c r="S406" s="117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64"/>
      <c r="O407" s="161"/>
      <c r="P407" s="118"/>
      <c r="Q407" s="118"/>
      <c r="R407" s="117"/>
      <c r="S407" s="117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64"/>
      <c r="O408" s="161"/>
      <c r="P408" s="118"/>
      <c r="Q408" s="118"/>
      <c r="R408" s="117"/>
      <c r="S408" s="117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/>
      <c r="AO408" s="118"/>
      <c r="AP408" s="118"/>
      <c r="AQ408" s="118"/>
      <c r="AR408" s="118"/>
      <c r="AS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64"/>
      <c r="O409" s="161"/>
      <c r="P409" s="118"/>
      <c r="Q409" s="118"/>
      <c r="R409" s="117"/>
      <c r="S409" s="117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64"/>
      <c r="O410" s="161"/>
      <c r="P410" s="118"/>
      <c r="Q410" s="118"/>
      <c r="R410" s="117"/>
      <c r="S410" s="117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  <c r="AL410" s="118"/>
      <c r="AM410" s="118"/>
      <c r="AN410" s="118"/>
      <c r="AO410" s="118"/>
      <c r="AP410" s="118"/>
      <c r="AQ410" s="118"/>
      <c r="AR410" s="118"/>
      <c r="AS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64"/>
      <c r="O411" s="161"/>
      <c r="P411" s="118"/>
      <c r="Q411" s="118"/>
      <c r="R411" s="117"/>
      <c r="S411" s="117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  <c r="AL411" s="118"/>
      <c r="AM411" s="118"/>
      <c r="AN411" s="118"/>
      <c r="AO411" s="118"/>
      <c r="AP411" s="118"/>
      <c r="AQ411" s="118"/>
      <c r="AR411" s="118"/>
      <c r="AS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64"/>
      <c r="O412" s="161"/>
      <c r="P412" s="118"/>
      <c r="Q412" s="118"/>
      <c r="R412" s="117"/>
      <c r="S412" s="117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64"/>
      <c r="O413" s="161"/>
      <c r="P413" s="118"/>
      <c r="Q413" s="118"/>
      <c r="R413" s="117"/>
      <c r="S413" s="117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64"/>
      <c r="O414" s="161"/>
      <c r="P414" s="118"/>
      <c r="Q414" s="118"/>
      <c r="R414" s="117"/>
      <c r="S414" s="117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  <c r="AL414" s="118"/>
      <c r="AM414" s="118"/>
      <c r="AN414" s="118"/>
      <c r="AO414" s="118"/>
      <c r="AP414" s="118"/>
      <c r="AQ414" s="118"/>
      <c r="AR414" s="118"/>
      <c r="AS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64"/>
      <c r="O415" s="161"/>
      <c r="P415" s="118"/>
      <c r="Q415" s="118"/>
      <c r="R415" s="117"/>
      <c r="S415" s="117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18"/>
      <c r="AN415" s="118"/>
      <c r="AO415" s="118"/>
      <c r="AP415" s="118"/>
      <c r="AQ415" s="118"/>
      <c r="AR415" s="118"/>
      <c r="AS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64"/>
      <c r="O416" s="161"/>
      <c r="P416" s="118"/>
      <c r="Q416" s="118"/>
      <c r="R416" s="117"/>
      <c r="S416" s="117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18"/>
      <c r="AK416" s="118"/>
      <c r="AL416" s="118"/>
      <c r="AM416" s="118"/>
      <c r="AN416" s="118"/>
      <c r="AO416" s="118"/>
      <c r="AP416" s="118"/>
      <c r="AQ416" s="118"/>
      <c r="AR416" s="118"/>
      <c r="AS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64"/>
      <c r="O417" s="161"/>
      <c r="P417" s="118"/>
      <c r="Q417" s="118"/>
      <c r="R417" s="117"/>
      <c r="S417" s="117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  <c r="AI417" s="118"/>
      <c r="AJ417" s="118"/>
      <c r="AK417" s="118"/>
      <c r="AL417" s="118"/>
      <c r="AM417" s="118"/>
      <c r="AN417" s="118"/>
      <c r="AO417" s="118"/>
      <c r="AP417" s="118"/>
      <c r="AQ417" s="118"/>
      <c r="AR417" s="118"/>
      <c r="AS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64"/>
      <c r="O418" s="161"/>
      <c r="P418" s="118"/>
      <c r="Q418" s="118"/>
      <c r="R418" s="117"/>
      <c r="S418" s="117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64"/>
      <c r="O419" s="161"/>
      <c r="P419" s="118"/>
      <c r="Q419" s="118"/>
      <c r="R419" s="117"/>
      <c r="S419" s="117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64"/>
      <c r="O420" s="161"/>
      <c r="P420" s="118"/>
      <c r="Q420" s="118"/>
      <c r="R420" s="117"/>
      <c r="S420" s="117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64"/>
      <c r="O421" s="161"/>
      <c r="P421" s="118"/>
      <c r="Q421" s="118"/>
      <c r="R421" s="117"/>
      <c r="S421" s="117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  <c r="AK421" s="118"/>
      <c r="AL421" s="118"/>
      <c r="AM421" s="118"/>
      <c r="AN421" s="118"/>
      <c r="AO421" s="118"/>
      <c r="AP421" s="118"/>
      <c r="AQ421" s="118"/>
      <c r="AR421" s="118"/>
      <c r="AS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64"/>
      <c r="O422" s="161"/>
      <c r="P422" s="118"/>
      <c r="Q422" s="118"/>
      <c r="R422" s="117"/>
      <c r="S422" s="117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  <c r="AK422" s="118"/>
      <c r="AL422" s="118"/>
      <c r="AM422" s="118"/>
      <c r="AN422" s="118"/>
      <c r="AO422" s="118"/>
      <c r="AP422" s="118"/>
      <c r="AQ422" s="118"/>
      <c r="AR422" s="118"/>
      <c r="AS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64"/>
      <c r="O423" s="161"/>
      <c r="P423" s="118"/>
      <c r="Q423" s="118"/>
      <c r="R423" s="117"/>
      <c r="S423" s="117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  <c r="AK423" s="118"/>
      <c r="AL423" s="118"/>
      <c r="AM423" s="118"/>
      <c r="AN423" s="118"/>
      <c r="AO423" s="118"/>
      <c r="AP423" s="118"/>
      <c r="AQ423" s="118"/>
      <c r="AR423" s="118"/>
      <c r="AS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64"/>
      <c r="O424" s="161"/>
      <c r="P424" s="118"/>
      <c r="Q424" s="118"/>
      <c r="R424" s="117"/>
      <c r="S424" s="117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  <c r="AK424" s="118"/>
      <c r="AL424" s="118"/>
      <c r="AM424" s="118"/>
      <c r="AN424" s="118"/>
      <c r="AO424" s="118"/>
      <c r="AP424" s="118"/>
      <c r="AQ424" s="118"/>
      <c r="AR424" s="118"/>
      <c r="AS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64"/>
      <c r="O425" s="161"/>
      <c r="P425" s="118"/>
      <c r="Q425" s="118"/>
      <c r="R425" s="117"/>
      <c r="S425" s="117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64"/>
      <c r="O426" s="161"/>
      <c r="P426" s="118"/>
      <c r="Q426" s="118"/>
      <c r="R426" s="117"/>
      <c r="S426" s="117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64"/>
      <c r="O427" s="161"/>
      <c r="P427" s="118"/>
      <c r="Q427" s="118"/>
      <c r="R427" s="117"/>
      <c r="S427" s="117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64"/>
      <c r="O428" s="161"/>
      <c r="P428" s="118"/>
      <c r="Q428" s="118"/>
      <c r="R428" s="117"/>
      <c r="S428" s="117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  <c r="AK428" s="118"/>
      <c r="AL428" s="118"/>
      <c r="AM428" s="118"/>
      <c r="AN428" s="118"/>
      <c r="AO428" s="118"/>
      <c r="AP428" s="118"/>
      <c r="AQ428" s="118"/>
      <c r="AR428" s="118"/>
      <c r="AS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64"/>
      <c r="O429" s="161"/>
      <c r="P429" s="118"/>
      <c r="Q429" s="118"/>
      <c r="R429" s="117"/>
      <c r="S429" s="117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  <c r="AK429" s="118"/>
      <c r="AL429" s="118"/>
      <c r="AM429" s="118"/>
      <c r="AN429" s="118"/>
      <c r="AO429" s="118"/>
      <c r="AP429" s="118"/>
      <c r="AQ429" s="118"/>
      <c r="AR429" s="118"/>
      <c r="AS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64"/>
      <c r="O430" s="161"/>
      <c r="P430" s="118"/>
      <c r="Q430" s="118"/>
      <c r="R430" s="117"/>
      <c r="S430" s="117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  <c r="AL430" s="118"/>
      <c r="AM430" s="118"/>
      <c r="AN430" s="118"/>
      <c r="AO430" s="118"/>
      <c r="AP430" s="118"/>
      <c r="AQ430" s="118"/>
      <c r="AR430" s="118"/>
      <c r="AS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64"/>
      <c r="O431" s="161"/>
      <c r="P431" s="118"/>
      <c r="Q431" s="118"/>
      <c r="R431" s="117"/>
      <c r="S431" s="117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  <c r="AL431" s="118"/>
      <c r="AM431" s="118"/>
      <c r="AN431" s="118"/>
      <c r="AO431" s="118"/>
      <c r="AP431" s="118"/>
      <c r="AQ431" s="118"/>
      <c r="AR431" s="118"/>
      <c r="AS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64"/>
      <c r="O432" s="161"/>
      <c r="P432" s="118"/>
      <c r="Q432" s="118"/>
      <c r="R432" s="117"/>
      <c r="S432" s="117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64"/>
      <c r="O433" s="161"/>
      <c r="P433" s="118"/>
      <c r="Q433" s="118"/>
      <c r="R433" s="117"/>
      <c r="S433" s="117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64"/>
      <c r="O434" s="161"/>
      <c r="P434" s="118"/>
      <c r="Q434" s="118"/>
      <c r="R434" s="117"/>
      <c r="S434" s="117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  <c r="AK434" s="118"/>
      <c r="AL434" s="118"/>
      <c r="AM434" s="118"/>
      <c r="AN434" s="118"/>
      <c r="AO434" s="118"/>
      <c r="AP434" s="118"/>
      <c r="AQ434" s="118"/>
      <c r="AR434" s="118"/>
      <c r="AS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64"/>
      <c r="O435" s="161"/>
      <c r="P435" s="118"/>
      <c r="Q435" s="118"/>
      <c r="R435" s="117"/>
      <c r="S435" s="117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  <c r="AK435" s="118"/>
      <c r="AL435" s="118"/>
      <c r="AM435" s="118"/>
      <c r="AN435" s="118"/>
      <c r="AO435" s="118"/>
      <c r="AP435" s="118"/>
      <c r="AQ435" s="118"/>
      <c r="AR435" s="118"/>
      <c r="AS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64"/>
      <c r="O436" s="161"/>
      <c r="P436" s="118"/>
      <c r="Q436" s="118"/>
      <c r="R436" s="117"/>
      <c r="S436" s="117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  <c r="AK436" s="118"/>
      <c r="AL436" s="118"/>
      <c r="AM436" s="118"/>
      <c r="AN436" s="118"/>
      <c r="AO436" s="118"/>
      <c r="AP436" s="118"/>
      <c r="AQ436" s="118"/>
      <c r="AR436" s="118"/>
      <c r="AS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64"/>
      <c r="O437" s="161"/>
      <c r="P437" s="118"/>
      <c r="Q437" s="118"/>
      <c r="R437" s="117"/>
      <c r="S437" s="117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  <c r="AK437" s="118"/>
      <c r="AL437" s="118"/>
      <c r="AM437" s="118"/>
      <c r="AN437" s="118"/>
      <c r="AO437" s="118"/>
      <c r="AP437" s="118"/>
      <c r="AQ437" s="118"/>
      <c r="AR437" s="118"/>
      <c r="AS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64"/>
      <c r="O438" s="161"/>
      <c r="P438" s="118"/>
      <c r="Q438" s="118"/>
      <c r="R438" s="117"/>
      <c r="S438" s="117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  <c r="AL438" s="118"/>
      <c r="AM438" s="118"/>
      <c r="AN438" s="118"/>
      <c r="AO438" s="118"/>
      <c r="AP438" s="118"/>
      <c r="AQ438" s="118"/>
      <c r="AR438" s="118"/>
      <c r="AS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64"/>
      <c r="O439" s="161"/>
      <c r="P439" s="118"/>
      <c r="Q439" s="118"/>
      <c r="R439" s="117"/>
      <c r="S439" s="117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  <c r="AL439" s="118"/>
      <c r="AM439" s="118"/>
      <c r="AN439" s="118"/>
      <c r="AO439" s="118"/>
      <c r="AP439" s="118"/>
      <c r="AQ439" s="118"/>
      <c r="AR439" s="118"/>
      <c r="AS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64"/>
      <c r="O440" s="161"/>
      <c r="P440" s="118"/>
      <c r="Q440" s="118"/>
      <c r="R440" s="117"/>
      <c r="S440" s="117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64"/>
      <c r="O441" s="161"/>
      <c r="P441" s="118"/>
      <c r="Q441" s="118"/>
      <c r="R441" s="117"/>
      <c r="S441" s="117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  <c r="AL441" s="118"/>
      <c r="AM441" s="118"/>
      <c r="AN441" s="118"/>
      <c r="AO441" s="118"/>
      <c r="AP441" s="118"/>
      <c r="AQ441" s="118"/>
      <c r="AR441" s="118"/>
      <c r="AS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64"/>
      <c r="O442" s="161"/>
      <c r="P442" s="118"/>
      <c r="Q442" s="118"/>
      <c r="R442" s="117"/>
      <c r="S442" s="117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8"/>
      <c r="AN442" s="118"/>
      <c r="AO442" s="118"/>
      <c r="AP442" s="118"/>
      <c r="AQ442" s="118"/>
      <c r="AR442" s="118"/>
      <c r="AS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64"/>
      <c r="O443" s="161"/>
      <c r="P443" s="118"/>
      <c r="Q443" s="118"/>
      <c r="R443" s="117"/>
      <c r="S443" s="117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  <c r="AL443" s="118"/>
      <c r="AM443" s="118"/>
      <c r="AN443" s="118"/>
      <c r="AO443" s="118"/>
      <c r="AP443" s="118"/>
      <c r="AQ443" s="118"/>
      <c r="AR443" s="118"/>
      <c r="AS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64"/>
      <c r="O444" s="161"/>
      <c r="P444" s="118"/>
      <c r="Q444" s="118"/>
      <c r="R444" s="117"/>
      <c r="S444" s="117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64"/>
      <c r="O445" s="161"/>
      <c r="P445" s="118"/>
      <c r="Q445" s="118"/>
      <c r="R445" s="117"/>
      <c r="S445" s="117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64"/>
      <c r="O446" s="161"/>
      <c r="P446" s="118"/>
      <c r="Q446" s="118"/>
      <c r="R446" s="117"/>
      <c r="S446" s="117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64"/>
      <c r="O447" s="161"/>
      <c r="P447" s="118"/>
      <c r="Q447" s="118"/>
      <c r="R447" s="117"/>
      <c r="S447" s="117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  <c r="AL447" s="118"/>
      <c r="AM447" s="118"/>
      <c r="AN447" s="118"/>
      <c r="AO447" s="118"/>
      <c r="AP447" s="118"/>
      <c r="AQ447" s="118"/>
      <c r="AR447" s="118"/>
      <c r="AS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64"/>
      <c r="O448" s="161"/>
      <c r="P448" s="118"/>
      <c r="Q448" s="118"/>
      <c r="R448" s="117"/>
      <c r="S448" s="117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  <c r="AL448" s="118"/>
      <c r="AM448" s="118"/>
      <c r="AN448" s="118"/>
      <c r="AO448" s="118"/>
      <c r="AP448" s="118"/>
      <c r="AQ448" s="118"/>
      <c r="AR448" s="118"/>
      <c r="AS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64"/>
      <c r="O449" s="161"/>
      <c r="P449" s="118"/>
      <c r="Q449" s="118"/>
      <c r="R449" s="117"/>
      <c r="S449" s="117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64"/>
      <c r="O450" s="161"/>
      <c r="P450" s="118"/>
      <c r="Q450" s="118"/>
      <c r="R450" s="117"/>
      <c r="S450" s="117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64"/>
      <c r="O451" s="161"/>
      <c r="P451" s="118"/>
      <c r="Q451" s="118"/>
      <c r="R451" s="117"/>
      <c r="S451" s="117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64"/>
      <c r="O452" s="161"/>
      <c r="P452" s="118"/>
      <c r="Q452" s="118"/>
      <c r="R452" s="117"/>
      <c r="S452" s="117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  <c r="AL452" s="118"/>
      <c r="AM452" s="118"/>
      <c r="AN452" s="118"/>
      <c r="AO452" s="118"/>
      <c r="AP452" s="118"/>
      <c r="AQ452" s="118"/>
      <c r="AR452" s="118"/>
      <c r="AS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64"/>
      <c r="O453" s="161"/>
      <c r="P453" s="118"/>
      <c r="Q453" s="118"/>
      <c r="R453" s="117"/>
      <c r="S453" s="117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  <c r="AL453" s="118"/>
      <c r="AM453" s="118"/>
      <c r="AN453" s="118"/>
      <c r="AO453" s="118"/>
      <c r="AP453" s="118"/>
      <c r="AQ453" s="118"/>
      <c r="AR453" s="118"/>
      <c r="AS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64"/>
      <c r="O454" s="161"/>
      <c r="P454" s="118"/>
      <c r="Q454" s="118"/>
      <c r="R454" s="117"/>
      <c r="S454" s="117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  <c r="AL454" s="118"/>
      <c r="AM454" s="118"/>
      <c r="AN454" s="118"/>
      <c r="AO454" s="118"/>
      <c r="AP454" s="118"/>
      <c r="AQ454" s="118"/>
      <c r="AR454" s="118"/>
      <c r="AS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64"/>
      <c r="O455" s="161"/>
      <c r="P455" s="118"/>
      <c r="Q455" s="118"/>
      <c r="R455" s="117"/>
      <c r="S455" s="117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  <c r="AL455" s="118"/>
      <c r="AM455" s="118"/>
      <c r="AN455" s="118"/>
      <c r="AO455" s="118"/>
      <c r="AP455" s="118"/>
      <c r="AQ455" s="118"/>
      <c r="AR455" s="118"/>
      <c r="AS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64"/>
      <c r="O456" s="161"/>
      <c r="P456" s="118"/>
      <c r="Q456" s="118"/>
      <c r="R456" s="117"/>
      <c r="S456" s="117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64"/>
      <c r="O457" s="161"/>
      <c r="P457" s="118"/>
      <c r="Q457" s="118"/>
      <c r="R457" s="117"/>
      <c r="S457" s="117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64"/>
      <c r="O458" s="161"/>
      <c r="P458" s="118"/>
      <c r="Q458" s="118"/>
      <c r="R458" s="117"/>
      <c r="S458" s="117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64"/>
      <c r="O459" s="161"/>
      <c r="P459" s="118"/>
      <c r="Q459" s="118"/>
      <c r="R459" s="117"/>
      <c r="S459" s="117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  <c r="AL459" s="118"/>
      <c r="AM459" s="118"/>
      <c r="AN459" s="118"/>
      <c r="AO459" s="118"/>
      <c r="AP459" s="118"/>
      <c r="AQ459" s="118"/>
      <c r="AR459" s="118"/>
      <c r="AS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64"/>
      <c r="O460" s="161"/>
      <c r="P460" s="118"/>
      <c r="Q460" s="118"/>
      <c r="R460" s="117"/>
      <c r="S460" s="117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  <c r="AL460" s="118"/>
      <c r="AM460" s="118"/>
      <c r="AN460" s="118"/>
      <c r="AO460" s="118"/>
      <c r="AP460" s="118"/>
      <c r="AQ460" s="118"/>
      <c r="AR460" s="118"/>
      <c r="AS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64"/>
      <c r="O461" s="161"/>
      <c r="P461" s="118"/>
      <c r="Q461" s="118"/>
      <c r="R461" s="117"/>
      <c r="S461" s="117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  <c r="AL461" s="118"/>
      <c r="AM461" s="118"/>
      <c r="AN461" s="118"/>
      <c r="AO461" s="118"/>
      <c r="AP461" s="118"/>
      <c r="AQ461" s="118"/>
      <c r="AR461" s="118"/>
      <c r="AS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64"/>
      <c r="O462" s="161"/>
      <c r="P462" s="118"/>
      <c r="Q462" s="118"/>
      <c r="R462" s="117"/>
      <c r="S462" s="117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  <c r="AL462" s="118"/>
      <c r="AM462" s="118"/>
      <c r="AN462" s="118"/>
      <c r="AO462" s="118"/>
      <c r="AP462" s="118"/>
      <c r="AQ462" s="118"/>
      <c r="AR462" s="118"/>
      <c r="AS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64"/>
      <c r="O463" s="161"/>
      <c r="P463" s="118"/>
      <c r="Q463" s="118"/>
      <c r="R463" s="117"/>
      <c r="S463" s="117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64"/>
      <c r="O464" s="161"/>
      <c r="P464" s="118"/>
      <c r="Q464" s="118"/>
      <c r="R464" s="117"/>
      <c r="S464" s="117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64"/>
      <c r="O465" s="161"/>
      <c r="P465" s="118"/>
      <c r="Q465" s="118"/>
      <c r="R465" s="117"/>
      <c r="S465" s="117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  <c r="AI465" s="118"/>
      <c r="AJ465" s="118"/>
      <c r="AK465" s="118"/>
      <c r="AL465" s="118"/>
      <c r="AM465" s="118"/>
      <c r="AN465" s="118"/>
      <c r="AO465" s="118"/>
      <c r="AP465" s="118"/>
      <c r="AQ465" s="118"/>
      <c r="AR465" s="118"/>
      <c r="AS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64"/>
      <c r="O466" s="161"/>
      <c r="P466" s="118"/>
      <c r="Q466" s="118"/>
      <c r="R466" s="117"/>
      <c r="S466" s="117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  <c r="AI466" s="118"/>
      <c r="AJ466" s="118"/>
      <c r="AK466" s="118"/>
      <c r="AL466" s="118"/>
      <c r="AM466" s="118"/>
      <c r="AN466" s="118"/>
      <c r="AO466" s="118"/>
      <c r="AP466" s="118"/>
      <c r="AQ466" s="118"/>
      <c r="AR466" s="118"/>
      <c r="AS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64"/>
      <c r="O467" s="161"/>
      <c r="P467" s="118"/>
      <c r="Q467" s="118"/>
      <c r="R467" s="117"/>
      <c r="S467" s="117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  <c r="AI467" s="118"/>
      <c r="AJ467" s="118"/>
      <c r="AK467" s="118"/>
      <c r="AL467" s="118"/>
      <c r="AM467" s="118"/>
      <c r="AN467" s="118"/>
      <c r="AO467" s="118"/>
      <c r="AP467" s="118"/>
      <c r="AQ467" s="118"/>
      <c r="AR467" s="118"/>
      <c r="AS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64"/>
      <c r="O468" s="161"/>
      <c r="P468" s="118"/>
      <c r="Q468" s="118"/>
      <c r="R468" s="117"/>
      <c r="S468" s="117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  <c r="AI468" s="118"/>
      <c r="AJ468" s="118"/>
      <c r="AK468" s="118"/>
      <c r="AL468" s="118"/>
      <c r="AM468" s="118"/>
      <c r="AN468" s="118"/>
      <c r="AO468" s="118"/>
      <c r="AP468" s="118"/>
      <c r="AQ468" s="118"/>
      <c r="AR468" s="118"/>
      <c r="AS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64"/>
      <c r="O469" s="161"/>
      <c r="P469" s="118"/>
      <c r="Q469" s="118"/>
      <c r="R469" s="117"/>
      <c r="S469" s="117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  <c r="AI469" s="118"/>
      <c r="AJ469" s="118"/>
      <c r="AK469" s="118"/>
      <c r="AL469" s="118"/>
      <c r="AM469" s="118"/>
      <c r="AN469" s="118"/>
      <c r="AO469" s="118"/>
      <c r="AP469" s="118"/>
      <c r="AQ469" s="118"/>
      <c r="AR469" s="118"/>
      <c r="AS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64"/>
      <c r="O470" s="161"/>
      <c r="P470" s="118"/>
      <c r="Q470" s="118"/>
      <c r="R470" s="117"/>
      <c r="S470" s="117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  <c r="AI470" s="118"/>
      <c r="AJ470" s="118"/>
      <c r="AK470" s="118"/>
      <c r="AL470" s="118"/>
      <c r="AM470" s="118"/>
      <c r="AN470" s="118"/>
      <c r="AO470" s="118"/>
      <c r="AP470" s="118"/>
      <c r="AQ470" s="118"/>
      <c r="AR470" s="118"/>
      <c r="AS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64"/>
      <c r="O471" s="161"/>
      <c r="P471" s="118"/>
      <c r="Q471" s="118"/>
      <c r="R471" s="117"/>
      <c r="S471" s="117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  <c r="AI471" s="118"/>
      <c r="AJ471" s="118"/>
      <c r="AK471" s="118"/>
      <c r="AL471" s="118"/>
      <c r="AM471" s="118"/>
      <c r="AN471" s="118"/>
      <c r="AO471" s="118"/>
      <c r="AP471" s="118"/>
      <c r="AQ471" s="118"/>
      <c r="AR471" s="118"/>
      <c r="AS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64"/>
      <c r="O472" s="161"/>
      <c r="P472" s="118"/>
      <c r="Q472" s="118"/>
      <c r="R472" s="117"/>
      <c r="S472" s="117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  <c r="AI472" s="118"/>
      <c r="AJ472" s="118"/>
      <c r="AK472" s="118"/>
      <c r="AL472" s="118"/>
      <c r="AM472" s="118"/>
      <c r="AN472" s="118"/>
      <c r="AO472" s="118"/>
      <c r="AP472" s="118"/>
      <c r="AQ472" s="118"/>
      <c r="AR472" s="118"/>
      <c r="AS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64"/>
      <c r="O473" s="161"/>
      <c r="P473" s="118"/>
      <c r="Q473" s="118"/>
      <c r="R473" s="117"/>
      <c r="S473" s="117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  <c r="AI473" s="118"/>
      <c r="AJ473" s="118"/>
      <c r="AK473" s="118"/>
      <c r="AL473" s="118"/>
      <c r="AM473" s="118"/>
      <c r="AN473" s="118"/>
      <c r="AO473" s="118"/>
      <c r="AP473" s="118"/>
      <c r="AQ473" s="118"/>
      <c r="AR473" s="118"/>
      <c r="AS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64"/>
      <c r="O474" s="161"/>
      <c r="P474" s="118"/>
      <c r="Q474" s="118"/>
      <c r="R474" s="117"/>
      <c r="S474" s="117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64"/>
      <c r="O475" s="161"/>
      <c r="P475" s="118"/>
      <c r="Q475" s="118"/>
      <c r="R475" s="117"/>
      <c r="S475" s="117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  <c r="AL475" s="118"/>
      <c r="AM475" s="118"/>
      <c r="AN475" s="118"/>
      <c r="AO475" s="118"/>
      <c r="AP475" s="118"/>
      <c r="AQ475" s="118"/>
      <c r="AR475" s="118"/>
      <c r="AS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64"/>
      <c r="O476" s="161"/>
      <c r="P476" s="118"/>
      <c r="Q476" s="118"/>
      <c r="R476" s="117"/>
      <c r="S476" s="117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  <c r="AL476" s="118"/>
      <c r="AM476" s="118"/>
      <c r="AN476" s="118"/>
      <c r="AO476" s="118"/>
      <c r="AP476" s="118"/>
      <c r="AQ476" s="118"/>
      <c r="AR476" s="118"/>
      <c r="AS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64"/>
      <c r="O477" s="161"/>
      <c r="P477" s="118"/>
      <c r="Q477" s="118"/>
      <c r="R477" s="117"/>
      <c r="S477" s="117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  <c r="AL477" s="118"/>
      <c r="AM477" s="118"/>
      <c r="AN477" s="118"/>
      <c r="AO477" s="118"/>
      <c r="AP477" s="118"/>
      <c r="AQ477" s="118"/>
      <c r="AR477" s="118"/>
      <c r="AS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64"/>
      <c r="O478" s="161"/>
      <c r="P478" s="118"/>
      <c r="Q478" s="118"/>
      <c r="R478" s="117"/>
      <c r="S478" s="117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  <c r="AL478" s="118"/>
      <c r="AM478" s="118"/>
      <c r="AN478" s="118"/>
      <c r="AO478" s="118"/>
      <c r="AP478" s="118"/>
      <c r="AQ478" s="118"/>
      <c r="AR478" s="118"/>
      <c r="AS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64"/>
      <c r="O479" s="161"/>
      <c r="P479" s="118"/>
      <c r="Q479" s="118"/>
      <c r="R479" s="117"/>
      <c r="S479" s="117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64"/>
      <c r="O480" s="161"/>
      <c r="P480" s="118"/>
      <c r="Q480" s="118"/>
      <c r="R480" s="117"/>
      <c r="S480" s="117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64"/>
      <c r="O481" s="161"/>
      <c r="P481" s="118"/>
      <c r="Q481" s="118"/>
      <c r="R481" s="117"/>
      <c r="S481" s="117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64"/>
      <c r="O482" s="161"/>
      <c r="P482" s="118"/>
      <c r="Q482" s="118"/>
      <c r="R482" s="117"/>
      <c r="S482" s="117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  <c r="AL482" s="118"/>
      <c r="AM482" s="118"/>
      <c r="AN482" s="118"/>
      <c r="AO482" s="118"/>
      <c r="AP482" s="118"/>
      <c r="AQ482" s="118"/>
      <c r="AR482" s="118"/>
      <c r="AS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64"/>
      <c r="O483" s="161"/>
      <c r="P483" s="118"/>
      <c r="Q483" s="118"/>
      <c r="R483" s="117"/>
      <c r="S483" s="117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  <c r="AL483" s="118"/>
      <c r="AM483" s="118"/>
      <c r="AN483" s="118"/>
      <c r="AO483" s="118"/>
      <c r="AP483" s="118"/>
      <c r="AQ483" s="118"/>
      <c r="AR483" s="118"/>
      <c r="AS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64"/>
      <c r="O484" s="161"/>
      <c r="P484" s="118"/>
      <c r="Q484" s="118"/>
      <c r="R484" s="117"/>
      <c r="S484" s="117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  <c r="AL484" s="118"/>
      <c r="AM484" s="118"/>
      <c r="AN484" s="118"/>
      <c r="AO484" s="118"/>
      <c r="AP484" s="118"/>
      <c r="AQ484" s="118"/>
      <c r="AR484" s="118"/>
      <c r="AS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64"/>
      <c r="O485" s="161"/>
      <c r="P485" s="118"/>
      <c r="Q485" s="118"/>
      <c r="R485" s="117"/>
      <c r="S485" s="117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  <c r="AL485" s="118"/>
      <c r="AM485" s="118"/>
      <c r="AN485" s="118"/>
      <c r="AO485" s="118"/>
      <c r="AP485" s="118"/>
      <c r="AQ485" s="118"/>
      <c r="AR485" s="118"/>
      <c r="AS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64"/>
      <c r="O486" s="161"/>
      <c r="P486" s="118"/>
      <c r="Q486" s="118"/>
      <c r="R486" s="117"/>
      <c r="S486" s="117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64"/>
      <c r="O487" s="161"/>
      <c r="P487" s="118"/>
      <c r="Q487" s="118"/>
      <c r="R487" s="117"/>
      <c r="S487" s="117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64"/>
      <c r="O488" s="161"/>
      <c r="P488" s="118"/>
      <c r="Q488" s="118"/>
      <c r="R488" s="117"/>
      <c r="S488" s="117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64"/>
      <c r="O489" s="161"/>
      <c r="P489" s="118"/>
      <c r="Q489" s="118"/>
      <c r="R489" s="117"/>
      <c r="S489" s="117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  <c r="AL489" s="118"/>
      <c r="AM489" s="118"/>
      <c r="AN489" s="118"/>
      <c r="AO489" s="118"/>
      <c r="AP489" s="118"/>
      <c r="AQ489" s="118"/>
      <c r="AR489" s="118"/>
      <c r="AS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64"/>
      <c r="O490" s="161"/>
      <c r="P490" s="118"/>
      <c r="Q490" s="118"/>
      <c r="R490" s="117"/>
      <c r="S490" s="117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64"/>
      <c r="O491" s="161"/>
      <c r="P491" s="118"/>
      <c r="Q491" s="118"/>
      <c r="R491" s="117"/>
      <c r="S491" s="117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  <c r="AL491" s="118"/>
      <c r="AM491" s="118"/>
      <c r="AN491" s="118"/>
      <c r="AO491" s="118"/>
      <c r="AP491" s="118"/>
      <c r="AQ491" s="118"/>
      <c r="AR491" s="118"/>
      <c r="AS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64"/>
      <c r="O492" s="161"/>
      <c r="P492" s="118"/>
      <c r="Q492" s="118"/>
      <c r="R492" s="117"/>
      <c r="S492" s="117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  <c r="AL492" s="118"/>
      <c r="AM492" s="118"/>
      <c r="AN492" s="118"/>
      <c r="AO492" s="118"/>
      <c r="AP492" s="118"/>
      <c r="AQ492" s="118"/>
      <c r="AR492" s="118"/>
      <c r="AS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64"/>
      <c r="O493" s="161"/>
      <c r="P493" s="118"/>
      <c r="Q493" s="118"/>
      <c r="R493" s="117"/>
      <c r="S493" s="117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64"/>
      <c r="O494" s="161"/>
      <c r="P494" s="118"/>
      <c r="Q494" s="118"/>
      <c r="R494" s="117"/>
      <c r="S494" s="117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64"/>
      <c r="O495" s="161"/>
      <c r="P495" s="118"/>
      <c r="Q495" s="118"/>
      <c r="R495" s="117"/>
      <c r="S495" s="117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  <c r="AL495" s="118"/>
      <c r="AM495" s="118"/>
      <c r="AN495" s="118"/>
      <c r="AO495" s="118"/>
      <c r="AP495" s="118"/>
      <c r="AQ495" s="118"/>
      <c r="AR495" s="118"/>
      <c r="AS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64"/>
      <c r="O496" s="161"/>
      <c r="P496" s="118"/>
      <c r="Q496" s="118"/>
      <c r="R496" s="117"/>
      <c r="S496" s="117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  <c r="AL496" s="118"/>
      <c r="AM496" s="118"/>
      <c r="AN496" s="118"/>
      <c r="AO496" s="118"/>
      <c r="AP496" s="118"/>
      <c r="AQ496" s="118"/>
      <c r="AR496" s="118"/>
      <c r="AS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64"/>
      <c r="O497" s="161"/>
      <c r="P497" s="118"/>
      <c r="Q497" s="118"/>
      <c r="R497" s="117"/>
      <c r="S497" s="117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  <c r="AL497" s="118"/>
      <c r="AM497" s="118"/>
      <c r="AN497" s="118"/>
      <c r="AO497" s="118"/>
      <c r="AP497" s="118"/>
      <c r="AQ497" s="118"/>
      <c r="AR497" s="118"/>
      <c r="AS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64"/>
      <c r="O498" s="161"/>
      <c r="P498" s="118"/>
      <c r="Q498" s="118"/>
      <c r="R498" s="117"/>
      <c r="S498" s="117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64"/>
      <c r="O499" s="161"/>
      <c r="P499" s="118"/>
      <c r="Q499" s="118"/>
      <c r="R499" s="117"/>
      <c r="S499" s="117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  <c r="AL499" s="118"/>
      <c r="AM499" s="118"/>
      <c r="AN499" s="118"/>
      <c r="AO499" s="118"/>
      <c r="AP499" s="118"/>
      <c r="AQ499" s="118"/>
      <c r="AR499" s="118"/>
      <c r="AS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64"/>
      <c r="O500" s="161"/>
      <c r="P500" s="118"/>
      <c r="Q500" s="118"/>
      <c r="R500" s="117"/>
      <c r="S500" s="117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  <c r="AL500" s="118"/>
      <c r="AM500" s="118"/>
      <c r="AN500" s="118"/>
      <c r="AO500" s="118"/>
      <c r="AP500" s="118"/>
      <c r="AQ500" s="118"/>
      <c r="AR500" s="118"/>
      <c r="AS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64"/>
      <c r="O501" s="161"/>
      <c r="P501" s="118"/>
      <c r="Q501" s="118"/>
      <c r="R501" s="117"/>
      <c r="S501" s="117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  <c r="AL501" s="118"/>
      <c r="AM501" s="118"/>
      <c r="AN501" s="118"/>
      <c r="AO501" s="118"/>
      <c r="AP501" s="118"/>
      <c r="AQ501" s="118"/>
      <c r="AR501" s="118"/>
      <c r="AS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64"/>
      <c r="O502" s="161"/>
      <c r="P502" s="118"/>
      <c r="Q502" s="118"/>
      <c r="R502" s="117"/>
      <c r="S502" s="117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64"/>
      <c r="O503" s="161"/>
      <c r="P503" s="118"/>
      <c r="Q503" s="118"/>
      <c r="R503" s="117"/>
      <c r="S503" s="117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  <c r="AL503" s="118"/>
      <c r="AM503" s="118"/>
      <c r="AN503" s="118"/>
      <c r="AO503" s="118"/>
      <c r="AP503" s="118"/>
      <c r="AQ503" s="118"/>
      <c r="AR503" s="118"/>
      <c r="AS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64"/>
      <c r="O504" s="161"/>
      <c r="P504" s="118"/>
      <c r="Q504" s="118"/>
      <c r="R504" s="117"/>
      <c r="S504" s="117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  <c r="AL504" s="118"/>
      <c r="AM504" s="118"/>
      <c r="AN504" s="118"/>
      <c r="AO504" s="118"/>
      <c r="AP504" s="118"/>
      <c r="AQ504" s="118"/>
      <c r="AR504" s="118"/>
      <c r="AS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64"/>
      <c r="O505" s="161"/>
      <c r="P505" s="118"/>
      <c r="Q505" s="118"/>
      <c r="R505" s="117"/>
      <c r="S505" s="117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  <c r="AL505" s="118"/>
      <c r="AM505" s="118"/>
      <c r="AN505" s="118"/>
      <c r="AO505" s="118"/>
      <c r="AP505" s="118"/>
      <c r="AQ505" s="118"/>
      <c r="AR505" s="118"/>
      <c r="AS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64"/>
      <c r="O506" s="161"/>
      <c r="P506" s="118"/>
      <c r="Q506" s="118"/>
      <c r="R506" s="117"/>
      <c r="S506" s="117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  <c r="AL506" s="118"/>
      <c r="AM506" s="118"/>
      <c r="AN506" s="118"/>
      <c r="AO506" s="118"/>
      <c r="AP506" s="118"/>
      <c r="AQ506" s="118"/>
      <c r="AR506" s="118"/>
      <c r="AS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64"/>
      <c r="O507" s="161"/>
      <c r="P507" s="118"/>
      <c r="Q507" s="118"/>
      <c r="R507" s="117"/>
      <c r="S507" s="117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  <c r="AL507" s="118"/>
      <c r="AM507" s="118"/>
      <c r="AN507" s="118"/>
      <c r="AO507" s="118"/>
      <c r="AP507" s="118"/>
      <c r="AQ507" s="118"/>
      <c r="AR507" s="118"/>
      <c r="AS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64"/>
      <c r="O508" s="161"/>
      <c r="P508" s="118"/>
      <c r="Q508" s="118"/>
      <c r="R508" s="117"/>
      <c r="S508" s="117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  <c r="AL508" s="118"/>
      <c r="AM508" s="118"/>
      <c r="AN508" s="118"/>
      <c r="AO508" s="118"/>
      <c r="AP508" s="118"/>
      <c r="AQ508" s="118"/>
      <c r="AR508" s="118"/>
      <c r="AS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64"/>
      <c r="O509" s="161"/>
      <c r="P509" s="118"/>
      <c r="Q509" s="118"/>
      <c r="R509" s="117"/>
      <c r="S509" s="117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  <c r="AL509" s="118"/>
      <c r="AM509" s="118"/>
      <c r="AN509" s="118"/>
      <c r="AO509" s="118"/>
      <c r="AP509" s="118"/>
      <c r="AQ509" s="118"/>
      <c r="AR509" s="118"/>
      <c r="AS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64"/>
      <c r="O510" s="161"/>
      <c r="P510" s="118"/>
      <c r="Q510" s="118"/>
      <c r="R510" s="117"/>
      <c r="S510" s="117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  <c r="AL510" s="118"/>
      <c r="AM510" s="118"/>
      <c r="AN510" s="118"/>
      <c r="AO510" s="118"/>
      <c r="AP510" s="118"/>
      <c r="AQ510" s="118"/>
      <c r="AR510" s="118"/>
      <c r="AS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64"/>
      <c r="O511" s="161"/>
      <c r="P511" s="118"/>
      <c r="Q511" s="118"/>
      <c r="R511" s="117"/>
      <c r="S511" s="117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  <c r="AL511" s="118"/>
      <c r="AM511" s="118"/>
      <c r="AN511" s="118"/>
      <c r="AO511" s="118"/>
      <c r="AP511" s="118"/>
      <c r="AQ511" s="118"/>
      <c r="AR511" s="118"/>
      <c r="AS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64"/>
      <c r="O512" s="161"/>
      <c r="P512" s="118"/>
      <c r="Q512" s="118"/>
      <c r="R512" s="117"/>
      <c r="S512" s="117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64"/>
      <c r="O513" s="161"/>
      <c r="P513" s="118"/>
      <c r="Q513" s="118"/>
      <c r="R513" s="117"/>
      <c r="S513" s="117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  <c r="AL513" s="118"/>
      <c r="AM513" s="118"/>
      <c r="AN513" s="118"/>
      <c r="AO513" s="118"/>
      <c r="AP513" s="118"/>
      <c r="AQ513" s="118"/>
      <c r="AR513" s="118"/>
      <c r="AS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64"/>
      <c r="O514" s="161"/>
      <c r="P514" s="118"/>
      <c r="Q514" s="118"/>
      <c r="R514" s="117"/>
      <c r="S514" s="117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  <c r="AL514" s="118"/>
      <c r="AM514" s="118"/>
      <c r="AN514" s="118"/>
      <c r="AO514" s="118"/>
      <c r="AP514" s="118"/>
      <c r="AQ514" s="118"/>
      <c r="AR514" s="118"/>
      <c r="AS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64"/>
      <c r="O515" s="161"/>
      <c r="P515" s="118"/>
      <c r="Q515" s="118"/>
      <c r="R515" s="117"/>
      <c r="S515" s="117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  <c r="AL515" s="118"/>
      <c r="AM515" s="118"/>
      <c r="AN515" s="118"/>
      <c r="AO515" s="118"/>
      <c r="AP515" s="118"/>
      <c r="AQ515" s="118"/>
      <c r="AR515" s="118"/>
      <c r="AS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64"/>
      <c r="O516" s="161"/>
      <c r="P516" s="118"/>
      <c r="Q516" s="118"/>
      <c r="R516" s="117"/>
      <c r="S516" s="117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  <c r="AL516" s="118"/>
      <c r="AM516" s="118"/>
      <c r="AN516" s="118"/>
      <c r="AO516" s="118"/>
      <c r="AP516" s="118"/>
      <c r="AQ516" s="118"/>
      <c r="AR516" s="118"/>
      <c r="AS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64"/>
      <c r="O517" s="161"/>
      <c r="P517" s="118"/>
      <c r="Q517" s="118"/>
      <c r="R517" s="117"/>
      <c r="S517" s="117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  <c r="AL517" s="118"/>
      <c r="AM517" s="118"/>
      <c r="AN517" s="118"/>
      <c r="AO517" s="118"/>
      <c r="AP517" s="118"/>
      <c r="AQ517" s="118"/>
      <c r="AR517" s="118"/>
      <c r="AS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64"/>
      <c r="O518" s="161"/>
      <c r="P518" s="118"/>
      <c r="Q518" s="118"/>
      <c r="R518" s="117"/>
      <c r="S518" s="117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8"/>
      <c r="AN518" s="118"/>
      <c r="AO518" s="118"/>
      <c r="AP518" s="118"/>
      <c r="AQ518" s="118"/>
      <c r="AR518" s="118"/>
      <c r="AS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64"/>
      <c r="O519" s="161"/>
      <c r="P519" s="118"/>
      <c r="Q519" s="118"/>
      <c r="R519" s="117"/>
      <c r="S519" s="117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  <c r="AL519" s="118"/>
      <c r="AM519" s="118"/>
      <c r="AN519" s="118"/>
      <c r="AO519" s="118"/>
      <c r="AP519" s="118"/>
      <c r="AQ519" s="118"/>
      <c r="AR519" s="118"/>
      <c r="AS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64"/>
      <c r="O520" s="161"/>
      <c r="P520" s="118"/>
      <c r="Q520" s="118"/>
      <c r="R520" s="117"/>
      <c r="S520" s="117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  <c r="AL520" s="118"/>
      <c r="AM520" s="118"/>
      <c r="AN520" s="118"/>
      <c r="AO520" s="118"/>
      <c r="AP520" s="118"/>
      <c r="AQ520" s="118"/>
      <c r="AR520" s="118"/>
      <c r="AS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64"/>
      <c r="O521" s="161"/>
      <c r="P521" s="118"/>
      <c r="Q521" s="118"/>
      <c r="R521" s="117"/>
      <c r="S521" s="117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AK521" s="118"/>
      <c r="AL521" s="118"/>
      <c r="AM521" s="118"/>
      <c r="AN521" s="118"/>
      <c r="AO521" s="118"/>
      <c r="AP521" s="118"/>
      <c r="AQ521" s="118"/>
      <c r="AR521" s="118"/>
      <c r="AS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64"/>
      <c r="O522" s="161"/>
      <c r="P522" s="118"/>
      <c r="Q522" s="118"/>
      <c r="R522" s="117"/>
      <c r="S522" s="117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  <c r="AL522" s="118"/>
      <c r="AM522" s="118"/>
      <c r="AN522" s="118"/>
      <c r="AO522" s="118"/>
      <c r="AP522" s="118"/>
      <c r="AQ522" s="118"/>
      <c r="AR522" s="118"/>
      <c r="AS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64"/>
      <c r="O523" s="161"/>
      <c r="P523" s="118"/>
      <c r="Q523" s="118"/>
      <c r="R523" s="117"/>
      <c r="S523" s="117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  <c r="AL523" s="118"/>
      <c r="AM523" s="118"/>
      <c r="AN523" s="118"/>
      <c r="AO523" s="118"/>
      <c r="AP523" s="118"/>
      <c r="AQ523" s="118"/>
      <c r="AR523" s="118"/>
      <c r="AS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64"/>
      <c r="O524" s="161"/>
      <c r="P524" s="118"/>
      <c r="Q524" s="118"/>
      <c r="R524" s="117"/>
      <c r="S524" s="117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  <c r="AL524" s="118"/>
      <c r="AM524" s="118"/>
      <c r="AN524" s="118"/>
      <c r="AO524" s="118"/>
      <c r="AP524" s="118"/>
      <c r="AQ524" s="118"/>
      <c r="AR524" s="118"/>
      <c r="AS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64"/>
      <c r="O525" s="161"/>
      <c r="P525" s="118"/>
      <c r="Q525" s="118"/>
      <c r="R525" s="117"/>
      <c r="S525" s="117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  <c r="AL525" s="118"/>
      <c r="AM525" s="118"/>
      <c r="AN525" s="118"/>
      <c r="AO525" s="118"/>
      <c r="AP525" s="118"/>
      <c r="AQ525" s="118"/>
      <c r="AR525" s="118"/>
      <c r="AS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64"/>
      <c r="O526" s="161"/>
      <c r="P526" s="118"/>
      <c r="Q526" s="118"/>
      <c r="R526" s="117"/>
      <c r="S526" s="117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  <c r="AL526" s="118"/>
      <c r="AM526" s="118"/>
      <c r="AN526" s="118"/>
      <c r="AO526" s="118"/>
      <c r="AP526" s="118"/>
      <c r="AQ526" s="118"/>
      <c r="AR526" s="118"/>
      <c r="AS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64"/>
      <c r="O527" s="161"/>
      <c r="P527" s="118"/>
      <c r="Q527" s="118"/>
      <c r="R527" s="117"/>
      <c r="S527" s="117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  <c r="AL527" s="118"/>
      <c r="AM527" s="118"/>
      <c r="AN527" s="118"/>
      <c r="AO527" s="118"/>
      <c r="AP527" s="118"/>
      <c r="AQ527" s="118"/>
      <c r="AR527" s="118"/>
      <c r="AS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64"/>
      <c r="O528" s="161"/>
      <c r="P528" s="118"/>
      <c r="Q528" s="118"/>
      <c r="R528" s="117"/>
      <c r="S528" s="117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  <c r="AL528" s="118"/>
      <c r="AM528" s="118"/>
      <c r="AN528" s="118"/>
      <c r="AO528" s="118"/>
      <c r="AP528" s="118"/>
      <c r="AQ528" s="118"/>
      <c r="AR528" s="118"/>
      <c r="AS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64"/>
      <c r="O529" s="161"/>
      <c r="P529" s="118"/>
      <c r="Q529" s="118"/>
      <c r="R529" s="117"/>
      <c r="S529" s="117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  <c r="AI529" s="118"/>
      <c r="AJ529" s="118"/>
      <c r="AK529" s="118"/>
      <c r="AL529" s="118"/>
      <c r="AM529" s="118"/>
      <c r="AN529" s="118"/>
      <c r="AO529" s="118"/>
      <c r="AP529" s="118"/>
      <c r="AQ529" s="118"/>
      <c r="AR529" s="118"/>
      <c r="AS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64"/>
      <c r="O530" s="161"/>
      <c r="P530" s="118"/>
      <c r="Q530" s="118"/>
      <c r="R530" s="117"/>
      <c r="S530" s="117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  <c r="AI530" s="118"/>
      <c r="AJ530" s="118"/>
      <c r="AK530" s="118"/>
      <c r="AL530" s="118"/>
      <c r="AM530" s="118"/>
      <c r="AN530" s="118"/>
      <c r="AO530" s="118"/>
      <c r="AP530" s="118"/>
      <c r="AQ530" s="118"/>
      <c r="AR530" s="118"/>
      <c r="AS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64"/>
      <c r="O531" s="161"/>
      <c r="P531" s="118"/>
      <c r="Q531" s="118"/>
      <c r="R531" s="117"/>
      <c r="S531" s="117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  <c r="AI531" s="118"/>
      <c r="AJ531" s="118"/>
      <c r="AK531" s="118"/>
      <c r="AL531" s="118"/>
      <c r="AM531" s="118"/>
      <c r="AN531" s="118"/>
      <c r="AO531" s="118"/>
      <c r="AP531" s="118"/>
      <c r="AQ531" s="118"/>
      <c r="AR531" s="118"/>
      <c r="AS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64"/>
      <c r="O532" s="161"/>
      <c r="P532" s="118"/>
      <c r="Q532" s="118"/>
      <c r="R532" s="117"/>
      <c r="S532" s="117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  <c r="AI532" s="118"/>
      <c r="AJ532" s="118"/>
      <c r="AK532" s="118"/>
      <c r="AL532" s="118"/>
      <c r="AM532" s="118"/>
      <c r="AN532" s="118"/>
      <c r="AO532" s="118"/>
      <c r="AP532" s="118"/>
      <c r="AQ532" s="118"/>
      <c r="AR532" s="118"/>
      <c r="AS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64"/>
      <c r="O533" s="161"/>
      <c r="P533" s="118"/>
      <c r="Q533" s="118"/>
      <c r="R533" s="117"/>
      <c r="S533" s="117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  <c r="AI533" s="118"/>
      <c r="AJ533" s="118"/>
      <c r="AK533" s="118"/>
      <c r="AL533" s="118"/>
      <c r="AM533" s="118"/>
      <c r="AN533" s="118"/>
      <c r="AO533" s="118"/>
      <c r="AP533" s="118"/>
      <c r="AQ533" s="118"/>
      <c r="AR533" s="118"/>
      <c r="AS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64"/>
      <c r="O534" s="161"/>
      <c r="P534" s="118"/>
      <c r="Q534" s="118"/>
      <c r="R534" s="117"/>
      <c r="S534" s="117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64"/>
      <c r="O535" s="161"/>
      <c r="P535" s="118"/>
      <c r="Q535" s="118"/>
      <c r="R535" s="117"/>
      <c r="S535" s="117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  <c r="AL535" s="118"/>
      <c r="AM535" s="118"/>
      <c r="AN535" s="118"/>
      <c r="AO535" s="118"/>
      <c r="AP535" s="118"/>
      <c r="AQ535" s="118"/>
      <c r="AR535" s="118"/>
      <c r="AS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64"/>
      <c r="O536" s="161"/>
      <c r="P536" s="118"/>
      <c r="Q536" s="118"/>
      <c r="R536" s="117"/>
      <c r="S536" s="117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  <c r="AL536" s="118"/>
      <c r="AM536" s="118"/>
      <c r="AN536" s="118"/>
      <c r="AO536" s="118"/>
      <c r="AP536" s="118"/>
      <c r="AQ536" s="118"/>
      <c r="AR536" s="118"/>
      <c r="AS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64"/>
      <c r="O537" s="161"/>
      <c r="P537" s="118"/>
      <c r="Q537" s="118"/>
      <c r="R537" s="117"/>
      <c r="S537" s="117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  <c r="AL537" s="118"/>
      <c r="AM537" s="118"/>
      <c r="AN537" s="118"/>
      <c r="AO537" s="118"/>
      <c r="AP537" s="118"/>
      <c r="AQ537" s="118"/>
      <c r="AR537" s="118"/>
      <c r="AS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64"/>
      <c r="O538" s="161"/>
      <c r="P538" s="118"/>
      <c r="Q538" s="118"/>
      <c r="R538" s="117"/>
      <c r="S538" s="117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  <c r="AL538" s="118"/>
      <c r="AM538" s="118"/>
      <c r="AN538" s="118"/>
      <c r="AO538" s="118"/>
      <c r="AP538" s="118"/>
      <c r="AQ538" s="118"/>
      <c r="AR538" s="118"/>
      <c r="AS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64"/>
      <c r="O539" s="161"/>
      <c r="P539" s="118"/>
      <c r="Q539" s="118"/>
      <c r="R539" s="117"/>
      <c r="S539" s="117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  <c r="AL539" s="118"/>
      <c r="AM539" s="118"/>
      <c r="AN539" s="118"/>
      <c r="AO539" s="118"/>
      <c r="AP539" s="118"/>
      <c r="AQ539" s="118"/>
      <c r="AR539" s="118"/>
      <c r="AS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64"/>
      <c r="O540" s="161"/>
      <c r="P540" s="118"/>
      <c r="Q540" s="118"/>
      <c r="R540" s="117"/>
      <c r="S540" s="117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  <c r="AL540" s="118"/>
      <c r="AM540" s="118"/>
      <c r="AN540" s="118"/>
      <c r="AO540" s="118"/>
      <c r="AP540" s="118"/>
      <c r="AQ540" s="118"/>
      <c r="AR540" s="118"/>
      <c r="AS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64"/>
      <c r="O541" s="161"/>
      <c r="P541" s="118"/>
      <c r="Q541" s="118"/>
      <c r="R541" s="117"/>
      <c r="S541" s="117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  <c r="AL541" s="118"/>
      <c r="AM541" s="118"/>
      <c r="AN541" s="118"/>
      <c r="AO541" s="118"/>
      <c r="AP541" s="118"/>
      <c r="AQ541" s="118"/>
      <c r="AR541" s="118"/>
      <c r="AS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64"/>
      <c r="O542" s="161"/>
      <c r="P542" s="118"/>
      <c r="Q542" s="118"/>
      <c r="R542" s="117"/>
      <c r="S542" s="117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  <c r="AL542" s="118"/>
      <c r="AM542" s="118"/>
      <c r="AN542" s="118"/>
      <c r="AO542" s="118"/>
      <c r="AP542" s="118"/>
      <c r="AQ542" s="118"/>
      <c r="AR542" s="118"/>
      <c r="AS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64"/>
      <c r="O543" s="161"/>
      <c r="P543" s="118"/>
      <c r="Q543" s="118"/>
      <c r="R543" s="117"/>
      <c r="S543" s="117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  <c r="AL543" s="118"/>
      <c r="AM543" s="118"/>
      <c r="AN543" s="118"/>
      <c r="AO543" s="118"/>
      <c r="AP543" s="118"/>
      <c r="AQ543" s="118"/>
      <c r="AR543" s="118"/>
      <c r="AS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64"/>
      <c r="O544" s="161"/>
      <c r="P544" s="118"/>
      <c r="Q544" s="118"/>
      <c r="R544" s="117"/>
      <c r="S544" s="117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64"/>
      <c r="O545" s="161"/>
      <c r="P545" s="118"/>
      <c r="Q545" s="118"/>
      <c r="R545" s="117"/>
      <c r="S545" s="117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  <c r="AL545" s="118"/>
      <c r="AM545" s="118"/>
      <c r="AN545" s="118"/>
      <c r="AO545" s="118"/>
      <c r="AP545" s="118"/>
      <c r="AQ545" s="118"/>
      <c r="AR545" s="118"/>
      <c r="AS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64"/>
      <c r="O546" s="161"/>
      <c r="P546" s="118"/>
      <c r="Q546" s="118"/>
      <c r="R546" s="117"/>
      <c r="S546" s="117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  <c r="AL546" s="118"/>
      <c r="AM546" s="118"/>
      <c r="AN546" s="118"/>
      <c r="AO546" s="118"/>
      <c r="AP546" s="118"/>
      <c r="AQ546" s="118"/>
      <c r="AR546" s="118"/>
      <c r="AS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64"/>
      <c r="O547" s="161"/>
      <c r="P547" s="118"/>
      <c r="Q547" s="118"/>
      <c r="R547" s="117"/>
      <c r="S547" s="117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  <c r="AL547" s="118"/>
      <c r="AM547" s="118"/>
      <c r="AN547" s="118"/>
      <c r="AO547" s="118"/>
      <c r="AP547" s="118"/>
      <c r="AQ547" s="118"/>
      <c r="AR547" s="118"/>
      <c r="AS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64"/>
      <c r="O548" s="161"/>
      <c r="P548" s="118"/>
      <c r="Q548" s="118"/>
      <c r="R548" s="117"/>
      <c r="S548" s="117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  <c r="AO548" s="118"/>
      <c r="AP548" s="118"/>
      <c r="AQ548" s="118"/>
      <c r="AR548" s="118"/>
      <c r="AS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64"/>
      <c r="O549" s="161"/>
      <c r="P549" s="118"/>
      <c r="Q549" s="118"/>
      <c r="R549" s="117"/>
      <c r="S549" s="117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  <c r="AL549" s="118"/>
      <c r="AM549" s="118"/>
      <c r="AN549" s="118"/>
      <c r="AO549" s="118"/>
      <c r="AP549" s="118"/>
      <c r="AQ549" s="118"/>
      <c r="AR549" s="118"/>
      <c r="AS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64"/>
      <c r="O550" s="161"/>
      <c r="P550" s="118"/>
      <c r="Q550" s="118"/>
      <c r="R550" s="117"/>
      <c r="S550" s="117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8"/>
      <c r="AM550" s="118"/>
      <c r="AN550" s="118"/>
      <c r="AO550" s="118"/>
      <c r="AP550" s="118"/>
      <c r="AQ550" s="118"/>
      <c r="AR550" s="118"/>
      <c r="AS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64"/>
      <c r="O551" s="161"/>
      <c r="P551" s="118"/>
      <c r="Q551" s="118"/>
      <c r="R551" s="117"/>
      <c r="S551" s="117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64"/>
      <c r="O552" s="161"/>
      <c r="P552" s="118"/>
      <c r="Q552" s="118"/>
      <c r="R552" s="117"/>
      <c r="S552" s="117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8"/>
      <c r="AM552" s="118"/>
      <c r="AN552" s="118"/>
      <c r="AO552" s="118"/>
      <c r="AP552" s="118"/>
      <c r="AQ552" s="118"/>
      <c r="AR552" s="118"/>
      <c r="AS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64"/>
      <c r="O553" s="161"/>
      <c r="P553" s="118"/>
      <c r="Q553" s="118"/>
      <c r="R553" s="117"/>
      <c r="S553" s="117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  <c r="AL553" s="118"/>
      <c r="AM553" s="118"/>
      <c r="AN553" s="118"/>
      <c r="AO553" s="118"/>
      <c r="AP553" s="118"/>
      <c r="AQ553" s="118"/>
      <c r="AR553" s="118"/>
      <c r="AS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64"/>
      <c r="O554" s="161"/>
      <c r="P554" s="118"/>
      <c r="Q554" s="118"/>
      <c r="R554" s="117"/>
      <c r="S554" s="117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  <c r="AL554" s="118"/>
      <c r="AM554" s="118"/>
      <c r="AN554" s="118"/>
      <c r="AO554" s="118"/>
      <c r="AP554" s="118"/>
      <c r="AQ554" s="118"/>
      <c r="AR554" s="118"/>
      <c r="AS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64"/>
      <c r="O555" s="161"/>
      <c r="P555" s="118"/>
      <c r="Q555" s="118"/>
      <c r="R555" s="117"/>
      <c r="S555" s="117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  <c r="AL555" s="118"/>
      <c r="AM555" s="118"/>
      <c r="AN555" s="118"/>
      <c r="AO555" s="118"/>
      <c r="AP555" s="118"/>
      <c r="AQ555" s="118"/>
      <c r="AR555" s="118"/>
      <c r="AS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64"/>
      <c r="O556" s="161"/>
      <c r="P556" s="118"/>
      <c r="Q556" s="118"/>
      <c r="R556" s="117"/>
      <c r="S556" s="117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8"/>
      <c r="AN556" s="118"/>
      <c r="AO556" s="118"/>
      <c r="AP556" s="118"/>
      <c r="AQ556" s="118"/>
      <c r="AR556" s="118"/>
      <c r="AS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64"/>
      <c r="O557" s="161"/>
      <c r="P557" s="118"/>
      <c r="Q557" s="118"/>
      <c r="R557" s="117"/>
      <c r="S557" s="117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  <c r="AL557" s="118"/>
      <c r="AM557" s="118"/>
      <c r="AN557" s="118"/>
      <c r="AO557" s="118"/>
      <c r="AP557" s="118"/>
      <c r="AQ557" s="118"/>
      <c r="AR557" s="118"/>
      <c r="AS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64"/>
      <c r="O558" s="161"/>
      <c r="P558" s="118"/>
      <c r="Q558" s="118"/>
      <c r="R558" s="117"/>
      <c r="S558" s="117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  <c r="AL558" s="118"/>
      <c r="AM558" s="118"/>
      <c r="AN558" s="118"/>
      <c r="AO558" s="118"/>
      <c r="AP558" s="118"/>
      <c r="AQ558" s="118"/>
      <c r="AR558" s="118"/>
      <c r="AS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64"/>
      <c r="O559" s="161"/>
      <c r="P559" s="118"/>
      <c r="Q559" s="118"/>
      <c r="R559" s="117"/>
      <c r="S559" s="117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  <c r="AL559" s="118"/>
      <c r="AM559" s="118"/>
      <c r="AN559" s="118"/>
      <c r="AO559" s="118"/>
      <c r="AP559" s="118"/>
      <c r="AQ559" s="118"/>
      <c r="AR559" s="118"/>
      <c r="AS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64"/>
      <c r="O560" s="161"/>
      <c r="P560" s="118"/>
      <c r="Q560" s="118"/>
      <c r="R560" s="117"/>
      <c r="S560" s="117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  <c r="AI560" s="118"/>
      <c r="AJ560" s="118"/>
      <c r="AK560" s="118"/>
      <c r="AL560" s="118"/>
      <c r="AM560" s="118"/>
      <c r="AN560" s="118"/>
      <c r="AO560" s="118"/>
      <c r="AP560" s="118"/>
      <c r="AQ560" s="118"/>
      <c r="AR560" s="118"/>
      <c r="AS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64"/>
      <c r="O561" s="161"/>
      <c r="P561" s="118"/>
      <c r="Q561" s="118"/>
      <c r="R561" s="117"/>
      <c r="S561" s="117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  <c r="AI561" s="118"/>
      <c r="AJ561" s="118"/>
      <c r="AK561" s="118"/>
      <c r="AL561" s="118"/>
      <c r="AM561" s="118"/>
      <c r="AN561" s="118"/>
      <c r="AO561" s="118"/>
      <c r="AP561" s="118"/>
      <c r="AQ561" s="118"/>
      <c r="AR561" s="118"/>
      <c r="AS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64"/>
      <c r="O562" s="161"/>
      <c r="P562" s="118"/>
      <c r="Q562" s="118"/>
      <c r="R562" s="117"/>
      <c r="S562" s="117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  <c r="AI562" s="118"/>
      <c r="AJ562" s="118"/>
      <c r="AK562" s="118"/>
      <c r="AL562" s="118"/>
      <c r="AM562" s="118"/>
      <c r="AN562" s="118"/>
      <c r="AO562" s="118"/>
      <c r="AP562" s="118"/>
      <c r="AQ562" s="118"/>
      <c r="AR562" s="118"/>
      <c r="AS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64"/>
      <c r="O563" s="161"/>
      <c r="P563" s="118"/>
      <c r="Q563" s="118"/>
      <c r="R563" s="117"/>
      <c r="S563" s="117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  <c r="AI563" s="118"/>
      <c r="AJ563" s="118"/>
      <c r="AK563" s="118"/>
      <c r="AL563" s="118"/>
      <c r="AM563" s="118"/>
      <c r="AN563" s="118"/>
      <c r="AO563" s="118"/>
      <c r="AP563" s="118"/>
      <c r="AQ563" s="118"/>
      <c r="AR563" s="118"/>
      <c r="AS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64"/>
      <c r="O564" s="161"/>
      <c r="P564" s="118"/>
      <c r="Q564" s="118"/>
      <c r="R564" s="117"/>
      <c r="S564" s="117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64"/>
      <c r="O565" s="161"/>
      <c r="P565" s="118"/>
      <c r="Q565" s="118"/>
      <c r="R565" s="117"/>
      <c r="S565" s="117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  <c r="AI565" s="118"/>
      <c r="AJ565" s="118"/>
      <c r="AK565" s="118"/>
      <c r="AL565" s="118"/>
      <c r="AM565" s="118"/>
      <c r="AN565" s="118"/>
      <c r="AO565" s="118"/>
      <c r="AP565" s="118"/>
      <c r="AQ565" s="118"/>
      <c r="AR565" s="118"/>
      <c r="AS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64"/>
      <c r="O566" s="161"/>
      <c r="P566" s="118"/>
      <c r="Q566" s="118"/>
      <c r="R566" s="117"/>
      <c r="S566" s="117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  <c r="AI566" s="118"/>
      <c r="AJ566" s="118"/>
      <c r="AK566" s="118"/>
      <c r="AL566" s="118"/>
      <c r="AM566" s="118"/>
      <c r="AN566" s="118"/>
      <c r="AO566" s="118"/>
      <c r="AP566" s="118"/>
      <c r="AQ566" s="118"/>
      <c r="AR566" s="118"/>
      <c r="AS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64"/>
      <c r="O567" s="161"/>
      <c r="P567" s="118"/>
      <c r="Q567" s="118"/>
      <c r="R567" s="117"/>
      <c r="S567" s="117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  <c r="AI567" s="118"/>
      <c r="AJ567" s="118"/>
      <c r="AK567" s="118"/>
      <c r="AL567" s="118"/>
      <c r="AM567" s="118"/>
      <c r="AN567" s="118"/>
      <c r="AO567" s="118"/>
      <c r="AP567" s="118"/>
      <c r="AQ567" s="118"/>
      <c r="AR567" s="118"/>
      <c r="AS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64"/>
      <c r="O568" s="161"/>
      <c r="P568" s="118"/>
      <c r="Q568" s="118"/>
      <c r="R568" s="117"/>
      <c r="S568" s="117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  <c r="AI568" s="118"/>
      <c r="AJ568" s="118"/>
      <c r="AK568" s="118"/>
      <c r="AL568" s="118"/>
      <c r="AM568" s="118"/>
      <c r="AN568" s="118"/>
      <c r="AO568" s="118"/>
      <c r="AP568" s="118"/>
      <c r="AQ568" s="118"/>
      <c r="AR568" s="118"/>
      <c r="AS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64"/>
      <c r="O569" s="161"/>
      <c r="P569" s="118"/>
      <c r="Q569" s="118"/>
      <c r="R569" s="117"/>
      <c r="S569" s="117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  <c r="AI569" s="118"/>
      <c r="AJ569" s="118"/>
      <c r="AK569" s="118"/>
      <c r="AL569" s="118"/>
      <c r="AM569" s="118"/>
      <c r="AN569" s="118"/>
      <c r="AO569" s="118"/>
      <c r="AP569" s="118"/>
      <c r="AQ569" s="118"/>
      <c r="AR569" s="118"/>
      <c r="AS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64"/>
      <c r="O570" s="161"/>
      <c r="P570" s="118"/>
      <c r="Q570" s="118"/>
      <c r="R570" s="117"/>
      <c r="S570" s="117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  <c r="AI570" s="118"/>
      <c r="AJ570" s="118"/>
      <c r="AK570" s="118"/>
      <c r="AL570" s="118"/>
      <c r="AM570" s="118"/>
      <c r="AN570" s="118"/>
      <c r="AO570" s="118"/>
      <c r="AP570" s="118"/>
      <c r="AQ570" s="118"/>
      <c r="AR570" s="118"/>
      <c r="AS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64"/>
      <c r="O571" s="161"/>
      <c r="P571" s="118"/>
      <c r="Q571" s="118"/>
      <c r="R571" s="117"/>
      <c r="S571" s="117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  <c r="AI571" s="118"/>
      <c r="AJ571" s="118"/>
      <c r="AK571" s="118"/>
      <c r="AL571" s="118"/>
      <c r="AM571" s="118"/>
      <c r="AN571" s="118"/>
      <c r="AO571" s="118"/>
      <c r="AP571" s="118"/>
      <c r="AQ571" s="118"/>
      <c r="AR571" s="118"/>
      <c r="AS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64"/>
      <c r="O572" s="161"/>
      <c r="P572" s="118"/>
      <c r="Q572" s="118"/>
      <c r="R572" s="117"/>
      <c r="S572" s="117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  <c r="AI572" s="118"/>
      <c r="AJ572" s="118"/>
      <c r="AK572" s="118"/>
      <c r="AL572" s="118"/>
      <c r="AM572" s="118"/>
      <c r="AN572" s="118"/>
      <c r="AO572" s="118"/>
      <c r="AP572" s="118"/>
      <c r="AQ572" s="118"/>
      <c r="AR572" s="118"/>
      <c r="AS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64"/>
      <c r="O573" s="161"/>
      <c r="P573" s="118"/>
      <c r="Q573" s="118"/>
      <c r="R573" s="117"/>
      <c r="S573" s="117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  <c r="AI573" s="118"/>
      <c r="AJ573" s="118"/>
      <c r="AK573" s="118"/>
      <c r="AL573" s="118"/>
      <c r="AM573" s="118"/>
      <c r="AN573" s="118"/>
      <c r="AO573" s="118"/>
      <c r="AP573" s="118"/>
      <c r="AQ573" s="118"/>
      <c r="AR573" s="118"/>
      <c r="AS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64"/>
      <c r="O574" s="161"/>
      <c r="P574" s="118"/>
      <c r="Q574" s="118"/>
      <c r="R574" s="117"/>
      <c r="S574" s="117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  <c r="AL574" s="118"/>
      <c r="AM574" s="118"/>
      <c r="AN574" s="118"/>
      <c r="AO574" s="118"/>
      <c r="AP574" s="118"/>
      <c r="AQ574" s="118"/>
      <c r="AR574" s="118"/>
      <c r="AS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64"/>
      <c r="O575" s="161"/>
      <c r="P575" s="118"/>
      <c r="Q575" s="118"/>
      <c r="R575" s="117"/>
      <c r="S575" s="117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  <c r="AL575" s="118"/>
      <c r="AM575" s="118"/>
      <c r="AN575" s="118"/>
      <c r="AO575" s="118"/>
      <c r="AP575" s="118"/>
      <c r="AQ575" s="118"/>
      <c r="AR575" s="118"/>
      <c r="AS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64"/>
      <c r="O576" s="161"/>
      <c r="P576" s="118"/>
      <c r="Q576" s="118"/>
      <c r="R576" s="117"/>
      <c r="S576" s="117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  <c r="AL576" s="118"/>
      <c r="AM576" s="118"/>
      <c r="AN576" s="118"/>
      <c r="AO576" s="118"/>
      <c r="AP576" s="118"/>
      <c r="AQ576" s="118"/>
      <c r="AR576" s="118"/>
      <c r="AS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64"/>
      <c r="O577" s="161"/>
      <c r="P577" s="118"/>
      <c r="Q577" s="118"/>
      <c r="R577" s="117"/>
      <c r="S577" s="117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  <c r="AI577" s="118"/>
      <c r="AJ577" s="118"/>
      <c r="AK577" s="118"/>
      <c r="AL577" s="118"/>
      <c r="AM577" s="118"/>
      <c r="AN577" s="118"/>
      <c r="AO577" s="118"/>
      <c r="AP577" s="118"/>
      <c r="AQ577" s="118"/>
      <c r="AR577" s="118"/>
      <c r="AS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64"/>
      <c r="O578" s="161"/>
      <c r="P578" s="118"/>
      <c r="Q578" s="118"/>
      <c r="R578" s="117"/>
      <c r="S578" s="117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64"/>
      <c r="O579" s="161"/>
      <c r="P579" s="118"/>
      <c r="Q579" s="118"/>
      <c r="R579" s="117"/>
      <c r="S579" s="117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  <c r="AI579" s="118"/>
      <c r="AJ579" s="118"/>
      <c r="AK579" s="118"/>
      <c r="AL579" s="118"/>
      <c r="AM579" s="118"/>
      <c r="AN579" s="118"/>
      <c r="AO579" s="118"/>
      <c r="AP579" s="118"/>
      <c r="AQ579" s="118"/>
      <c r="AR579" s="118"/>
      <c r="AS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64"/>
      <c r="O580" s="161"/>
      <c r="P580" s="118"/>
      <c r="Q580" s="118"/>
      <c r="R580" s="117"/>
      <c r="S580" s="117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  <c r="AI580" s="118"/>
      <c r="AJ580" s="118"/>
      <c r="AK580" s="118"/>
      <c r="AL580" s="118"/>
      <c r="AM580" s="118"/>
      <c r="AN580" s="118"/>
      <c r="AO580" s="118"/>
      <c r="AP580" s="118"/>
      <c r="AQ580" s="118"/>
      <c r="AR580" s="118"/>
      <c r="AS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64"/>
      <c r="O581" s="161"/>
      <c r="P581" s="118"/>
      <c r="Q581" s="118"/>
      <c r="R581" s="117"/>
      <c r="S581" s="117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118"/>
      <c r="AN581" s="118"/>
      <c r="AO581" s="118"/>
      <c r="AP581" s="118"/>
      <c r="AQ581" s="118"/>
      <c r="AR581" s="118"/>
      <c r="AS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64"/>
      <c r="O582" s="161"/>
      <c r="P582" s="118"/>
      <c r="Q582" s="118"/>
      <c r="R582" s="117"/>
      <c r="S582" s="117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118"/>
      <c r="AN582" s="118"/>
      <c r="AO582" s="118"/>
      <c r="AP582" s="118"/>
      <c r="AQ582" s="118"/>
      <c r="AR582" s="118"/>
      <c r="AS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64"/>
      <c r="O583" s="161"/>
      <c r="P583" s="118"/>
      <c r="Q583" s="118"/>
      <c r="R583" s="117"/>
      <c r="S583" s="117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  <c r="AL583" s="118"/>
      <c r="AM583" s="118"/>
      <c r="AN583" s="118"/>
      <c r="AO583" s="118"/>
      <c r="AP583" s="118"/>
      <c r="AQ583" s="118"/>
      <c r="AR583" s="118"/>
      <c r="AS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64"/>
      <c r="O584" s="161"/>
      <c r="P584" s="118"/>
      <c r="Q584" s="118"/>
      <c r="R584" s="117"/>
      <c r="S584" s="117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  <c r="AL584" s="118"/>
      <c r="AM584" s="118"/>
      <c r="AN584" s="118"/>
      <c r="AO584" s="118"/>
      <c r="AP584" s="118"/>
      <c r="AQ584" s="118"/>
      <c r="AR584" s="118"/>
      <c r="AS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64"/>
      <c r="O585" s="161"/>
      <c r="P585" s="118"/>
      <c r="Q585" s="118"/>
      <c r="R585" s="117"/>
      <c r="S585" s="117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  <c r="AL585" s="118"/>
      <c r="AM585" s="118"/>
      <c r="AN585" s="118"/>
      <c r="AO585" s="118"/>
      <c r="AP585" s="118"/>
      <c r="AQ585" s="118"/>
      <c r="AR585" s="118"/>
      <c r="AS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64"/>
      <c r="O586" s="161"/>
      <c r="P586" s="118"/>
      <c r="Q586" s="118"/>
      <c r="R586" s="117"/>
      <c r="S586" s="117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64"/>
      <c r="O587" s="161"/>
      <c r="P587" s="118"/>
      <c r="Q587" s="118"/>
      <c r="R587" s="117"/>
      <c r="S587" s="117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  <c r="AL587" s="118"/>
      <c r="AM587" s="118"/>
      <c r="AN587" s="118"/>
      <c r="AO587" s="118"/>
      <c r="AP587" s="118"/>
      <c r="AQ587" s="118"/>
      <c r="AR587" s="118"/>
      <c r="AS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64"/>
      <c r="O588" s="161"/>
      <c r="P588" s="118"/>
      <c r="Q588" s="118"/>
      <c r="R588" s="117"/>
      <c r="S588" s="117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118"/>
      <c r="AN588" s="118"/>
      <c r="AO588" s="118"/>
      <c r="AP588" s="118"/>
      <c r="AQ588" s="118"/>
      <c r="AR588" s="118"/>
      <c r="AS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64"/>
      <c r="O589" s="161"/>
      <c r="P589" s="118"/>
      <c r="Q589" s="118"/>
      <c r="R589" s="117"/>
      <c r="S589" s="117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  <c r="AL589" s="118"/>
      <c r="AM589" s="118"/>
      <c r="AN589" s="118"/>
      <c r="AO589" s="118"/>
      <c r="AP589" s="118"/>
      <c r="AQ589" s="118"/>
      <c r="AR589" s="118"/>
      <c r="AS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64"/>
      <c r="O590" s="161"/>
      <c r="P590" s="118"/>
      <c r="Q590" s="118"/>
      <c r="R590" s="117"/>
      <c r="S590" s="117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  <c r="AL590" s="118"/>
      <c r="AM590" s="118"/>
      <c r="AN590" s="118"/>
      <c r="AO590" s="118"/>
      <c r="AP590" s="118"/>
      <c r="AQ590" s="118"/>
      <c r="AR590" s="118"/>
      <c r="AS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64"/>
      <c r="O591" s="161"/>
      <c r="P591" s="118"/>
      <c r="Q591" s="118"/>
      <c r="R591" s="117"/>
      <c r="S591" s="117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  <c r="AL591" s="118"/>
      <c r="AM591" s="118"/>
      <c r="AN591" s="118"/>
      <c r="AO591" s="118"/>
      <c r="AP591" s="118"/>
      <c r="AQ591" s="118"/>
      <c r="AR591" s="118"/>
      <c r="AS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64"/>
      <c r="O592" s="161"/>
      <c r="P592" s="118"/>
      <c r="Q592" s="118"/>
      <c r="R592" s="117"/>
      <c r="S592" s="117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  <c r="AL592" s="118"/>
      <c r="AM592" s="118"/>
      <c r="AN592" s="118"/>
      <c r="AO592" s="118"/>
      <c r="AP592" s="118"/>
      <c r="AQ592" s="118"/>
      <c r="AR592" s="118"/>
      <c r="AS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64"/>
      <c r="O593" s="161"/>
      <c r="P593" s="118"/>
      <c r="Q593" s="118"/>
      <c r="R593" s="117"/>
      <c r="S593" s="117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  <c r="AL593" s="118"/>
      <c r="AM593" s="118"/>
      <c r="AN593" s="118"/>
      <c r="AO593" s="118"/>
      <c r="AP593" s="118"/>
      <c r="AQ593" s="118"/>
      <c r="AR593" s="118"/>
      <c r="AS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64"/>
      <c r="O594" s="161"/>
      <c r="P594" s="118"/>
      <c r="Q594" s="118"/>
      <c r="R594" s="117"/>
      <c r="S594" s="117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8"/>
      <c r="AN594" s="118"/>
      <c r="AO594" s="118"/>
      <c r="AP594" s="118"/>
      <c r="AQ594" s="118"/>
      <c r="AR594" s="118"/>
      <c r="AS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64"/>
      <c r="O595" s="161"/>
      <c r="P595" s="118"/>
      <c r="Q595" s="118"/>
      <c r="R595" s="117"/>
      <c r="S595" s="117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  <c r="AL595" s="118"/>
      <c r="AM595" s="118"/>
      <c r="AN595" s="118"/>
      <c r="AO595" s="118"/>
      <c r="AP595" s="118"/>
      <c r="AQ595" s="118"/>
      <c r="AR595" s="118"/>
      <c r="AS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64"/>
      <c r="O596" s="161"/>
      <c r="P596" s="118"/>
      <c r="Q596" s="118"/>
      <c r="R596" s="117"/>
      <c r="S596" s="117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  <c r="AL596" s="118"/>
      <c r="AM596" s="118"/>
      <c r="AN596" s="118"/>
      <c r="AO596" s="118"/>
      <c r="AP596" s="118"/>
      <c r="AQ596" s="118"/>
      <c r="AR596" s="118"/>
      <c r="AS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64"/>
      <c r="O597" s="161"/>
      <c r="P597" s="118"/>
      <c r="Q597" s="118"/>
      <c r="R597" s="117"/>
      <c r="S597" s="117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  <c r="AL597" s="118"/>
      <c r="AM597" s="118"/>
      <c r="AN597" s="118"/>
      <c r="AO597" s="118"/>
      <c r="AP597" s="118"/>
      <c r="AQ597" s="118"/>
      <c r="AR597" s="118"/>
      <c r="AS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64"/>
      <c r="O598" s="161"/>
      <c r="P598" s="118"/>
      <c r="Q598" s="118"/>
      <c r="R598" s="117"/>
      <c r="S598" s="117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  <c r="AL598" s="118"/>
      <c r="AM598" s="118"/>
      <c r="AN598" s="118"/>
      <c r="AO598" s="118"/>
      <c r="AP598" s="118"/>
      <c r="AQ598" s="118"/>
      <c r="AR598" s="118"/>
      <c r="AS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64"/>
      <c r="O599" s="161"/>
      <c r="P599" s="118"/>
      <c r="Q599" s="118"/>
      <c r="R599" s="117"/>
      <c r="S599" s="117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18"/>
      <c r="AS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64"/>
      <c r="O600" s="161"/>
      <c r="P600" s="118"/>
      <c r="Q600" s="118"/>
      <c r="R600" s="117"/>
      <c r="S600" s="117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18"/>
      <c r="AS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64"/>
      <c r="O601" s="161"/>
      <c r="P601" s="118"/>
      <c r="Q601" s="118"/>
      <c r="R601" s="117"/>
      <c r="S601" s="117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18"/>
      <c r="AS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64"/>
      <c r="O602" s="161"/>
      <c r="P602" s="118"/>
      <c r="Q602" s="118"/>
      <c r="R602" s="117"/>
      <c r="S602" s="117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18"/>
      <c r="AS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64"/>
      <c r="O603" s="161"/>
      <c r="P603" s="118"/>
      <c r="Q603" s="118"/>
      <c r="R603" s="117"/>
      <c r="S603" s="117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18"/>
      <c r="AS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64"/>
      <c r="O604" s="161"/>
      <c r="P604" s="118"/>
      <c r="Q604" s="118"/>
      <c r="R604" s="117"/>
      <c r="S604" s="117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64"/>
      <c r="O605" s="161"/>
      <c r="P605" s="118"/>
      <c r="Q605" s="118"/>
      <c r="R605" s="117"/>
      <c r="S605" s="117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18"/>
      <c r="AS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64"/>
      <c r="O606" s="161"/>
      <c r="P606" s="118"/>
      <c r="Q606" s="118"/>
      <c r="R606" s="117"/>
      <c r="S606" s="117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18"/>
      <c r="AS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64"/>
      <c r="O607" s="161"/>
      <c r="P607" s="118"/>
      <c r="Q607" s="118"/>
      <c r="R607" s="117"/>
      <c r="S607" s="117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18"/>
      <c r="AS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64"/>
      <c r="O608" s="161"/>
      <c r="P608" s="118"/>
      <c r="Q608" s="118"/>
      <c r="R608" s="117"/>
      <c r="S608" s="117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  <c r="AI608" s="118"/>
      <c r="AJ608" s="118"/>
      <c r="AK608" s="118"/>
      <c r="AL608" s="118"/>
      <c r="AM608" s="118"/>
      <c r="AN608" s="118"/>
      <c r="AO608" s="118"/>
      <c r="AP608" s="118"/>
      <c r="AQ608" s="118"/>
      <c r="AR608" s="118"/>
      <c r="AS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64"/>
      <c r="O609" s="161"/>
      <c r="P609" s="118"/>
      <c r="Q609" s="118"/>
      <c r="R609" s="117"/>
      <c r="S609" s="117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  <c r="AI609" s="118"/>
      <c r="AJ609" s="118"/>
      <c r="AK609" s="118"/>
      <c r="AL609" s="118"/>
      <c r="AM609" s="118"/>
      <c r="AN609" s="118"/>
      <c r="AO609" s="118"/>
      <c r="AP609" s="118"/>
      <c r="AQ609" s="118"/>
      <c r="AR609" s="118"/>
      <c r="AS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64"/>
      <c r="O610" s="161"/>
      <c r="P610" s="118"/>
      <c r="Q610" s="118"/>
      <c r="R610" s="117"/>
      <c r="S610" s="117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  <c r="AI610" s="118"/>
      <c r="AJ610" s="118"/>
      <c r="AK610" s="118"/>
      <c r="AL610" s="118"/>
      <c r="AM610" s="118"/>
      <c r="AN610" s="118"/>
      <c r="AO610" s="118"/>
      <c r="AP610" s="118"/>
      <c r="AQ610" s="118"/>
      <c r="AR610" s="118"/>
      <c r="AS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64"/>
      <c r="O611" s="161"/>
      <c r="P611" s="118"/>
      <c r="Q611" s="118"/>
      <c r="R611" s="117"/>
      <c r="S611" s="117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  <c r="AI611" s="118"/>
      <c r="AJ611" s="118"/>
      <c r="AK611" s="118"/>
      <c r="AL611" s="118"/>
      <c r="AM611" s="118"/>
      <c r="AN611" s="118"/>
      <c r="AO611" s="118"/>
      <c r="AP611" s="118"/>
      <c r="AQ611" s="118"/>
      <c r="AR611" s="118"/>
      <c r="AS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64"/>
      <c r="O612" s="161"/>
      <c r="P612" s="118"/>
      <c r="Q612" s="118"/>
      <c r="R612" s="117"/>
      <c r="S612" s="117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  <c r="AI612" s="118"/>
      <c r="AJ612" s="118"/>
      <c r="AK612" s="118"/>
      <c r="AL612" s="118"/>
      <c r="AM612" s="118"/>
      <c r="AN612" s="118"/>
      <c r="AO612" s="118"/>
      <c r="AP612" s="118"/>
      <c r="AQ612" s="118"/>
      <c r="AR612" s="118"/>
      <c r="AS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64"/>
      <c r="O613" s="161"/>
      <c r="P613" s="118"/>
      <c r="Q613" s="118"/>
      <c r="R613" s="117"/>
      <c r="S613" s="117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  <c r="AI613" s="118"/>
      <c r="AJ613" s="118"/>
      <c r="AK613" s="118"/>
      <c r="AL613" s="118"/>
      <c r="AM613" s="118"/>
      <c r="AN613" s="118"/>
      <c r="AO613" s="118"/>
      <c r="AP613" s="118"/>
      <c r="AQ613" s="118"/>
      <c r="AR613" s="118"/>
      <c r="AS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64"/>
      <c r="O614" s="161"/>
      <c r="P614" s="118"/>
      <c r="Q614" s="118"/>
      <c r="R614" s="117"/>
      <c r="S614" s="117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  <c r="AI614" s="118"/>
      <c r="AJ614" s="118"/>
      <c r="AK614" s="118"/>
      <c r="AL614" s="118"/>
      <c r="AM614" s="118"/>
      <c r="AN614" s="118"/>
      <c r="AO614" s="118"/>
      <c r="AP614" s="118"/>
      <c r="AQ614" s="118"/>
      <c r="AR614" s="118"/>
      <c r="AS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64"/>
      <c r="O615" s="161"/>
      <c r="P615" s="118"/>
      <c r="Q615" s="118"/>
      <c r="R615" s="117"/>
      <c r="S615" s="117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  <c r="AI615" s="118"/>
      <c r="AJ615" s="118"/>
      <c r="AK615" s="118"/>
      <c r="AL615" s="118"/>
      <c r="AM615" s="118"/>
      <c r="AN615" s="118"/>
      <c r="AO615" s="118"/>
      <c r="AP615" s="118"/>
      <c r="AQ615" s="118"/>
      <c r="AR615" s="118"/>
      <c r="AS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64"/>
      <c r="O616" s="161"/>
      <c r="P616" s="118"/>
      <c r="Q616" s="118"/>
      <c r="R616" s="117"/>
      <c r="S616" s="117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  <c r="AI616" s="118"/>
      <c r="AJ616" s="118"/>
      <c r="AK616" s="118"/>
      <c r="AL616" s="118"/>
      <c r="AM616" s="118"/>
      <c r="AN616" s="118"/>
      <c r="AO616" s="118"/>
      <c r="AP616" s="118"/>
      <c r="AQ616" s="118"/>
      <c r="AR616" s="118"/>
      <c r="AS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64"/>
      <c r="O617" s="161"/>
      <c r="P617" s="118"/>
      <c r="Q617" s="118"/>
      <c r="R617" s="117"/>
      <c r="S617" s="117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  <c r="AI617" s="118"/>
      <c r="AJ617" s="118"/>
      <c r="AK617" s="118"/>
      <c r="AL617" s="118"/>
      <c r="AM617" s="118"/>
      <c r="AN617" s="118"/>
      <c r="AO617" s="118"/>
      <c r="AP617" s="118"/>
      <c r="AQ617" s="118"/>
      <c r="AR617" s="118"/>
      <c r="AS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64"/>
      <c r="O618" s="161"/>
      <c r="P618" s="118"/>
      <c r="Q618" s="118"/>
      <c r="R618" s="117"/>
      <c r="S618" s="117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  <c r="AI618" s="118"/>
      <c r="AJ618" s="118"/>
      <c r="AK618" s="118"/>
      <c r="AL618" s="118"/>
      <c r="AM618" s="118"/>
      <c r="AN618" s="118"/>
      <c r="AO618" s="118"/>
      <c r="AP618" s="118"/>
      <c r="AQ618" s="118"/>
      <c r="AR618" s="118"/>
      <c r="AS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64"/>
      <c r="O619" s="161"/>
      <c r="P619" s="118"/>
      <c r="Q619" s="118"/>
      <c r="R619" s="117"/>
      <c r="S619" s="117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  <c r="AI619" s="118"/>
      <c r="AJ619" s="118"/>
      <c r="AK619" s="118"/>
      <c r="AL619" s="118"/>
      <c r="AM619" s="118"/>
      <c r="AN619" s="118"/>
      <c r="AO619" s="118"/>
      <c r="AP619" s="118"/>
      <c r="AQ619" s="118"/>
      <c r="AR619" s="118"/>
      <c r="AS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64"/>
      <c r="O620" s="161"/>
      <c r="P620" s="118"/>
      <c r="Q620" s="118"/>
      <c r="R620" s="117"/>
      <c r="S620" s="117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  <c r="AI620" s="118"/>
      <c r="AJ620" s="118"/>
      <c r="AK620" s="118"/>
      <c r="AL620" s="118"/>
      <c r="AM620" s="118"/>
      <c r="AN620" s="118"/>
      <c r="AO620" s="118"/>
      <c r="AP620" s="118"/>
      <c r="AQ620" s="118"/>
      <c r="AR620" s="118"/>
      <c r="AS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64"/>
      <c r="O621" s="161"/>
      <c r="P621" s="118"/>
      <c r="Q621" s="118"/>
      <c r="R621" s="117"/>
      <c r="S621" s="117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  <c r="AI621" s="118"/>
      <c r="AJ621" s="118"/>
      <c r="AK621" s="118"/>
      <c r="AL621" s="118"/>
      <c r="AM621" s="118"/>
      <c r="AN621" s="118"/>
      <c r="AO621" s="118"/>
      <c r="AP621" s="118"/>
      <c r="AQ621" s="118"/>
      <c r="AR621" s="118"/>
      <c r="AS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64"/>
      <c r="O622" s="161"/>
      <c r="P622" s="118"/>
      <c r="Q622" s="118"/>
      <c r="R622" s="117"/>
      <c r="S622" s="117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64"/>
      <c r="O623" s="161"/>
      <c r="P623" s="118"/>
      <c r="Q623" s="118"/>
      <c r="R623" s="117"/>
      <c r="S623" s="117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  <c r="AL623" s="118"/>
      <c r="AM623" s="118"/>
      <c r="AN623" s="118"/>
      <c r="AO623" s="118"/>
      <c r="AP623" s="118"/>
      <c r="AQ623" s="118"/>
      <c r="AR623" s="118"/>
      <c r="AS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64"/>
      <c r="O624" s="161"/>
      <c r="P624" s="118"/>
      <c r="Q624" s="118"/>
      <c r="R624" s="117"/>
      <c r="S624" s="117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  <c r="AL624" s="118"/>
      <c r="AM624" s="118"/>
      <c r="AN624" s="118"/>
      <c r="AO624" s="118"/>
      <c r="AP624" s="118"/>
      <c r="AQ624" s="118"/>
      <c r="AR624" s="118"/>
      <c r="AS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64"/>
      <c r="O625" s="161"/>
      <c r="P625" s="118"/>
      <c r="Q625" s="118"/>
      <c r="R625" s="117"/>
      <c r="S625" s="117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  <c r="AI625" s="118"/>
      <c r="AJ625" s="118"/>
      <c r="AK625" s="118"/>
      <c r="AL625" s="118"/>
      <c r="AM625" s="118"/>
      <c r="AN625" s="118"/>
      <c r="AO625" s="118"/>
      <c r="AP625" s="118"/>
      <c r="AQ625" s="118"/>
      <c r="AR625" s="118"/>
      <c r="AS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64"/>
      <c r="O626" s="161"/>
      <c r="P626" s="118"/>
      <c r="Q626" s="118"/>
      <c r="R626" s="117"/>
      <c r="S626" s="117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64"/>
      <c r="O627" s="161"/>
      <c r="P627" s="118"/>
      <c r="Q627" s="118"/>
      <c r="R627" s="117"/>
      <c r="S627" s="117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  <c r="AI627" s="118"/>
      <c r="AJ627" s="118"/>
      <c r="AK627" s="118"/>
      <c r="AL627" s="118"/>
      <c r="AM627" s="118"/>
      <c r="AN627" s="118"/>
      <c r="AO627" s="118"/>
      <c r="AP627" s="118"/>
      <c r="AQ627" s="118"/>
      <c r="AR627" s="118"/>
      <c r="AS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64"/>
      <c r="O628" s="161"/>
      <c r="P628" s="118"/>
      <c r="Q628" s="118"/>
      <c r="R628" s="117"/>
      <c r="S628" s="117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  <c r="AI628" s="118"/>
      <c r="AJ628" s="118"/>
      <c r="AK628" s="118"/>
      <c r="AL628" s="118"/>
      <c r="AM628" s="118"/>
      <c r="AN628" s="118"/>
      <c r="AO628" s="118"/>
      <c r="AP628" s="118"/>
      <c r="AQ628" s="118"/>
      <c r="AR628" s="118"/>
      <c r="AS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64"/>
      <c r="O629" s="161"/>
      <c r="P629" s="118"/>
      <c r="Q629" s="118"/>
      <c r="R629" s="117"/>
      <c r="S629" s="117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  <c r="AI629" s="118"/>
      <c r="AJ629" s="118"/>
      <c r="AK629" s="118"/>
      <c r="AL629" s="118"/>
      <c r="AM629" s="118"/>
      <c r="AN629" s="118"/>
      <c r="AO629" s="118"/>
      <c r="AP629" s="118"/>
      <c r="AQ629" s="118"/>
      <c r="AR629" s="118"/>
      <c r="AS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64"/>
      <c r="O630" s="161"/>
      <c r="P630" s="118"/>
      <c r="Q630" s="118"/>
      <c r="R630" s="117"/>
      <c r="S630" s="117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  <c r="AL630" s="118"/>
      <c r="AM630" s="118"/>
      <c r="AN630" s="118"/>
      <c r="AO630" s="118"/>
      <c r="AP630" s="118"/>
      <c r="AQ630" s="118"/>
      <c r="AR630" s="118"/>
      <c r="AS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64"/>
      <c r="O631" s="161"/>
      <c r="P631" s="118"/>
      <c r="Q631" s="118"/>
      <c r="R631" s="117"/>
      <c r="S631" s="117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  <c r="AL631" s="118"/>
      <c r="AM631" s="118"/>
      <c r="AN631" s="118"/>
      <c r="AO631" s="118"/>
      <c r="AP631" s="118"/>
      <c r="AQ631" s="118"/>
      <c r="AR631" s="118"/>
      <c r="AS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64"/>
      <c r="O632" s="161"/>
      <c r="P632" s="118"/>
      <c r="Q632" s="118"/>
      <c r="R632" s="117"/>
      <c r="S632" s="117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8"/>
      <c r="AN632" s="118"/>
      <c r="AO632" s="118"/>
      <c r="AP632" s="118"/>
      <c r="AQ632" s="118"/>
      <c r="AR632" s="118"/>
      <c r="AS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64"/>
      <c r="O633" s="161"/>
      <c r="P633" s="118"/>
      <c r="Q633" s="118"/>
      <c r="R633" s="117"/>
      <c r="S633" s="117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  <c r="AL633" s="118"/>
      <c r="AM633" s="118"/>
      <c r="AN633" s="118"/>
      <c r="AO633" s="118"/>
      <c r="AP633" s="118"/>
      <c r="AQ633" s="118"/>
      <c r="AR633" s="118"/>
      <c r="AS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64"/>
      <c r="O634" s="161"/>
      <c r="P634" s="118"/>
      <c r="Q634" s="118"/>
      <c r="R634" s="117"/>
      <c r="S634" s="117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  <c r="AL634" s="118"/>
      <c r="AM634" s="118"/>
      <c r="AN634" s="118"/>
      <c r="AO634" s="118"/>
      <c r="AP634" s="118"/>
      <c r="AQ634" s="118"/>
      <c r="AR634" s="118"/>
      <c r="AS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64"/>
      <c r="O635" s="161"/>
      <c r="P635" s="118"/>
      <c r="Q635" s="118"/>
      <c r="R635" s="117"/>
      <c r="S635" s="117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  <c r="AL635" s="118"/>
      <c r="AM635" s="118"/>
      <c r="AN635" s="118"/>
      <c r="AO635" s="118"/>
      <c r="AP635" s="118"/>
      <c r="AQ635" s="118"/>
      <c r="AR635" s="118"/>
      <c r="AS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64"/>
      <c r="O636" s="161"/>
      <c r="P636" s="118"/>
      <c r="Q636" s="118"/>
      <c r="R636" s="117"/>
      <c r="S636" s="117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  <c r="AL636" s="118"/>
      <c r="AM636" s="118"/>
      <c r="AN636" s="118"/>
      <c r="AO636" s="118"/>
      <c r="AP636" s="118"/>
      <c r="AQ636" s="118"/>
      <c r="AR636" s="118"/>
      <c r="AS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64"/>
      <c r="O637" s="161"/>
      <c r="P637" s="118"/>
      <c r="Q637" s="118"/>
      <c r="R637" s="117"/>
      <c r="S637" s="117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  <c r="AL637" s="118"/>
      <c r="AM637" s="118"/>
      <c r="AN637" s="118"/>
      <c r="AO637" s="118"/>
      <c r="AP637" s="118"/>
      <c r="AQ637" s="118"/>
      <c r="AR637" s="118"/>
      <c r="AS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64"/>
      <c r="O638" s="161"/>
      <c r="P638" s="118"/>
      <c r="Q638" s="118"/>
      <c r="R638" s="117"/>
      <c r="S638" s="117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  <c r="AL638" s="118"/>
      <c r="AM638" s="118"/>
      <c r="AN638" s="118"/>
      <c r="AO638" s="118"/>
      <c r="AP638" s="118"/>
      <c r="AQ638" s="118"/>
      <c r="AR638" s="118"/>
      <c r="AS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64"/>
      <c r="O639" s="161"/>
      <c r="P639" s="118"/>
      <c r="Q639" s="118"/>
      <c r="R639" s="117"/>
      <c r="S639" s="117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  <c r="AL639" s="118"/>
      <c r="AM639" s="118"/>
      <c r="AN639" s="118"/>
      <c r="AO639" s="118"/>
      <c r="AP639" s="118"/>
      <c r="AQ639" s="118"/>
      <c r="AR639" s="118"/>
      <c r="AS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64"/>
      <c r="O640" s="161"/>
      <c r="P640" s="118"/>
      <c r="Q640" s="118"/>
      <c r="R640" s="117"/>
      <c r="S640" s="117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64"/>
      <c r="O641" s="161"/>
      <c r="P641" s="118"/>
      <c r="Q641" s="118"/>
      <c r="R641" s="117"/>
      <c r="S641" s="117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  <c r="AL641" s="118"/>
      <c r="AM641" s="118"/>
      <c r="AN641" s="118"/>
      <c r="AO641" s="118"/>
      <c r="AP641" s="118"/>
      <c r="AQ641" s="118"/>
      <c r="AR641" s="118"/>
      <c r="AS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64"/>
      <c r="O642" s="161"/>
      <c r="P642" s="118"/>
      <c r="Q642" s="118"/>
      <c r="R642" s="117"/>
      <c r="S642" s="117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  <c r="AL642" s="118"/>
      <c r="AM642" s="118"/>
      <c r="AN642" s="118"/>
      <c r="AO642" s="118"/>
      <c r="AP642" s="118"/>
      <c r="AQ642" s="118"/>
      <c r="AR642" s="118"/>
      <c r="AS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64"/>
      <c r="O643" s="161"/>
      <c r="P643" s="118"/>
      <c r="Q643" s="118"/>
      <c r="R643" s="117"/>
      <c r="S643" s="117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  <c r="AL643" s="118"/>
      <c r="AM643" s="118"/>
      <c r="AN643" s="118"/>
      <c r="AO643" s="118"/>
      <c r="AP643" s="118"/>
      <c r="AQ643" s="118"/>
      <c r="AR643" s="118"/>
      <c r="AS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64"/>
      <c r="O644" s="161"/>
      <c r="P644" s="118"/>
      <c r="Q644" s="118"/>
      <c r="R644" s="117"/>
      <c r="S644" s="117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  <c r="AL644" s="118"/>
      <c r="AM644" s="118"/>
      <c r="AN644" s="118"/>
      <c r="AO644" s="118"/>
      <c r="AP644" s="118"/>
      <c r="AQ644" s="118"/>
      <c r="AR644" s="118"/>
      <c r="AS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64"/>
      <c r="O645" s="161"/>
      <c r="P645" s="118"/>
      <c r="Q645" s="118"/>
      <c r="R645" s="117"/>
      <c r="S645" s="117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  <c r="AL645" s="118"/>
      <c r="AM645" s="118"/>
      <c r="AN645" s="118"/>
      <c r="AO645" s="118"/>
      <c r="AP645" s="118"/>
      <c r="AQ645" s="118"/>
      <c r="AR645" s="118"/>
      <c r="AS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64"/>
      <c r="O646" s="161"/>
      <c r="P646" s="118"/>
      <c r="Q646" s="118"/>
      <c r="R646" s="117"/>
      <c r="S646" s="117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64"/>
      <c r="O647" s="161"/>
      <c r="P647" s="118"/>
      <c r="Q647" s="118"/>
      <c r="R647" s="117"/>
      <c r="S647" s="117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64"/>
      <c r="O648" s="161"/>
      <c r="P648" s="118"/>
      <c r="Q648" s="118"/>
      <c r="R648" s="117"/>
      <c r="S648" s="117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64"/>
      <c r="O649" s="161"/>
      <c r="P649" s="118"/>
      <c r="Q649" s="118"/>
      <c r="R649" s="117"/>
      <c r="S649" s="117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64"/>
      <c r="O650" s="161"/>
      <c r="P650" s="118"/>
      <c r="Q650" s="118"/>
      <c r="R650" s="117"/>
      <c r="S650" s="117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  <c r="AL650" s="118"/>
      <c r="AM650" s="118"/>
      <c r="AN650" s="118"/>
      <c r="AO650" s="118"/>
      <c r="AP650" s="118"/>
      <c r="AQ650" s="118"/>
      <c r="AR650" s="118"/>
      <c r="AS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64"/>
      <c r="O651" s="161"/>
      <c r="P651" s="118"/>
      <c r="Q651" s="118"/>
      <c r="R651" s="117"/>
      <c r="S651" s="117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  <c r="AL651" s="118"/>
      <c r="AM651" s="118"/>
      <c r="AN651" s="118"/>
      <c r="AO651" s="118"/>
      <c r="AP651" s="118"/>
      <c r="AQ651" s="118"/>
      <c r="AR651" s="118"/>
      <c r="AS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64"/>
      <c r="O652" s="161"/>
      <c r="P652" s="118"/>
      <c r="Q652" s="118"/>
      <c r="R652" s="117"/>
      <c r="S652" s="117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  <c r="AL652" s="118"/>
      <c r="AM652" s="118"/>
      <c r="AN652" s="118"/>
      <c r="AO652" s="118"/>
      <c r="AP652" s="118"/>
      <c r="AQ652" s="118"/>
      <c r="AR652" s="118"/>
      <c r="AS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64"/>
      <c r="O653" s="161"/>
      <c r="P653" s="118"/>
      <c r="Q653" s="118"/>
      <c r="R653" s="117"/>
      <c r="S653" s="117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  <c r="AL653" s="118"/>
      <c r="AM653" s="118"/>
      <c r="AN653" s="118"/>
      <c r="AO653" s="118"/>
      <c r="AP653" s="118"/>
      <c r="AQ653" s="118"/>
      <c r="AR653" s="118"/>
      <c r="AS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64"/>
      <c r="O654" s="161"/>
      <c r="P654" s="118"/>
      <c r="Q654" s="118"/>
      <c r="R654" s="117"/>
      <c r="S654" s="117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  <c r="AL654" s="118"/>
      <c r="AM654" s="118"/>
      <c r="AN654" s="118"/>
      <c r="AO654" s="118"/>
      <c r="AP654" s="118"/>
      <c r="AQ654" s="118"/>
      <c r="AR654" s="118"/>
      <c r="AS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64"/>
      <c r="O655" s="161"/>
      <c r="P655" s="118"/>
      <c r="Q655" s="118"/>
      <c r="R655" s="117"/>
      <c r="S655" s="117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  <c r="AL655" s="118"/>
      <c r="AM655" s="118"/>
      <c r="AN655" s="118"/>
      <c r="AO655" s="118"/>
      <c r="AP655" s="118"/>
      <c r="AQ655" s="118"/>
      <c r="AR655" s="118"/>
      <c r="AS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64"/>
      <c r="O656" s="161"/>
      <c r="P656" s="118"/>
      <c r="Q656" s="118"/>
      <c r="R656" s="117"/>
      <c r="S656" s="117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  <c r="AI656" s="118"/>
      <c r="AJ656" s="118"/>
      <c r="AK656" s="118"/>
      <c r="AL656" s="118"/>
      <c r="AM656" s="118"/>
      <c r="AN656" s="118"/>
      <c r="AO656" s="118"/>
      <c r="AP656" s="118"/>
      <c r="AQ656" s="118"/>
      <c r="AR656" s="118"/>
      <c r="AS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64"/>
      <c r="O657" s="161"/>
      <c r="P657" s="118"/>
      <c r="Q657" s="118"/>
      <c r="R657" s="117"/>
      <c r="S657" s="117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64"/>
      <c r="O658" s="161"/>
      <c r="P658" s="118"/>
      <c r="Q658" s="118"/>
      <c r="R658" s="117"/>
      <c r="S658" s="117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  <c r="AI658" s="118"/>
      <c r="AJ658" s="118"/>
      <c r="AK658" s="118"/>
      <c r="AL658" s="118"/>
      <c r="AM658" s="118"/>
      <c r="AN658" s="118"/>
      <c r="AO658" s="118"/>
      <c r="AP658" s="118"/>
      <c r="AQ658" s="118"/>
      <c r="AR658" s="118"/>
      <c r="AS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64"/>
      <c r="O659" s="161"/>
      <c r="P659" s="118"/>
      <c r="Q659" s="118"/>
      <c r="R659" s="117"/>
      <c r="S659" s="117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  <c r="AL659" s="118"/>
      <c r="AM659" s="118"/>
      <c r="AN659" s="118"/>
      <c r="AO659" s="118"/>
      <c r="AP659" s="118"/>
      <c r="AQ659" s="118"/>
      <c r="AR659" s="118"/>
      <c r="AS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64"/>
      <c r="O660" s="161"/>
      <c r="P660" s="118"/>
      <c r="Q660" s="118"/>
      <c r="R660" s="117"/>
      <c r="S660" s="117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  <c r="AL660" s="118"/>
      <c r="AM660" s="118"/>
      <c r="AN660" s="118"/>
      <c r="AO660" s="118"/>
      <c r="AP660" s="118"/>
      <c r="AQ660" s="118"/>
      <c r="AR660" s="118"/>
      <c r="AS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64"/>
      <c r="O661" s="161"/>
      <c r="P661" s="118"/>
      <c r="Q661" s="118"/>
      <c r="R661" s="117"/>
      <c r="S661" s="117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  <c r="AL661" s="118"/>
      <c r="AM661" s="118"/>
      <c r="AN661" s="118"/>
      <c r="AO661" s="118"/>
      <c r="AP661" s="118"/>
      <c r="AQ661" s="118"/>
      <c r="AR661" s="118"/>
      <c r="AS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64"/>
      <c r="O662" s="161"/>
      <c r="P662" s="118"/>
      <c r="Q662" s="118"/>
      <c r="R662" s="117"/>
      <c r="S662" s="117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  <c r="AL662" s="118"/>
      <c r="AM662" s="118"/>
      <c r="AN662" s="118"/>
      <c r="AO662" s="118"/>
      <c r="AP662" s="118"/>
      <c r="AQ662" s="118"/>
      <c r="AR662" s="118"/>
      <c r="AS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64"/>
      <c r="O663" s="161"/>
      <c r="P663" s="118"/>
      <c r="Q663" s="118"/>
      <c r="R663" s="117"/>
      <c r="S663" s="117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  <c r="AL663" s="118"/>
      <c r="AM663" s="118"/>
      <c r="AN663" s="118"/>
      <c r="AO663" s="118"/>
      <c r="AP663" s="118"/>
      <c r="AQ663" s="118"/>
      <c r="AR663" s="118"/>
      <c r="AS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64"/>
      <c r="O664" s="161"/>
      <c r="P664" s="118"/>
      <c r="Q664" s="118"/>
      <c r="R664" s="117"/>
      <c r="S664" s="117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  <c r="AL664" s="118"/>
      <c r="AM664" s="118"/>
      <c r="AN664" s="118"/>
      <c r="AO664" s="118"/>
      <c r="AP664" s="118"/>
      <c r="AQ664" s="118"/>
      <c r="AR664" s="118"/>
      <c r="AS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64"/>
      <c r="O665" s="161"/>
      <c r="P665" s="118"/>
      <c r="Q665" s="118"/>
      <c r="R665" s="117"/>
      <c r="S665" s="117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  <c r="AL665" s="118"/>
      <c r="AM665" s="118"/>
      <c r="AN665" s="118"/>
      <c r="AO665" s="118"/>
      <c r="AP665" s="118"/>
      <c r="AQ665" s="118"/>
      <c r="AR665" s="118"/>
      <c r="AS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64"/>
      <c r="O666" s="161"/>
      <c r="P666" s="118"/>
      <c r="Q666" s="118"/>
      <c r="R666" s="117"/>
      <c r="S666" s="117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  <c r="AL666" s="118"/>
      <c r="AM666" s="118"/>
      <c r="AN666" s="118"/>
      <c r="AO666" s="118"/>
      <c r="AP666" s="118"/>
      <c r="AQ666" s="118"/>
      <c r="AR666" s="118"/>
      <c r="AS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64"/>
      <c r="O667" s="161"/>
      <c r="P667" s="118"/>
      <c r="Q667" s="118"/>
      <c r="R667" s="117"/>
      <c r="S667" s="117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  <c r="AL667" s="118"/>
      <c r="AM667" s="118"/>
      <c r="AN667" s="118"/>
      <c r="AO667" s="118"/>
      <c r="AP667" s="118"/>
      <c r="AQ667" s="118"/>
      <c r="AR667" s="118"/>
      <c r="AS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64"/>
      <c r="O668" s="161"/>
      <c r="P668" s="118"/>
      <c r="Q668" s="118"/>
      <c r="R668" s="117"/>
      <c r="S668" s="117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  <c r="AL668" s="118"/>
      <c r="AM668" s="118"/>
      <c r="AN668" s="118"/>
      <c r="AO668" s="118"/>
      <c r="AP668" s="118"/>
      <c r="AQ668" s="118"/>
      <c r="AR668" s="118"/>
      <c r="AS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64"/>
      <c r="O669" s="161"/>
      <c r="P669" s="118"/>
      <c r="Q669" s="118"/>
      <c r="R669" s="117"/>
      <c r="S669" s="117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  <c r="AL669" s="118"/>
      <c r="AM669" s="118"/>
      <c r="AN669" s="118"/>
      <c r="AO669" s="118"/>
      <c r="AP669" s="118"/>
      <c r="AQ669" s="118"/>
      <c r="AR669" s="118"/>
      <c r="AS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64"/>
      <c r="O670" s="161"/>
      <c r="P670" s="118"/>
      <c r="Q670" s="118"/>
      <c r="R670" s="117"/>
      <c r="S670" s="117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8"/>
      <c r="AN670" s="118"/>
      <c r="AO670" s="118"/>
      <c r="AP670" s="118"/>
      <c r="AQ670" s="118"/>
      <c r="AR670" s="118"/>
      <c r="AS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64"/>
      <c r="O671" s="161"/>
      <c r="P671" s="118"/>
      <c r="Q671" s="118"/>
      <c r="R671" s="117"/>
      <c r="S671" s="117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  <c r="AL671" s="118"/>
      <c r="AM671" s="118"/>
      <c r="AN671" s="118"/>
      <c r="AO671" s="118"/>
      <c r="AP671" s="118"/>
      <c r="AQ671" s="118"/>
      <c r="AR671" s="118"/>
      <c r="AS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64"/>
      <c r="O672" s="161"/>
      <c r="P672" s="118"/>
      <c r="Q672" s="118"/>
      <c r="R672" s="117"/>
      <c r="S672" s="117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  <c r="AL672" s="118"/>
      <c r="AM672" s="118"/>
      <c r="AN672" s="118"/>
      <c r="AO672" s="118"/>
      <c r="AP672" s="118"/>
      <c r="AQ672" s="118"/>
      <c r="AR672" s="118"/>
      <c r="AS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64"/>
      <c r="O673" s="161"/>
      <c r="P673" s="118"/>
      <c r="Q673" s="118"/>
      <c r="R673" s="117"/>
      <c r="S673" s="117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  <c r="AL673" s="118"/>
      <c r="AM673" s="118"/>
      <c r="AN673" s="118"/>
      <c r="AO673" s="118"/>
      <c r="AP673" s="118"/>
      <c r="AQ673" s="118"/>
      <c r="AR673" s="118"/>
      <c r="AS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64"/>
      <c r="O674" s="161"/>
      <c r="P674" s="118"/>
      <c r="Q674" s="118"/>
      <c r="R674" s="117"/>
      <c r="S674" s="117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  <c r="AL674" s="118"/>
      <c r="AM674" s="118"/>
      <c r="AN674" s="118"/>
      <c r="AO674" s="118"/>
      <c r="AP674" s="118"/>
      <c r="AQ674" s="118"/>
      <c r="AR674" s="118"/>
      <c r="AS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64"/>
      <c r="O675" s="161"/>
      <c r="P675" s="118"/>
      <c r="Q675" s="118"/>
      <c r="R675" s="117"/>
      <c r="S675" s="117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  <c r="AL675" s="118"/>
      <c r="AM675" s="118"/>
      <c r="AN675" s="118"/>
      <c r="AO675" s="118"/>
      <c r="AP675" s="118"/>
      <c r="AQ675" s="118"/>
      <c r="AR675" s="118"/>
      <c r="AS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64"/>
      <c r="O676" s="161"/>
      <c r="P676" s="118"/>
      <c r="Q676" s="118"/>
      <c r="R676" s="117"/>
      <c r="S676" s="117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  <c r="AL676" s="118"/>
      <c r="AM676" s="118"/>
      <c r="AN676" s="118"/>
      <c r="AO676" s="118"/>
      <c r="AP676" s="118"/>
      <c r="AQ676" s="118"/>
      <c r="AR676" s="118"/>
      <c r="AS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64"/>
      <c r="O677" s="161"/>
      <c r="P677" s="118"/>
      <c r="Q677" s="118"/>
      <c r="R677" s="117"/>
      <c r="S677" s="117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  <c r="AL677" s="118"/>
      <c r="AM677" s="118"/>
      <c r="AN677" s="118"/>
      <c r="AO677" s="118"/>
      <c r="AP677" s="118"/>
      <c r="AQ677" s="118"/>
      <c r="AR677" s="118"/>
      <c r="AS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64"/>
      <c r="O678" s="161"/>
      <c r="P678" s="118"/>
      <c r="Q678" s="118"/>
      <c r="R678" s="117"/>
      <c r="S678" s="117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  <c r="AL678" s="118"/>
      <c r="AM678" s="118"/>
      <c r="AN678" s="118"/>
      <c r="AO678" s="118"/>
      <c r="AP678" s="118"/>
      <c r="AQ678" s="118"/>
      <c r="AR678" s="118"/>
      <c r="AS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64"/>
      <c r="O679" s="161"/>
      <c r="P679" s="118"/>
      <c r="Q679" s="118"/>
      <c r="R679" s="117"/>
      <c r="S679" s="117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  <c r="AL679" s="118"/>
      <c r="AM679" s="118"/>
      <c r="AN679" s="118"/>
      <c r="AO679" s="118"/>
      <c r="AP679" s="118"/>
      <c r="AQ679" s="118"/>
      <c r="AR679" s="118"/>
      <c r="AS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64"/>
      <c r="O680" s="161"/>
      <c r="P680" s="118"/>
      <c r="Q680" s="118"/>
      <c r="R680" s="117"/>
      <c r="S680" s="117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  <c r="AL680" s="118"/>
      <c r="AM680" s="118"/>
      <c r="AN680" s="118"/>
      <c r="AO680" s="118"/>
      <c r="AP680" s="118"/>
      <c r="AQ680" s="118"/>
      <c r="AR680" s="118"/>
      <c r="AS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64"/>
      <c r="O681" s="161"/>
      <c r="P681" s="118"/>
      <c r="Q681" s="118"/>
      <c r="R681" s="117"/>
      <c r="S681" s="117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  <c r="AL681" s="118"/>
      <c r="AM681" s="118"/>
      <c r="AN681" s="118"/>
      <c r="AO681" s="118"/>
      <c r="AP681" s="118"/>
      <c r="AQ681" s="118"/>
      <c r="AR681" s="118"/>
      <c r="AS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64"/>
      <c r="O682" s="161"/>
      <c r="P682" s="118"/>
      <c r="Q682" s="118"/>
      <c r="R682" s="117"/>
      <c r="S682" s="117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  <c r="AL682" s="118"/>
      <c r="AM682" s="118"/>
      <c r="AN682" s="118"/>
      <c r="AO682" s="118"/>
      <c r="AP682" s="118"/>
      <c r="AQ682" s="118"/>
      <c r="AR682" s="118"/>
      <c r="AS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64"/>
      <c r="O683" s="161"/>
      <c r="P683" s="118"/>
      <c r="Q683" s="118"/>
      <c r="R683" s="117"/>
      <c r="S683" s="117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  <c r="AL683" s="118"/>
      <c r="AM683" s="118"/>
      <c r="AN683" s="118"/>
      <c r="AO683" s="118"/>
      <c r="AP683" s="118"/>
      <c r="AQ683" s="118"/>
      <c r="AR683" s="118"/>
      <c r="AS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64"/>
      <c r="O684" s="161"/>
      <c r="P684" s="118"/>
      <c r="Q684" s="118"/>
      <c r="R684" s="117"/>
      <c r="S684" s="117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  <c r="AL684" s="118"/>
      <c r="AM684" s="118"/>
      <c r="AN684" s="118"/>
      <c r="AO684" s="118"/>
      <c r="AP684" s="118"/>
      <c r="AQ684" s="118"/>
      <c r="AR684" s="118"/>
      <c r="AS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64"/>
      <c r="O685" s="161"/>
      <c r="P685" s="118"/>
      <c r="Q685" s="118"/>
      <c r="R685" s="117"/>
      <c r="S685" s="117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  <c r="AL685" s="118"/>
      <c r="AM685" s="118"/>
      <c r="AN685" s="118"/>
      <c r="AO685" s="118"/>
      <c r="AP685" s="118"/>
      <c r="AQ685" s="118"/>
      <c r="AR685" s="118"/>
      <c r="AS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64"/>
      <c r="O686" s="161"/>
      <c r="P686" s="118"/>
      <c r="Q686" s="118"/>
      <c r="R686" s="117"/>
      <c r="S686" s="117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  <c r="AL686" s="118"/>
      <c r="AM686" s="118"/>
      <c r="AN686" s="118"/>
      <c r="AO686" s="118"/>
      <c r="AP686" s="118"/>
      <c r="AQ686" s="118"/>
      <c r="AR686" s="118"/>
      <c r="AS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64"/>
      <c r="O687" s="161"/>
      <c r="P687" s="118"/>
      <c r="Q687" s="118"/>
      <c r="R687" s="117"/>
      <c r="S687" s="117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  <c r="AL687" s="118"/>
      <c r="AM687" s="118"/>
      <c r="AN687" s="118"/>
      <c r="AO687" s="118"/>
      <c r="AP687" s="118"/>
      <c r="AQ687" s="118"/>
      <c r="AR687" s="118"/>
      <c r="AS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64"/>
      <c r="O688" s="161"/>
      <c r="P688" s="118"/>
      <c r="Q688" s="118"/>
      <c r="R688" s="117"/>
      <c r="S688" s="117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  <c r="AL688" s="118"/>
      <c r="AM688" s="118"/>
      <c r="AN688" s="118"/>
      <c r="AO688" s="118"/>
      <c r="AP688" s="118"/>
      <c r="AQ688" s="118"/>
      <c r="AR688" s="118"/>
      <c r="AS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64"/>
      <c r="O689" s="161"/>
      <c r="P689" s="118"/>
      <c r="Q689" s="118"/>
      <c r="R689" s="117"/>
      <c r="S689" s="117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  <c r="AL689" s="118"/>
      <c r="AM689" s="118"/>
      <c r="AN689" s="118"/>
      <c r="AO689" s="118"/>
      <c r="AP689" s="118"/>
      <c r="AQ689" s="118"/>
      <c r="AR689" s="118"/>
      <c r="AS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64"/>
      <c r="O690" s="161"/>
      <c r="P690" s="118"/>
      <c r="Q690" s="118"/>
      <c r="R690" s="117"/>
      <c r="S690" s="117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  <c r="AL690" s="118"/>
      <c r="AM690" s="118"/>
      <c r="AN690" s="118"/>
      <c r="AO690" s="118"/>
      <c r="AP690" s="118"/>
      <c r="AQ690" s="118"/>
      <c r="AR690" s="118"/>
      <c r="AS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64"/>
      <c r="O691" s="161"/>
      <c r="P691" s="118"/>
      <c r="Q691" s="118"/>
      <c r="R691" s="117"/>
      <c r="S691" s="117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  <c r="AL691" s="118"/>
      <c r="AM691" s="118"/>
      <c r="AN691" s="118"/>
      <c r="AO691" s="118"/>
      <c r="AP691" s="118"/>
      <c r="AQ691" s="118"/>
      <c r="AR691" s="118"/>
      <c r="AS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64"/>
      <c r="O692" s="161"/>
      <c r="P692" s="118"/>
      <c r="Q692" s="118"/>
      <c r="R692" s="117"/>
      <c r="S692" s="117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  <c r="AL692" s="118"/>
      <c r="AM692" s="118"/>
      <c r="AN692" s="118"/>
      <c r="AO692" s="118"/>
      <c r="AP692" s="118"/>
      <c r="AQ692" s="118"/>
      <c r="AR692" s="118"/>
      <c r="AS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64"/>
      <c r="O693" s="161"/>
      <c r="P693" s="118"/>
      <c r="Q693" s="118"/>
      <c r="R693" s="117"/>
      <c r="S693" s="117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  <c r="AL693" s="118"/>
      <c r="AM693" s="118"/>
      <c r="AN693" s="118"/>
      <c r="AO693" s="118"/>
      <c r="AP693" s="118"/>
      <c r="AQ693" s="118"/>
      <c r="AR693" s="118"/>
      <c r="AS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64"/>
      <c r="O694" s="161"/>
      <c r="P694" s="118"/>
      <c r="Q694" s="118"/>
      <c r="R694" s="117"/>
      <c r="S694" s="117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  <c r="AL694" s="118"/>
      <c r="AM694" s="118"/>
      <c r="AN694" s="118"/>
      <c r="AO694" s="118"/>
      <c r="AP694" s="118"/>
      <c r="AQ694" s="118"/>
      <c r="AR694" s="118"/>
      <c r="AS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64"/>
      <c r="O695" s="161"/>
      <c r="P695" s="118"/>
      <c r="Q695" s="118"/>
      <c r="R695" s="117"/>
      <c r="S695" s="117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  <c r="AI695" s="118"/>
      <c r="AJ695" s="118"/>
      <c r="AK695" s="118"/>
      <c r="AL695" s="118"/>
      <c r="AM695" s="118"/>
      <c r="AN695" s="118"/>
      <c r="AO695" s="118"/>
      <c r="AP695" s="118"/>
      <c r="AQ695" s="118"/>
      <c r="AR695" s="118"/>
      <c r="AS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64"/>
      <c r="O696" s="161"/>
      <c r="P696" s="118"/>
      <c r="Q696" s="118"/>
      <c r="R696" s="117"/>
      <c r="S696" s="117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  <c r="AI696" s="118"/>
      <c r="AJ696" s="118"/>
      <c r="AK696" s="118"/>
      <c r="AL696" s="118"/>
      <c r="AM696" s="118"/>
      <c r="AN696" s="118"/>
      <c r="AO696" s="118"/>
      <c r="AP696" s="118"/>
      <c r="AQ696" s="118"/>
      <c r="AR696" s="118"/>
      <c r="AS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64"/>
      <c r="O697" s="161"/>
      <c r="P697" s="118"/>
      <c r="Q697" s="118"/>
      <c r="R697" s="117"/>
      <c r="S697" s="117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  <c r="AI697" s="118"/>
      <c r="AJ697" s="118"/>
      <c r="AK697" s="118"/>
      <c r="AL697" s="118"/>
      <c r="AM697" s="118"/>
      <c r="AN697" s="118"/>
      <c r="AO697" s="118"/>
      <c r="AP697" s="118"/>
      <c r="AQ697" s="118"/>
      <c r="AR697" s="118"/>
      <c r="AS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64"/>
      <c r="O698" s="161"/>
      <c r="P698" s="118"/>
      <c r="Q698" s="118"/>
      <c r="R698" s="117"/>
      <c r="S698" s="117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  <c r="AI698" s="118"/>
      <c r="AJ698" s="118"/>
      <c r="AK698" s="118"/>
      <c r="AL698" s="118"/>
      <c r="AM698" s="118"/>
      <c r="AN698" s="118"/>
      <c r="AO698" s="118"/>
      <c r="AP698" s="118"/>
      <c r="AQ698" s="118"/>
      <c r="AR698" s="118"/>
      <c r="AS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64"/>
      <c r="O699" s="161"/>
      <c r="P699" s="118"/>
      <c r="Q699" s="118"/>
      <c r="R699" s="117"/>
      <c r="S699" s="117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  <c r="AI699" s="118"/>
      <c r="AJ699" s="118"/>
      <c r="AK699" s="118"/>
      <c r="AL699" s="118"/>
      <c r="AM699" s="118"/>
      <c r="AN699" s="118"/>
      <c r="AO699" s="118"/>
      <c r="AP699" s="118"/>
      <c r="AQ699" s="118"/>
      <c r="AR699" s="118"/>
      <c r="AS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64"/>
      <c r="O700" s="161"/>
      <c r="P700" s="118"/>
      <c r="Q700" s="118"/>
      <c r="R700" s="117"/>
      <c r="S700" s="117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  <c r="AI700" s="118"/>
      <c r="AJ700" s="118"/>
      <c r="AK700" s="118"/>
      <c r="AL700" s="118"/>
      <c r="AM700" s="118"/>
      <c r="AN700" s="118"/>
      <c r="AO700" s="118"/>
      <c r="AP700" s="118"/>
      <c r="AQ700" s="118"/>
      <c r="AR700" s="118"/>
      <c r="AS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64"/>
      <c r="O701" s="161"/>
      <c r="P701" s="118"/>
      <c r="Q701" s="118"/>
      <c r="R701" s="117"/>
      <c r="S701" s="117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  <c r="AI701" s="118"/>
      <c r="AJ701" s="118"/>
      <c r="AK701" s="118"/>
      <c r="AL701" s="118"/>
      <c r="AM701" s="118"/>
      <c r="AN701" s="118"/>
      <c r="AO701" s="118"/>
      <c r="AP701" s="118"/>
      <c r="AQ701" s="118"/>
      <c r="AR701" s="118"/>
      <c r="AS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64"/>
      <c r="O702" s="161"/>
      <c r="P702" s="118"/>
      <c r="Q702" s="118"/>
      <c r="R702" s="117"/>
      <c r="S702" s="117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  <c r="AI702" s="118"/>
      <c r="AJ702" s="118"/>
      <c r="AK702" s="118"/>
      <c r="AL702" s="118"/>
      <c r="AM702" s="118"/>
      <c r="AN702" s="118"/>
      <c r="AO702" s="118"/>
      <c r="AP702" s="118"/>
      <c r="AQ702" s="118"/>
      <c r="AR702" s="118"/>
      <c r="AS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64"/>
      <c r="O703" s="161"/>
      <c r="P703" s="118"/>
      <c r="Q703" s="118"/>
      <c r="R703" s="117"/>
      <c r="S703" s="117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  <c r="AI703" s="118"/>
      <c r="AJ703" s="118"/>
      <c r="AK703" s="118"/>
      <c r="AL703" s="118"/>
      <c r="AM703" s="118"/>
      <c r="AN703" s="118"/>
      <c r="AO703" s="118"/>
      <c r="AP703" s="118"/>
      <c r="AQ703" s="118"/>
      <c r="AR703" s="118"/>
      <c r="AS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64"/>
      <c r="O704" s="161"/>
      <c r="P704" s="118"/>
      <c r="Q704" s="118"/>
      <c r="R704" s="117"/>
      <c r="S704" s="117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  <c r="AI704" s="118"/>
      <c r="AJ704" s="118"/>
      <c r="AK704" s="118"/>
      <c r="AL704" s="118"/>
      <c r="AM704" s="118"/>
      <c r="AN704" s="118"/>
      <c r="AO704" s="118"/>
      <c r="AP704" s="118"/>
      <c r="AQ704" s="118"/>
      <c r="AR704" s="118"/>
      <c r="AS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64"/>
      <c r="O705" s="161"/>
      <c r="P705" s="118"/>
      <c r="Q705" s="118"/>
      <c r="R705" s="117"/>
      <c r="S705" s="117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  <c r="AI705" s="118"/>
      <c r="AJ705" s="118"/>
      <c r="AK705" s="118"/>
      <c r="AL705" s="118"/>
      <c r="AM705" s="118"/>
      <c r="AN705" s="118"/>
      <c r="AO705" s="118"/>
      <c r="AP705" s="118"/>
      <c r="AQ705" s="118"/>
      <c r="AR705" s="118"/>
      <c r="AS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64"/>
      <c r="O706" s="161"/>
      <c r="P706" s="118"/>
      <c r="Q706" s="118"/>
      <c r="R706" s="117"/>
      <c r="S706" s="117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  <c r="AI706" s="118"/>
      <c r="AJ706" s="118"/>
      <c r="AK706" s="118"/>
      <c r="AL706" s="118"/>
      <c r="AM706" s="118"/>
      <c r="AN706" s="118"/>
      <c r="AO706" s="118"/>
      <c r="AP706" s="118"/>
      <c r="AQ706" s="118"/>
      <c r="AR706" s="118"/>
      <c r="AS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64"/>
      <c r="O707" s="161"/>
      <c r="P707" s="118"/>
      <c r="Q707" s="118"/>
      <c r="R707" s="117"/>
      <c r="S707" s="117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  <c r="AI707" s="118"/>
      <c r="AJ707" s="118"/>
      <c r="AK707" s="118"/>
      <c r="AL707" s="118"/>
      <c r="AM707" s="118"/>
      <c r="AN707" s="118"/>
      <c r="AO707" s="118"/>
      <c r="AP707" s="118"/>
      <c r="AQ707" s="118"/>
      <c r="AR707" s="118"/>
      <c r="AS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64"/>
      <c r="O708" s="161"/>
      <c r="P708" s="118"/>
      <c r="Q708" s="118"/>
      <c r="R708" s="117"/>
      <c r="S708" s="117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8"/>
      <c r="AN708" s="118"/>
      <c r="AO708" s="118"/>
      <c r="AP708" s="118"/>
      <c r="AQ708" s="118"/>
      <c r="AR708" s="118"/>
      <c r="AS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64"/>
      <c r="O709" s="161"/>
      <c r="P709" s="118"/>
      <c r="Q709" s="118"/>
      <c r="R709" s="117"/>
      <c r="S709" s="117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  <c r="AI709" s="118"/>
      <c r="AJ709" s="118"/>
      <c r="AK709" s="118"/>
      <c r="AL709" s="118"/>
      <c r="AM709" s="118"/>
      <c r="AN709" s="118"/>
      <c r="AO709" s="118"/>
      <c r="AP709" s="118"/>
      <c r="AQ709" s="118"/>
      <c r="AR709" s="118"/>
      <c r="AS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64"/>
      <c r="O710" s="161"/>
      <c r="P710" s="118"/>
      <c r="Q710" s="118"/>
      <c r="R710" s="117"/>
      <c r="S710" s="117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64"/>
      <c r="O711" s="161"/>
      <c r="P711" s="118"/>
      <c r="Q711" s="118"/>
      <c r="R711" s="117"/>
      <c r="S711" s="117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  <c r="AI711" s="118"/>
      <c r="AJ711" s="118"/>
      <c r="AK711" s="118"/>
      <c r="AL711" s="118"/>
      <c r="AM711" s="118"/>
      <c r="AN711" s="118"/>
      <c r="AO711" s="118"/>
      <c r="AP711" s="118"/>
      <c r="AQ711" s="118"/>
      <c r="AR711" s="118"/>
      <c r="AS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64"/>
      <c r="O712" s="161"/>
      <c r="P712" s="118"/>
      <c r="Q712" s="118"/>
      <c r="R712" s="117"/>
      <c r="S712" s="117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  <c r="AI712" s="118"/>
      <c r="AJ712" s="118"/>
      <c r="AK712" s="118"/>
      <c r="AL712" s="118"/>
      <c r="AM712" s="118"/>
      <c r="AN712" s="118"/>
      <c r="AO712" s="118"/>
      <c r="AP712" s="118"/>
      <c r="AQ712" s="118"/>
      <c r="AR712" s="118"/>
      <c r="AS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64"/>
      <c r="O713" s="161"/>
      <c r="P713" s="118"/>
      <c r="Q713" s="118"/>
      <c r="R713" s="117"/>
      <c r="S713" s="117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  <c r="AI713" s="118"/>
      <c r="AJ713" s="118"/>
      <c r="AK713" s="118"/>
      <c r="AL713" s="118"/>
      <c r="AM713" s="118"/>
      <c r="AN713" s="118"/>
      <c r="AO713" s="118"/>
      <c r="AP713" s="118"/>
      <c r="AQ713" s="118"/>
      <c r="AR713" s="118"/>
      <c r="AS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64"/>
      <c r="O714" s="161"/>
      <c r="P714" s="118"/>
      <c r="Q714" s="118"/>
      <c r="R714" s="117"/>
      <c r="S714" s="117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/>
      <c r="AK714" s="118"/>
      <c r="AL714" s="118"/>
      <c r="AM714" s="118"/>
      <c r="AN714" s="118"/>
      <c r="AO714" s="118"/>
      <c r="AP714" s="118"/>
      <c r="AQ714" s="118"/>
      <c r="AR714" s="118"/>
      <c r="AS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64"/>
      <c r="O715" s="161"/>
      <c r="P715" s="118"/>
      <c r="Q715" s="118"/>
      <c r="R715" s="117"/>
      <c r="S715" s="117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  <c r="AI715" s="118"/>
      <c r="AJ715" s="118"/>
      <c r="AK715" s="118"/>
      <c r="AL715" s="118"/>
      <c r="AM715" s="118"/>
      <c r="AN715" s="118"/>
      <c r="AO715" s="118"/>
      <c r="AP715" s="118"/>
      <c r="AQ715" s="118"/>
      <c r="AR715" s="118"/>
      <c r="AS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64"/>
      <c r="O716" s="161"/>
      <c r="P716" s="118"/>
      <c r="Q716" s="118"/>
      <c r="R716" s="117"/>
      <c r="S716" s="117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  <c r="AI716" s="118"/>
      <c r="AJ716" s="118"/>
      <c r="AK716" s="118"/>
      <c r="AL716" s="118"/>
      <c r="AM716" s="118"/>
      <c r="AN716" s="118"/>
      <c r="AO716" s="118"/>
      <c r="AP716" s="118"/>
      <c r="AQ716" s="118"/>
      <c r="AR716" s="118"/>
      <c r="AS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64"/>
      <c r="O717" s="161"/>
      <c r="P717" s="118"/>
      <c r="Q717" s="118"/>
      <c r="R717" s="117"/>
      <c r="S717" s="117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  <c r="AI717" s="118"/>
      <c r="AJ717" s="118"/>
      <c r="AK717" s="118"/>
      <c r="AL717" s="118"/>
      <c r="AM717" s="118"/>
      <c r="AN717" s="118"/>
      <c r="AO717" s="118"/>
      <c r="AP717" s="118"/>
      <c r="AQ717" s="118"/>
      <c r="AR717" s="118"/>
      <c r="AS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64"/>
      <c r="O718" s="161"/>
      <c r="P718" s="118"/>
      <c r="Q718" s="118"/>
      <c r="R718" s="117"/>
      <c r="S718" s="117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  <c r="AI718" s="118"/>
      <c r="AJ718" s="118"/>
      <c r="AK718" s="118"/>
      <c r="AL718" s="118"/>
      <c r="AM718" s="118"/>
      <c r="AN718" s="118"/>
      <c r="AO718" s="118"/>
      <c r="AP718" s="118"/>
      <c r="AQ718" s="118"/>
      <c r="AR718" s="118"/>
      <c r="AS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64"/>
      <c r="O719" s="161"/>
      <c r="P719" s="118"/>
      <c r="Q719" s="118"/>
      <c r="R719" s="117"/>
      <c r="S719" s="117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  <c r="AI719" s="118"/>
      <c r="AJ719" s="118"/>
      <c r="AK719" s="118"/>
      <c r="AL719" s="118"/>
      <c r="AM719" s="118"/>
      <c r="AN719" s="118"/>
      <c r="AO719" s="118"/>
      <c r="AP719" s="118"/>
      <c r="AQ719" s="118"/>
      <c r="AR719" s="118"/>
      <c r="AS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64"/>
      <c r="O720" s="161"/>
      <c r="P720" s="118"/>
      <c r="Q720" s="118"/>
      <c r="R720" s="117"/>
      <c r="S720" s="117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  <c r="AI720" s="118"/>
      <c r="AJ720" s="118"/>
      <c r="AK720" s="118"/>
      <c r="AL720" s="118"/>
      <c r="AM720" s="118"/>
      <c r="AN720" s="118"/>
      <c r="AO720" s="118"/>
      <c r="AP720" s="118"/>
      <c r="AQ720" s="118"/>
      <c r="AR720" s="118"/>
      <c r="AS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64"/>
      <c r="O721" s="161"/>
      <c r="P721" s="118"/>
      <c r="Q721" s="118"/>
      <c r="R721" s="117"/>
      <c r="S721" s="117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  <c r="AI721" s="118"/>
      <c r="AJ721" s="118"/>
      <c r="AK721" s="118"/>
      <c r="AL721" s="118"/>
      <c r="AM721" s="118"/>
      <c r="AN721" s="118"/>
      <c r="AO721" s="118"/>
      <c r="AP721" s="118"/>
      <c r="AQ721" s="118"/>
      <c r="AR721" s="118"/>
      <c r="AS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64"/>
      <c r="O722" s="161"/>
      <c r="P722" s="118"/>
      <c r="Q722" s="118"/>
      <c r="R722" s="117"/>
      <c r="S722" s="117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  <c r="AI722" s="118"/>
      <c r="AJ722" s="118"/>
      <c r="AK722" s="118"/>
      <c r="AL722" s="118"/>
      <c r="AM722" s="118"/>
      <c r="AN722" s="118"/>
      <c r="AO722" s="118"/>
      <c r="AP722" s="118"/>
      <c r="AQ722" s="118"/>
      <c r="AR722" s="118"/>
      <c r="AS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64"/>
      <c r="O723" s="161"/>
      <c r="P723" s="118"/>
      <c r="Q723" s="118"/>
      <c r="R723" s="117"/>
      <c r="S723" s="117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/>
      <c r="AK723" s="118"/>
      <c r="AL723" s="118"/>
      <c r="AM723" s="118"/>
      <c r="AN723" s="118"/>
      <c r="AO723" s="118"/>
      <c r="AP723" s="118"/>
      <c r="AQ723" s="118"/>
      <c r="AR723" s="118"/>
      <c r="AS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64"/>
      <c r="O724" s="161"/>
      <c r="P724" s="118"/>
      <c r="Q724" s="118"/>
      <c r="R724" s="117"/>
      <c r="S724" s="117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  <c r="AI724" s="118"/>
      <c r="AJ724" s="118"/>
      <c r="AK724" s="118"/>
      <c r="AL724" s="118"/>
      <c r="AM724" s="118"/>
      <c r="AN724" s="118"/>
      <c r="AO724" s="118"/>
      <c r="AP724" s="118"/>
      <c r="AQ724" s="118"/>
      <c r="AR724" s="118"/>
      <c r="AS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64"/>
      <c r="O725" s="161"/>
      <c r="P725" s="118"/>
      <c r="Q725" s="118"/>
      <c r="R725" s="117"/>
      <c r="S725" s="117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  <c r="AI725" s="118"/>
      <c r="AJ725" s="118"/>
      <c r="AK725" s="118"/>
      <c r="AL725" s="118"/>
      <c r="AM725" s="118"/>
      <c r="AN725" s="118"/>
      <c r="AO725" s="118"/>
      <c r="AP725" s="118"/>
      <c r="AQ725" s="118"/>
      <c r="AR725" s="118"/>
      <c r="AS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64"/>
      <c r="O726" s="161"/>
      <c r="P726" s="118"/>
      <c r="Q726" s="118"/>
      <c r="R726" s="117"/>
      <c r="S726" s="117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  <c r="AI726" s="118"/>
      <c r="AJ726" s="118"/>
      <c r="AK726" s="118"/>
      <c r="AL726" s="118"/>
      <c r="AM726" s="118"/>
      <c r="AN726" s="118"/>
      <c r="AO726" s="118"/>
      <c r="AP726" s="118"/>
      <c r="AQ726" s="118"/>
      <c r="AR726" s="118"/>
      <c r="AS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64"/>
      <c r="O727" s="161"/>
      <c r="P727" s="118"/>
      <c r="Q727" s="118"/>
      <c r="R727" s="117"/>
      <c r="S727" s="117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  <c r="AI727" s="118"/>
      <c r="AJ727" s="118"/>
      <c r="AK727" s="118"/>
      <c r="AL727" s="118"/>
      <c r="AM727" s="118"/>
      <c r="AN727" s="118"/>
      <c r="AO727" s="118"/>
      <c r="AP727" s="118"/>
      <c r="AQ727" s="118"/>
      <c r="AR727" s="118"/>
      <c r="AS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64"/>
      <c r="O728" s="161"/>
      <c r="P728" s="118"/>
      <c r="Q728" s="118"/>
      <c r="R728" s="117"/>
      <c r="S728" s="117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  <c r="AI728" s="118"/>
      <c r="AJ728" s="118"/>
      <c r="AK728" s="118"/>
      <c r="AL728" s="118"/>
      <c r="AM728" s="118"/>
      <c r="AN728" s="118"/>
      <c r="AO728" s="118"/>
      <c r="AP728" s="118"/>
      <c r="AQ728" s="118"/>
      <c r="AR728" s="118"/>
      <c r="AS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64"/>
      <c r="O729" s="161"/>
      <c r="P729" s="118"/>
      <c r="Q729" s="118"/>
      <c r="R729" s="117"/>
      <c r="S729" s="117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  <c r="AI729" s="118"/>
      <c r="AJ729" s="118"/>
      <c r="AK729" s="118"/>
      <c r="AL729" s="118"/>
      <c r="AM729" s="118"/>
      <c r="AN729" s="118"/>
      <c r="AO729" s="118"/>
      <c r="AP729" s="118"/>
      <c r="AQ729" s="118"/>
      <c r="AR729" s="118"/>
      <c r="AS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64"/>
      <c r="O730" s="161"/>
      <c r="P730" s="118"/>
      <c r="Q730" s="118"/>
      <c r="R730" s="117"/>
      <c r="S730" s="117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/>
      <c r="AK730" s="118"/>
      <c r="AL730" s="118"/>
      <c r="AM730" s="118"/>
      <c r="AN730" s="118"/>
      <c r="AO730" s="118"/>
      <c r="AP730" s="118"/>
      <c r="AQ730" s="118"/>
      <c r="AR730" s="118"/>
      <c r="AS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64"/>
      <c r="O731" s="161"/>
      <c r="P731" s="118"/>
      <c r="Q731" s="118"/>
      <c r="R731" s="117"/>
      <c r="S731" s="117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/>
      <c r="AK731" s="118"/>
      <c r="AL731" s="118"/>
      <c r="AM731" s="118"/>
      <c r="AN731" s="118"/>
      <c r="AO731" s="118"/>
      <c r="AP731" s="118"/>
      <c r="AQ731" s="118"/>
      <c r="AR731" s="118"/>
      <c r="AS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64"/>
      <c r="O732" s="161"/>
      <c r="P732" s="118"/>
      <c r="Q732" s="118"/>
      <c r="R732" s="117"/>
      <c r="S732" s="117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  <c r="AI732" s="118"/>
      <c r="AJ732" s="118"/>
      <c r="AK732" s="118"/>
      <c r="AL732" s="118"/>
      <c r="AM732" s="118"/>
      <c r="AN732" s="118"/>
      <c r="AO732" s="118"/>
      <c r="AP732" s="118"/>
      <c r="AQ732" s="118"/>
      <c r="AR732" s="118"/>
      <c r="AS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64"/>
      <c r="O733" s="161"/>
      <c r="P733" s="118"/>
      <c r="Q733" s="118"/>
      <c r="R733" s="117"/>
      <c r="S733" s="117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  <c r="AI733" s="118"/>
      <c r="AJ733" s="118"/>
      <c r="AK733" s="118"/>
      <c r="AL733" s="118"/>
      <c r="AM733" s="118"/>
      <c r="AN733" s="118"/>
      <c r="AO733" s="118"/>
      <c r="AP733" s="118"/>
      <c r="AQ733" s="118"/>
      <c r="AR733" s="118"/>
      <c r="AS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64"/>
      <c r="O734" s="161"/>
      <c r="P734" s="118"/>
      <c r="Q734" s="118"/>
      <c r="R734" s="117"/>
      <c r="S734" s="117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  <c r="AI734" s="118"/>
      <c r="AJ734" s="118"/>
      <c r="AK734" s="118"/>
      <c r="AL734" s="118"/>
      <c r="AM734" s="118"/>
      <c r="AN734" s="118"/>
      <c r="AO734" s="118"/>
      <c r="AP734" s="118"/>
      <c r="AQ734" s="118"/>
      <c r="AR734" s="118"/>
      <c r="AS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64"/>
      <c r="O735" s="161"/>
      <c r="P735" s="118"/>
      <c r="Q735" s="118"/>
      <c r="R735" s="117"/>
      <c r="S735" s="117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  <c r="AI735" s="118"/>
      <c r="AJ735" s="118"/>
      <c r="AK735" s="118"/>
      <c r="AL735" s="118"/>
      <c r="AM735" s="118"/>
      <c r="AN735" s="118"/>
      <c r="AO735" s="118"/>
      <c r="AP735" s="118"/>
      <c r="AQ735" s="118"/>
      <c r="AR735" s="118"/>
      <c r="AS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64"/>
      <c r="O736" s="161"/>
      <c r="P736" s="118"/>
      <c r="Q736" s="118"/>
      <c r="R736" s="117"/>
      <c r="S736" s="117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  <c r="AI736" s="118"/>
      <c r="AJ736" s="118"/>
      <c r="AK736" s="118"/>
      <c r="AL736" s="118"/>
      <c r="AM736" s="118"/>
      <c r="AN736" s="118"/>
      <c r="AO736" s="118"/>
      <c r="AP736" s="118"/>
      <c r="AQ736" s="118"/>
      <c r="AR736" s="118"/>
      <c r="AS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64"/>
      <c r="O737" s="161"/>
      <c r="P737" s="118"/>
      <c r="Q737" s="118"/>
      <c r="R737" s="117"/>
      <c r="S737" s="117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  <c r="AI737" s="118"/>
      <c r="AJ737" s="118"/>
      <c r="AK737" s="118"/>
      <c r="AL737" s="118"/>
      <c r="AM737" s="118"/>
      <c r="AN737" s="118"/>
      <c r="AO737" s="118"/>
      <c r="AP737" s="118"/>
      <c r="AQ737" s="118"/>
      <c r="AR737" s="118"/>
      <c r="AS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64"/>
      <c r="O738" s="161"/>
      <c r="P738" s="118"/>
      <c r="Q738" s="118"/>
      <c r="R738" s="117"/>
      <c r="S738" s="117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  <c r="AI738" s="118"/>
      <c r="AJ738" s="118"/>
      <c r="AK738" s="118"/>
      <c r="AL738" s="118"/>
      <c r="AM738" s="118"/>
      <c r="AN738" s="118"/>
      <c r="AO738" s="118"/>
      <c r="AP738" s="118"/>
      <c r="AQ738" s="118"/>
      <c r="AR738" s="118"/>
      <c r="AS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64"/>
      <c r="O739" s="161"/>
      <c r="P739" s="118"/>
      <c r="Q739" s="118"/>
      <c r="R739" s="117"/>
      <c r="S739" s="117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  <c r="AI739" s="118"/>
      <c r="AJ739" s="118"/>
      <c r="AK739" s="118"/>
      <c r="AL739" s="118"/>
      <c r="AM739" s="118"/>
      <c r="AN739" s="118"/>
      <c r="AO739" s="118"/>
      <c r="AP739" s="118"/>
      <c r="AQ739" s="118"/>
      <c r="AR739" s="118"/>
      <c r="AS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64"/>
      <c r="O740" s="161"/>
      <c r="P740" s="118"/>
      <c r="Q740" s="118"/>
      <c r="R740" s="117"/>
      <c r="S740" s="117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  <c r="AI740" s="118"/>
      <c r="AJ740" s="118"/>
      <c r="AK740" s="118"/>
      <c r="AL740" s="118"/>
      <c r="AM740" s="118"/>
      <c r="AN740" s="118"/>
      <c r="AO740" s="118"/>
      <c r="AP740" s="118"/>
      <c r="AQ740" s="118"/>
      <c r="AR740" s="118"/>
      <c r="AS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64"/>
      <c r="O741" s="161"/>
      <c r="P741" s="118"/>
      <c r="Q741" s="118"/>
      <c r="R741" s="117"/>
      <c r="S741" s="117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  <c r="AI741" s="118"/>
      <c r="AJ741" s="118"/>
      <c r="AK741" s="118"/>
      <c r="AL741" s="118"/>
      <c r="AM741" s="118"/>
      <c r="AN741" s="118"/>
      <c r="AO741" s="118"/>
      <c r="AP741" s="118"/>
      <c r="AQ741" s="118"/>
      <c r="AR741" s="118"/>
      <c r="AS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64"/>
      <c r="O742" s="161"/>
      <c r="P742" s="118"/>
      <c r="Q742" s="118"/>
      <c r="R742" s="117"/>
      <c r="S742" s="117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  <c r="AI742" s="118"/>
      <c r="AJ742" s="118"/>
      <c r="AK742" s="118"/>
      <c r="AL742" s="118"/>
      <c r="AM742" s="118"/>
      <c r="AN742" s="118"/>
      <c r="AO742" s="118"/>
      <c r="AP742" s="118"/>
      <c r="AQ742" s="118"/>
      <c r="AR742" s="118"/>
      <c r="AS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64"/>
      <c r="O743" s="161"/>
      <c r="P743" s="118"/>
      <c r="Q743" s="118"/>
      <c r="R743" s="117"/>
      <c r="S743" s="117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  <c r="AI743" s="118"/>
      <c r="AJ743" s="118"/>
      <c r="AK743" s="118"/>
      <c r="AL743" s="118"/>
      <c r="AM743" s="118"/>
      <c r="AN743" s="118"/>
      <c r="AO743" s="118"/>
      <c r="AP743" s="118"/>
      <c r="AQ743" s="118"/>
      <c r="AR743" s="118"/>
      <c r="AS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64"/>
      <c r="O744" s="161"/>
      <c r="P744" s="118"/>
      <c r="Q744" s="118"/>
      <c r="R744" s="117"/>
      <c r="S744" s="117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  <c r="AI744" s="118"/>
      <c r="AJ744" s="118"/>
      <c r="AK744" s="118"/>
      <c r="AL744" s="118"/>
      <c r="AM744" s="118"/>
      <c r="AN744" s="118"/>
      <c r="AO744" s="118"/>
      <c r="AP744" s="118"/>
      <c r="AQ744" s="118"/>
      <c r="AR744" s="118"/>
      <c r="AS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64"/>
      <c r="O745" s="161"/>
      <c r="P745" s="118"/>
      <c r="Q745" s="118"/>
      <c r="R745" s="117"/>
      <c r="S745" s="117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  <c r="AI745" s="118"/>
      <c r="AJ745" s="118"/>
      <c r="AK745" s="118"/>
      <c r="AL745" s="118"/>
      <c r="AM745" s="118"/>
      <c r="AN745" s="118"/>
      <c r="AO745" s="118"/>
      <c r="AP745" s="118"/>
      <c r="AQ745" s="118"/>
      <c r="AR745" s="118"/>
      <c r="AS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64"/>
      <c r="O746" s="161"/>
      <c r="P746" s="118"/>
      <c r="Q746" s="118"/>
      <c r="R746" s="117"/>
      <c r="S746" s="117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8"/>
      <c r="AN746" s="118"/>
      <c r="AO746" s="118"/>
      <c r="AP746" s="118"/>
      <c r="AQ746" s="118"/>
      <c r="AR746" s="118"/>
      <c r="AS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64"/>
      <c r="O747" s="161"/>
      <c r="P747" s="118"/>
      <c r="Q747" s="118"/>
      <c r="R747" s="117"/>
      <c r="S747" s="117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  <c r="AI747" s="118"/>
      <c r="AJ747" s="118"/>
      <c r="AK747" s="118"/>
      <c r="AL747" s="118"/>
      <c r="AM747" s="118"/>
      <c r="AN747" s="118"/>
      <c r="AO747" s="118"/>
      <c r="AP747" s="118"/>
      <c r="AQ747" s="118"/>
      <c r="AR747" s="118"/>
      <c r="AS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64"/>
      <c r="O748" s="161"/>
      <c r="P748" s="118"/>
      <c r="Q748" s="118"/>
      <c r="R748" s="117"/>
      <c r="S748" s="117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  <c r="AI748" s="118"/>
      <c r="AJ748" s="118"/>
      <c r="AK748" s="118"/>
      <c r="AL748" s="118"/>
      <c r="AM748" s="118"/>
      <c r="AN748" s="118"/>
      <c r="AO748" s="118"/>
      <c r="AP748" s="118"/>
      <c r="AQ748" s="118"/>
      <c r="AR748" s="118"/>
      <c r="AS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64"/>
      <c r="O749" s="161"/>
      <c r="P749" s="118"/>
      <c r="Q749" s="118"/>
      <c r="R749" s="117"/>
      <c r="S749" s="117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  <c r="AI749" s="118"/>
      <c r="AJ749" s="118"/>
      <c r="AK749" s="118"/>
      <c r="AL749" s="118"/>
      <c r="AM749" s="118"/>
      <c r="AN749" s="118"/>
      <c r="AO749" s="118"/>
      <c r="AP749" s="118"/>
      <c r="AQ749" s="118"/>
      <c r="AR749" s="118"/>
      <c r="AS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64"/>
      <c r="O750" s="161"/>
      <c r="P750" s="118"/>
      <c r="Q750" s="118"/>
      <c r="R750" s="117"/>
      <c r="S750" s="117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  <c r="AI750" s="118"/>
      <c r="AJ750" s="118"/>
      <c r="AK750" s="118"/>
      <c r="AL750" s="118"/>
      <c r="AM750" s="118"/>
      <c r="AN750" s="118"/>
      <c r="AO750" s="118"/>
      <c r="AP750" s="118"/>
      <c r="AQ750" s="118"/>
      <c r="AR750" s="118"/>
      <c r="AS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64"/>
      <c r="O751" s="161"/>
      <c r="P751" s="118"/>
      <c r="Q751" s="118"/>
      <c r="R751" s="117"/>
      <c r="S751" s="117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  <c r="AI751" s="118"/>
      <c r="AJ751" s="118"/>
      <c r="AK751" s="118"/>
      <c r="AL751" s="118"/>
      <c r="AM751" s="118"/>
      <c r="AN751" s="118"/>
      <c r="AO751" s="118"/>
      <c r="AP751" s="118"/>
      <c r="AQ751" s="118"/>
      <c r="AR751" s="118"/>
      <c r="AS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64"/>
      <c r="O752" s="161"/>
      <c r="P752" s="118"/>
      <c r="Q752" s="118"/>
      <c r="R752" s="117"/>
      <c r="S752" s="117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  <c r="AI752" s="118"/>
      <c r="AJ752" s="118"/>
      <c r="AK752" s="118"/>
      <c r="AL752" s="118"/>
      <c r="AM752" s="118"/>
      <c r="AN752" s="118"/>
      <c r="AO752" s="118"/>
      <c r="AP752" s="118"/>
      <c r="AQ752" s="118"/>
      <c r="AR752" s="118"/>
      <c r="AS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64"/>
      <c r="O753" s="161"/>
      <c r="P753" s="118"/>
      <c r="Q753" s="118"/>
      <c r="R753" s="117"/>
      <c r="S753" s="117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  <c r="AI753" s="118"/>
      <c r="AJ753" s="118"/>
      <c r="AK753" s="118"/>
      <c r="AL753" s="118"/>
      <c r="AM753" s="118"/>
      <c r="AN753" s="118"/>
      <c r="AO753" s="118"/>
      <c r="AP753" s="118"/>
      <c r="AQ753" s="118"/>
      <c r="AR753" s="118"/>
      <c r="AS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64"/>
      <c r="O754" s="161"/>
      <c r="P754" s="118"/>
      <c r="Q754" s="118"/>
      <c r="R754" s="117"/>
      <c r="S754" s="117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  <c r="AI754" s="118"/>
      <c r="AJ754" s="118"/>
      <c r="AK754" s="118"/>
      <c r="AL754" s="118"/>
      <c r="AM754" s="118"/>
      <c r="AN754" s="118"/>
      <c r="AO754" s="118"/>
      <c r="AP754" s="118"/>
      <c r="AQ754" s="118"/>
      <c r="AR754" s="118"/>
      <c r="AS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64"/>
      <c r="O755" s="161"/>
      <c r="P755" s="118"/>
      <c r="Q755" s="118"/>
      <c r="R755" s="117"/>
      <c r="S755" s="117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  <c r="AI755" s="118"/>
      <c r="AJ755" s="118"/>
      <c r="AK755" s="118"/>
      <c r="AL755" s="118"/>
      <c r="AM755" s="118"/>
      <c r="AN755" s="118"/>
      <c r="AO755" s="118"/>
      <c r="AP755" s="118"/>
      <c r="AQ755" s="118"/>
      <c r="AR755" s="118"/>
      <c r="AS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64"/>
      <c r="O756" s="161"/>
      <c r="P756" s="118"/>
      <c r="Q756" s="118"/>
      <c r="R756" s="117"/>
      <c r="S756" s="117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  <c r="AI756" s="118"/>
      <c r="AJ756" s="118"/>
      <c r="AK756" s="118"/>
      <c r="AL756" s="118"/>
      <c r="AM756" s="118"/>
      <c r="AN756" s="118"/>
      <c r="AO756" s="118"/>
      <c r="AP756" s="118"/>
      <c r="AQ756" s="118"/>
      <c r="AR756" s="118"/>
      <c r="AS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64"/>
      <c r="O757" s="161"/>
      <c r="P757" s="118"/>
      <c r="Q757" s="118"/>
      <c r="R757" s="117"/>
      <c r="S757" s="117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  <c r="AI757" s="118"/>
      <c r="AJ757" s="118"/>
      <c r="AK757" s="118"/>
      <c r="AL757" s="118"/>
      <c r="AM757" s="118"/>
      <c r="AN757" s="118"/>
      <c r="AO757" s="118"/>
      <c r="AP757" s="118"/>
      <c r="AQ757" s="118"/>
      <c r="AR757" s="118"/>
      <c r="AS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64"/>
      <c r="O758" s="161"/>
      <c r="P758" s="118"/>
      <c r="Q758" s="118"/>
      <c r="R758" s="117"/>
      <c r="S758" s="117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  <c r="AI758" s="118"/>
      <c r="AJ758" s="118"/>
      <c r="AK758" s="118"/>
      <c r="AL758" s="118"/>
      <c r="AM758" s="118"/>
      <c r="AN758" s="118"/>
      <c r="AO758" s="118"/>
      <c r="AP758" s="118"/>
      <c r="AQ758" s="118"/>
      <c r="AR758" s="118"/>
      <c r="AS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64"/>
      <c r="O759" s="161"/>
      <c r="P759" s="118"/>
      <c r="Q759" s="118"/>
      <c r="R759" s="117"/>
      <c r="S759" s="117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  <c r="AI759" s="118"/>
      <c r="AJ759" s="118"/>
      <c r="AK759" s="118"/>
      <c r="AL759" s="118"/>
      <c r="AM759" s="118"/>
      <c r="AN759" s="118"/>
      <c r="AO759" s="118"/>
      <c r="AP759" s="118"/>
      <c r="AQ759" s="118"/>
      <c r="AR759" s="118"/>
      <c r="AS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64"/>
      <c r="O760" s="161"/>
      <c r="P760" s="118"/>
      <c r="Q760" s="118"/>
      <c r="R760" s="117"/>
      <c r="S760" s="117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  <c r="AI760" s="118"/>
      <c r="AJ760" s="118"/>
      <c r="AK760" s="118"/>
      <c r="AL760" s="118"/>
      <c r="AM760" s="118"/>
      <c r="AN760" s="118"/>
      <c r="AO760" s="118"/>
      <c r="AP760" s="118"/>
      <c r="AQ760" s="118"/>
      <c r="AR760" s="118"/>
      <c r="AS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64"/>
      <c r="O761" s="161"/>
      <c r="P761" s="118"/>
      <c r="Q761" s="118"/>
      <c r="R761" s="117"/>
      <c r="S761" s="117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  <c r="AI761" s="118"/>
      <c r="AJ761" s="118"/>
      <c r="AK761" s="118"/>
      <c r="AL761" s="118"/>
      <c r="AM761" s="118"/>
      <c r="AN761" s="118"/>
      <c r="AO761" s="118"/>
      <c r="AP761" s="118"/>
      <c r="AQ761" s="118"/>
      <c r="AR761" s="118"/>
      <c r="AS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64"/>
      <c r="O762" s="161"/>
      <c r="P762" s="118"/>
      <c r="Q762" s="118"/>
      <c r="R762" s="117"/>
      <c r="S762" s="117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  <c r="AI762" s="118"/>
      <c r="AJ762" s="118"/>
      <c r="AK762" s="118"/>
      <c r="AL762" s="118"/>
      <c r="AM762" s="118"/>
      <c r="AN762" s="118"/>
      <c r="AO762" s="118"/>
      <c r="AP762" s="118"/>
      <c r="AQ762" s="118"/>
      <c r="AR762" s="118"/>
      <c r="AS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64"/>
      <c r="O763" s="161"/>
      <c r="P763" s="118"/>
      <c r="Q763" s="118"/>
      <c r="R763" s="117"/>
      <c r="S763" s="117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64"/>
      <c r="O764" s="161"/>
      <c r="P764" s="118"/>
      <c r="Q764" s="118"/>
      <c r="R764" s="117"/>
      <c r="S764" s="117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  <c r="AI764" s="118"/>
      <c r="AJ764" s="118"/>
      <c r="AK764" s="118"/>
      <c r="AL764" s="118"/>
      <c r="AM764" s="118"/>
      <c r="AN764" s="118"/>
      <c r="AO764" s="118"/>
      <c r="AP764" s="118"/>
      <c r="AQ764" s="118"/>
      <c r="AR764" s="118"/>
      <c r="AS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64"/>
      <c r="O765" s="161"/>
      <c r="P765" s="118"/>
      <c r="Q765" s="118"/>
      <c r="R765" s="117"/>
      <c r="S765" s="117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  <c r="AI765" s="118"/>
      <c r="AJ765" s="118"/>
      <c r="AK765" s="118"/>
      <c r="AL765" s="118"/>
      <c r="AM765" s="118"/>
      <c r="AN765" s="118"/>
      <c r="AO765" s="118"/>
      <c r="AP765" s="118"/>
      <c r="AQ765" s="118"/>
      <c r="AR765" s="118"/>
      <c r="AS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64"/>
      <c r="O766" s="161"/>
      <c r="P766" s="118"/>
      <c r="Q766" s="118"/>
      <c r="R766" s="117"/>
      <c r="S766" s="117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  <c r="AI766" s="118"/>
      <c r="AJ766" s="118"/>
      <c r="AK766" s="118"/>
      <c r="AL766" s="118"/>
      <c r="AM766" s="118"/>
      <c r="AN766" s="118"/>
      <c r="AO766" s="118"/>
      <c r="AP766" s="118"/>
      <c r="AQ766" s="118"/>
      <c r="AR766" s="118"/>
      <c r="AS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64"/>
      <c r="O767" s="161"/>
      <c r="P767" s="118"/>
      <c r="Q767" s="118"/>
      <c r="R767" s="117"/>
      <c r="S767" s="117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  <c r="AI767" s="118"/>
      <c r="AJ767" s="118"/>
      <c r="AK767" s="118"/>
      <c r="AL767" s="118"/>
      <c r="AM767" s="118"/>
      <c r="AN767" s="118"/>
      <c r="AO767" s="118"/>
      <c r="AP767" s="118"/>
      <c r="AQ767" s="118"/>
      <c r="AR767" s="118"/>
      <c r="AS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64"/>
      <c r="O768" s="161"/>
      <c r="P768" s="118"/>
      <c r="Q768" s="118"/>
      <c r="R768" s="117"/>
      <c r="S768" s="117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  <c r="AI768" s="118"/>
      <c r="AJ768" s="118"/>
      <c r="AK768" s="118"/>
      <c r="AL768" s="118"/>
      <c r="AM768" s="118"/>
      <c r="AN768" s="118"/>
      <c r="AO768" s="118"/>
      <c r="AP768" s="118"/>
      <c r="AQ768" s="118"/>
      <c r="AR768" s="118"/>
      <c r="AS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64"/>
      <c r="O769" s="161"/>
      <c r="P769" s="118"/>
      <c r="Q769" s="118"/>
      <c r="R769" s="117"/>
      <c r="S769" s="117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  <c r="AI769" s="118"/>
      <c r="AJ769" s="118"/>
      <c r="AK769" s="118"/>
      <c r="AL769" s="118"/>
      <c r="AM769" s="118"/>
      <c r="AN769" s="118"/>
      <c r="AO769" s="118"/>
      <c r="AP769" s="118"/>
      <c r="AQ769" s="118"/>
      <c r="AR769" s="118"/>
      <c r="AS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64"/>
      <c r="O770" s="161"/>
      <c r="P770" s="118"/>
      <c r="Q770" s="118"/>
      <c r="R770" s="117"/>
      <c r="S770" s="117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  <c r="AI770" s="118"/>
      <c r="AJ770" s="118"/>
      <c r="AK770" s="118"/>
      <c r="AL770" s="118"/>
      <c r="AM770" s="118"/>
      <c r="AN770" s="118"/>
      <c r="AO770" s="118"/>
      <c r="AP770" s="118"/>
      <c r="AQ770" s="118"/>
      <c r="AR770" s="118"/>
      <c r="AS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64"/>
      <c r="O771" s="161"/>
      <c r="P771" s="118"/>
      <c r="Q771" s="118"/>
      <c r="R771" s="117"/>
      <c r="S771" s="117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  <c r="AI771" s="118"/>
      <c r="AJ771" s="118"/>
      <c r="AK771" s="118"/>
      <c r="AL771" s="118"/>
      <c r="AM771" s="118"/>
      <c r="AN771" s="118"/>
      <c r="AO771" s="118"/>
      <c r="AP771" s="118"/>
      <c r="AQ771" s="118"/>
      <c r="AR771" s="118"/>
      <c r="AS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64"/>
      <c r="O772" s="161"/>
      <c r="P772" s="118"/>
      <c r="Q772" s="118"/>
      <c r="R772" s="117"/>
      <c r="S772" s="117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  <c r="AI772" s="118"/>
      <c r="AJ772" s="118"/>
      <c r="AK772" s="118"/>
      <c r="AL772" s="118"/>
      <c r="AM772" s="118"/>
      <c r="AN772" s="118"/>
      <c r="AO772" s="118"/>
      <c r="AP772" s="118"/>
      <c r="AQ772" s="118"/>
      <c r="AR772" s="118"/>
      <c r="AS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64"/>
      <c r="O773" s="161"/>
      <c r="P773" s="118"/>
      <c r="Q773" s="118"/>
      <c r="R773" s="117"/>
      <c r="S773" s="117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  <c r="AI773" s="118"/>
      <c r="AJ773" s="118"/>
      <c r="AK773" s="118"/>
      <c r="AL773" s="118"/>
      <c r="AM773" s="118"/>
      <c r="AN773" s="118"/>
      <c r="AO773" s="118"/>
      <c r="AP773" s="118"/>
      <c r="AQ773" s="118"/>
      <c r="AR773" s="118"/>
      <c r="AS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64"/>
      <c r="O774" s="161"/>
      <c r="P774" s="118"/>
      <c r="Q774" s="118"/>
      <c r="R774" s="117"/>
      <c r="S774" s="117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  <c r="AI774" s="118"/>
      <c r="AJ774" s="118"/>
      <c r="AK774" s="118"/>
      <c r="AL774" s="118"/>
      <c r="AM774" s="118"/>
      <c r="AN774" s="118"/>
      <c r="AO774" s="118"/>
      <c r="AP774" s="118"/>
      <c r="AQ774" s="118"/>
      <c r="AR774" s="118"/>
      <c r="AS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64"/>
      <c r="O775" s="161"/>
      <c r="P775" s="118"/>
      <c r="Q775" s="118"/>
      <c r="R775" s="117"/>
      <c r="S775" s="117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  <c r="AL775" s="118"/>
      <c r="AM775" s="118"/>
      <c r="AN775" s="118"/>
      <c r="AO775" s="118"/>
      <c r="AP775" s="118"/>
      <c r="AQ775" s="118"/>
      <c r="AR775" s="118"/>
      <c r="AS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64"/>
      <c r="O776" s="161"/>
      <c r="P776" s="118"/>
      <c r="Q776" s="118"/>
      <c r="R776" s="117"/>
      <c r="S776" s="117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  <c r="AI776" s="118"/>
      <c r="AJ776" s="118"/>
      <c r="AK776" s="118"/>
      <c r="AL776" s="118"/>
      <c r="AM776" s="118"/>
      <c r="AN776" s="118"/>
      <c r="AO776" s="118"/>
      <c r="AP776" s="118"/>
      <c r="AQ776" s="118"/>
      <c r="AR776" s="118"/>
      <c r="AS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64"/>
      <c r="O777" s="161"/>
      <c r="P777" s="118"/>
      <c r="Q777" s="118"/>
      <c r="R777" s="117"/>
      <c r="S777" s="117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  <c r="AI777" s="118"/>
      <c r="AJ777" s="118"/>
      <c r="AK777" s="118"/>
      <c r="AL777" s="118"/>
      <c r="AM777" s="118"/>
      <c r="AN777" s="118"/>
      <c r="AO777" s="118"/>
      <c r="AP777" s="118"/>
      <c r="AQ777" s="118"/>
      <c r="AR777" s="118"/>
      <c r="AS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64"/>
      <c r="O778" s="161"/>
      <c r="P778" s="118"/>
      <c r="Q778" s="118"/>
      <c r="R778" s="117"/>
      <c r="S778" s="117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  <c r="AI778" s="118"/>
      <c r="AJ778" s="118"/>
      <c r="AK778" s="118"/>
      <c r="AL778" s="118"/>
      <c r="AM778" s="118"/>
      <c r="AN778" s="118"/>
      <c r="AO778" s="118"/>
      <c r="AP778" s="118"/>
      <c r="AQ778" s="118"/>
      <c r="AR778" s="118"/>
      <c r="AS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64"/>
      <c r="O779" s="161"/>
      <c r="P779" s="118"/>
      <c r="Q779" s="118"/>
      <c r="R779" s="117"/>
      <c r="S779" s="117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  <c r="AI779" s="118"/>
      <c r="AJ779" s="118"/>
      <c r="AK779" s="118"/>
      <c r="AL779" s="118"/>
      <c r="AM779" s="118"/>
      <c r="AN779" s="118"/>
      <c r="AO779" s="118"/>
      <c r="AP779" s="118"/>
      <c r="AQ779" s="118"/>
      <c r="AR779" s="118"/>
      <c r="AS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64"/>
      <c r="O780" s="161"/>
      <c r="P780" s="118"/>
      <c r="Q780" s="118"/>
      <c r="R780" s="117"/>
      <c r="S780" s="117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  <c r="AI780" s="118"/>
      <c r="AJ780" s="118"/>
      <c r="AK780" s="118"/>
      <c r="AL780" s="118"/>
      <c r="AM780" s="118"/>
      <c r="AN780" s="118"/>
      <c r="AO780" s="118"/>
      <c r="AP780" s="118"/>
      <c r="AQ780" s="118"/>
      <c r="AR780" s="118"/>
      <c r="AS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64"/>
      <c r="O781" s="161"/>
      <c r="P781" s="118"/>
      <c r="Q781" s="118"/>
      <c r="R781" s="117"/>
      <c r="S781" s="117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  <c r="AI781" s="118"/>
      <c r="AJ781" s="118"/>
      <c r="AK781" s="118"/>
      <c r="AL781" s="118"/>
      <c r="AM781" s="118"/>
      <c r="AN781" s="118"/>
      <c r="AO781" s="118"/>
      <c r="AP781" s="118"/>
      <c r="AQ781" s="118"/>
      <c r="AR781" s="118"/>
      <c r="AS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64"/>
      <c r="O782" s="161"/>
      <c r="P782" s="118"/>
      <c r="Q782" s="118"/>
      <c r="R782" s="117"/>
      <c r="S782" s="117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  <c r="AI782" s="118"/>
      <c r="AJ782" s="118"/>
      <c r="AK782" s="118"/>
      <c r="AL782" s="118"/>
      <c r="AM782" s="118"/>
      <c r="AN782" s="118"/>
      <c r="AO782" s="118"/>
      <c r="AP782" s="118"/>
      <c r="AQ782" s="118"/>
      <c r="AR782" s="118"/>
      <c r="AS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64"/>
      <c r="O783" s="161"/>
      <c r="P783" s="118"/>
      <c r="Q783" s="118"/>
      <c r="R783" s="117"/>
      <c r="S783" s="117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  <c r="AI783" s="118"/>
      <c r="AJ783" s="118"/>
      <c r="AK783" s="118"/>
      <c r="AL783" s="118"/>
      <c r="AM783" s="118"/>
      <c r="AN783" s="118"/>
      <c r="AO783" s="118"/>
      <c r="AP783" s="118"/>
      <c r="AQ783" s="118"/>
      <c r="AR783" s="118"/>
      <c r="AS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64"/>
      <c r="O784" s="161"/>
      <c r="P784" s="118"/>
      <c r="Q784" s="118"/>
      <c r="R784" s="117"/>
      <c r="S784" s="117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8"/>
      <c r="AN784" s="118"/>
      <c r="AO784" s="118"/>
      <c r="AP784" s="118"/>
      <c r="AQ784" s="118"/>
      <c r="AR784" s="118"/>
      <c r="AS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64"/>
      <c r="O785" s="161"/>
      <c r="P785" s="118"/>
      <c r="Q785" s="118"/>
      <c r="R785" s="117"/>
      <c r="S785" s="117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  <c r="AI785" s="118"/>
      <c r="AJ785" s="118"/>
      <c r="AK785" s="118"/>
      <c r="AL785" s="118"/>
      <c r="AM785" s="118"/>
      <c r="AN785" s="118"/>
      <c r="AO785" s="118"/>
      <c r="AP785" s="118"/>
      <c r="AQ785" s="118"/>
      <c r="AR785" s="118"/>
      <c r="AS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64"/>
      <c r="O786" s="161"/>
      <c r="P786" s="118"/>
      <c r="Q786" s="118"/>
      <c r="R786" s="117"/>
      <c r="S786" s="117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  <c r="AI786" s="118"/>
      <c r="AJ786" s="118"/>
      <c r="AK786" s="118"/>
      <c r="AL786" s="118"/>
      <c r="AM786" s="118"/>
      <c r="AN786" s="118"/>
      <c r="AO786" s="118"/>
      <c r="AP786" s="118"/>
      <c r="AQ786" s="118"/>
      <c r="AR786" s="118"/>
      <c r="AS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64"/>
      <c r="O787" s="161"/>
      <c r="P787" s="118"/>
      <c r="Q787" s="118"/>
      <c r="R787" s="117"/>
      <c r="S787" s="117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  <c r="AI787" s="118"/>
      <c r="AJ787" s="118"/>
      <c r="AK787" s="118"/>
      <c r="AL787" s="118"/>
      <c r="AM787" s="118"/>
      <c r="AN787" s="118"/>
      <c r="AO787" s="118"/>
      <c r="AP787" s="118"/>
      <c r="AQ787" s="118"/>
      <c r="AR787" s="118"/>
      <c r="AS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64"/>
      <c r="O788" s="161"/>
      <c r="P788" s="118"/>
      <c r="Q788" s="118"/>
      <c r="R788" s="117"/>
      <c r="S788" s="117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  <c r="AI788" s="118"/>
      <c r="AJ788" s="118"/>
      <c r="AK788" s="118"/>
      <c r="AL788" s="118"/>
      <c r="AM788" s="118"/>
      <c r="AN788" s="118"/>
      <c r="AO788" s="118"/>
      <c r="AP788" s="118"/>
      <c r="AQ788" s="118"/>
      <c r="AR788" s="118"/>
      <c r="AS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64"/>
      <c r="O789" s="161"/>
      <c r="P789" s="118"/>
      <c r="Q789" s="118"/>
      <c r="R789" s="117"/>
      <c r="S789" s="117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  <c r="AI789" s="118"/>
      <c r="AJ789" s="118"/>
      <c r="AK789" s="118"/>
      <c r="AL789" s="118"/>
      <c r="AM789" s="118"/>
      <c r="AN789" s="118"/>
      <c r="AO789" s="118"/>
      <c r="AP789" s="118"/>
      <c r="AQ789" s="118"/>
      <c r="AR789" s="118"/>
      <c r="AS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64"/>
      <c r="O790" s="161"/>
      <c r="P790" s="118"/>
      <c r="Q790" s="118"/>
      <c r="R790" s="117"/>
      <c r="S790" s="117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  <c r="AI790" s="118"/>
      <c r="AJ790" s="118"/>
      <c r="AK790" s="118"/>
      <c r="AL790" s="118"/>
      <c r="AM790" s="118"/>
      <c r="AN790" s="118"/>
      <c r="AO790" s="118"/>
      <c r="AP790" s="118"/>
      <c r="AQ790" s="118"/>
      <c r="AR790" s="118"/>
      <c r="AS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64"/>
      <c r="O791" s="161"/>
      <c r="P791" s="118"/>
      <c r="Q791" s="118"/>
      <c r="R791" s="117"/>
      <c r="S791" s="117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  <c r="AI791" s="118"/>
      <c r="AJ791" s="118"/>
      <c r="AK791" s="118"/>
      <c r="AL791" s="118"/>
      <c r="AM791" s="118"/>
      <c r="AN791" s="118"/>
      <c r="AO791" s="118"/>
      <c r="AP791" s="118"/>
      <c r="AQ791" s="118"/>
      <c r="AR791" s="118"/>
      <c r="AS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64"/>
      <c r="O792" s="161"/>
      <c r="P792" s="118"/>
      <c r="Q792" s="118"/>
      <c r="R792" s="117"/>
      <c r="S792" s="117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  <c r="AI792" s="118"/>
      <c r="AJ792" s="118"/>
      <c r="AK792" s="118"/>
      <c r="AL792" s="118"/>
      <c r="AM792" s="118"/>
      <c r="AN792" s="118"/>
      <c r="AO792" s="118"/>
      <c r="AP792" s="118"/>
      <c r="AQ792" s="118"/>
      <c r="AR792" s="118"/>
      <c r="AS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64"/>
      <c r="O793" s="161"/>
      <c r="P793" s="118"/>
      <c r="Q793" s="118"/>
      <c r="R793" s="117"/>
      <c r="S793" s="117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  <c r="AI793" s="118"/>
      <c r="AJ793" s="118"/>
      <c r="AK793" s="118"/>
      <c r="AL793" s="118"/>
      <c r="AM793" s="118"/>
      <c r="AN793" s="118"/>
      <c r="AO793" s="118"/>
      <c r="AP793" s="118"/>
      <c r="AQ793" s="118"/>
      <c r="AR793" s="118"/>
      <c r="AS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64"/>
      <c r="O794" s="161"/>
      <c r="P794" s="118"/>
      <c r="Q794" s="118"/>
      <c r="R794" s="117"/>
      <c r="S794" s="117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  <c r="AI794" s="118"/>
      <c r="AJ794" s="118"/>
      <c r="AK794" s="118"/>
      <c r="AL794" s="118"/>
      <c r="AM794" s="118"/>
      <c r="AN794" s="118"/>
      <c r="AO794" s="118"/>
      <c r="AP794" s="118"/>
      <c r="AQ794" s="118"/>
      <c r="AR794" s="118"/>
      <c r="AS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64"/>
      <c r="O795" s="161"/>
      <c r="P795" s="118"/>
      <c r="Q795" s="118"/>
      <c r="R795" s="117"/>
      <c r="S795" s="117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  <c r="AI795" s="118"/>
      <c r="AJ795" s="118"/>
      <c r="AK795" s="118"/>
      <c r="AL795" s="118"/>
      <c r="AM795" s="118"/>
      <c r="AN795" s="118"/>
      <c r="AO795" s="118"/>
      <c r="AP795" s="118"/>
      <c r="AQ795" s="118"/>
      <c r="AR795" s="118"/>
      <c r="AS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64"/>
      <c r="O796" s="161"/>
      <c r="P796" s="118"/>
      <c r="Q796" s="118"/>
      <c r="R796" s="117"/>
      <c r="S796" s="117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  <c r="AI796" s="118"/>
      <c r="AJ796" s="118"/>
      <c r="AK796" s="118"/>
      <c r="AL796" s="118"/>
      <c r="AM796" s="118"/>
      <c r="AN796" s="118"/>
      <c r="AO796" s="118"/>
      <c r="AP796" s="118"/>
      <c r="AQ796" s="118"/>
      <c r="AR796" s="118"/>
      <c r="AS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64"/>
      <c r="O797" s="161"/>
      <c r="P797" s="118"/>
      <c r="Q797" s="118"/>
      <c r="R797" s="117"/>
      <c r="S797" s="117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  <c r="AI797" s="118"/>
      <c r="AJ797" s="118"/>
      <c r="AK797" s="118"/>
      <c r="AL797" s="118"/>
      <c r="AM797" s="118"/>
      <c r="AN797" s="118"/>
      <c r="AO797" s="118"/>
      <c r="AP797" s="118"/>
      <c r="AQ797" s="118"/>
      <c r="AR797" s="118"/>
      <c r="AS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64"/>
      <c r="O798" s="161"/>
      <c r="P798" s="118"/>
      <c r="Q798" s="118"/>
      <c r="R798" s="117"/>
      <c r="S798" s="117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  <c r="AI798" s="118"/>
      <c r="AJ798" s="118"/>
      <c r="AK798" s="118"/>
      <c r="AL798" s="118"/>
      <c r="AM798" s="118"/>
      <c r="AN798" s="118"/>
      <c r="AO798" s="118"/>
      <c r="AP798" s="118"/>
      <c r="AQ798" s="118"/>
      <c r="AR798" s="118"/>
      <c r="AS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64"/>
      <c r="O799" s="161"/>
      <c r="P799" s="118"/>
      <c r="Q799" s="118"/>
      <c r="R799" s="117"/>
      <c r="S799" s="117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  <c r="AI799" s="118"/>
      <c r="AJ799" s="118"/>
      <c r="AK799" s="118"/>
      <c r="AL799" s="118"/>
      <c r="AM799" s="118"/>
      <c r="AN799" s="118"/>
      <c r="AO799" s="118"/>
      <c r="AP799" s="118"/>
      <c r="AQ799" s="118"/>
      <c r="AR799" s="118"/>
      <c r="AS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64"/>
      <c r="O800" s="161"/>
      <c r="P800" s="118"/>
      <c r="Q800" s="118"/>
      <c r="R800" s="117"/>
      <c r="S800" s="117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  <c r="AI800" s="118"/>
      <c r="AJ800" s="118"/>
      <c r="AK800" s="118"/>
      <c r="AL800" s="118"/>
      <c r="AM800" s="118"/>
      <c r="AN800" s="118"/>
      <c r="AO800" s="118"/>
      <c r="AP800" s="118"/>
      <c r="AQ800" s="118"/>
      <c r="AR800" s="118"/>
      <c r="AS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64"/>
      <c r="O801" s="161"/>
      <c r="P801" s="118"/>
      <c r="Q801" s="118"/>
      <c r="R801" s="117"/>
      <c r="S801" s="117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  <c r="AI801" s="118"/>
      <c r="AJ801" s="118"/>
      <c r="AK801" s="118"/>
      <c r="AL801" s="118"/>
      <c r="AM801" s="118"/>
      <c r="AN801" s="118"/>
      <c r="AO801" s="118"/>
      <c r="AP801" s="118"/>
      <c r="AQ801" s="118"/>
      <c r="AR801" s="118"/>
      <c r="AS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64"/>
      <c r="O802" s="161"/>
      <c r="P802" s="118"/>
      <c r="Q802" s="118"/>
      <c r="R802" s="117"/>
      <c r="S802" s="117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  <c r="AI802" s="118"/>
      <c r="AJ802" s="118"/>
      <c r="AK802" s="118"/>
      <c r="AL802" s="118"/>
      <c r="AM802" s="118"/>
      <c r="AN802" s="118"/>
      <c r="AO802" s="118"/>
      <c r="AP802" s="118"/>
      <c r="AQ802" s="118"/>
      <c r="AR802" s="118"/>
      <c r="AS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64"/>
      <c r="O803" s="161"/>
      <c r="P803" s="118"/>
      <c r="Q803" s="118"/>
      <c r="R803" s="117"/>
      <c r="S803" s="117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  <c r="AI803" s="118"/>
      <c r="AJ803" s="118"/>
      <c r="AK803" s="118"/>
      <c r="AL803" s="118"/>
      <c r="AM803" s="118"/>
      <c r="AN803" s="118"/>
      <c r="AO803" s="118"/>
      <c r="AP803" s="118"/>
      <c r="AQ803" s="118"/>
      <c r="AR803" s="118"/>
      <c r="AS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64"/>
      <c r="O804" s="161"/>
      <c r="P804" s="161"/>
      <c r="Q804" s="118"/>
      <c r="R804" s="117"/>
      <c r="S804" s="117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  <c r="AI804" s="118"/>
      <c r="AJ804" s="118"/>
      <c r="AK804" s="118"/>
      <c r="AL804" s="118"/>
      <c r="AM804" s="118"/>
      <c r="AN804" s="118"/>
      <c r="AO804" s="118"/>
      <c r="AP804" s="118"/>
      <c r="AQ804" s="118"/>
      <c r="AR804" s="118"/>
      <c r="AS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64"/>
      <c r="O805" s="161"/>
      <c r="P805" s="161"/>
      <c r="Q805" s="118"/>
      <c r="R805" s="117"/>
      <c r="S805" s="117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  <c r="AI805" s="118"/>
      <c r="AJ805" s="118"/>
      <c r="AK805" s="118"/>
      <c r="AL805" s="118"/>
      <c r="AM805" s="118"/>
      <c r="AN805" s="118"/>
      <c r="AO805" s="118"/>
      <c r="AP805" s="118"/>
      <c r="AQ805" s="118"/>
      <c r="AR805" s="118"/>
      <c r="AS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61"/>
      <c r="M806" s="161"/>
      <c r="N806" s="161"/>
      <c r="O806" s="161"/>
      <c r="P806" s="161"/>
      <c r="Q806" s="118"/>
      <c r="R806" s="117"/>
      <c r="S806" s="117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  <c r="AI806" s="118"/>
      <c r="AJ806" s="118"/>
      <c r="AK806" s="118"/>
      <c r="AL806" s="118"/>
      <c r="AM806" s="118"/>
      <c r="AN806" s="118"/>
      <c r="AO806" s="118"/>
      <c r="AP806" s="118"/>
      <c r="AQ806" s="118"/>
      <c r="AR806" s="118"/>
      <c r="AS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61"/>
      <c r="M807" s="161"/>
      <c r="N807" s="161"/>
      <c r="O807" s="161"/>
      <c r="P807" s="161"/>
      <c r="Q807" s="118"/>
      <c r="R807" s="117"/>
      <c r="S807" s="117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  <c r="AI807" s="118"/>
      <c r="AJ807" s="118"/>
      <c r="AK807" s="118"/>
      <c r="AL807" s="118"/>
      <c r="AM807" s="118"/>
      <c r="AN807" s="118"/>
      <c r="AO807" s="118"/>
      <c r="AP807" s="118"/>
      <c r="AQ807" s="118"/>
      <c r="AR807" s="118"/>
      <c r="AS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61"/>
      <c r="M808" s="161"/>
      <c r="N808" s="161"/>
      <c r="O808" s="161"/>
      <c r="P808" s="161"/>
      <c r="Q808" s="118"/>
      <c r="R808" s="117"/>
      <c r="S808" s="117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  <c r="AI808" s="118"/>
      <c r="AJ808" s="118"/>
      <c r="AK808" s="118"/>
      <c r="AL808" s="118"/>
      <c r="AM808" s="118"/>
      <c r="AN808" s="118"/>
      <c r="AO808" s="118"/>
      <c r="AP808" s="118"/>
      <c r="AQ808" s="118"/>
      <c r="AR808" s="118"/>
      <c r="AS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61"/>
      <c r="M809" s="161"/>
      <c r="N809" s="161"/>
      <c r="O809" s="161"/>
      <c r="P809" s="161"/>
      <c r="Q809" s="118"/>
      <c r="R809" s="117"/>
      <c r="S809" s="117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  <c r="AI809" s="118"/>
      <c r="AJ809" s="118"/>
      <c r="AK809" s="118"/>
      <c r="AL809" s="118"/>
      <c r="AM809" s="118"/>
      <c r="AN809" s="118"/>
      <c r="AO809" s="118"/>
      <c r="AP809" s="118"/>
      <c r="AQ809" s="118"/>
      <c r="AR809" s="118"/>
      <c r="AS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61"/>
      <c r="M810" s="161"/>
      <c r="N810" s="161"/>
      <c r="O810" s="161"/>
      <c r="P810" s="161"/>
      <c r="Q810" s="118"/>
      <c r="R810" s="117"/>
      <c r="S810" s="117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  <c r="AI810" s="118"/>
      <c r="AJ810" s="118"/>
      <c r="AK810" s="118"/>
      <c r="AL810" s="118"/>
      <c r="AM810" s="118"/>
      <c r="AN810" s="118"/>
      <c r="AO810" s="118"/>
      <c r="AP810" s="118"/>
      <c r="AQ810" s="118"/>
      <c r="AR810" s="118"/>
      <c r="AS810" s="118"/>
    </row>
    <row r="811">
      <c r="A811" s="118"/>
      <c r="B811" s="118"/>
      <c r="C811" s="118"/>
      <c r="D811" s="118"/>
      <c r="E811" s="118"/>
      <c r="F811" s="161"/>
      <c r="G811" s="161"/>
      <c r="H811" s="118"/>
      <c r="I811" s="118"/>
      <c r="J811" s="161"/>
      <c r="K811" s="161"/>
      <c r="L811" s="161"/>
      <c r="M811" s="161"/>
      <c r="N811" s="161"/>
      <c r="O811" s="161"/>
      <c r="P811" s="161"/>
      <c r="Q811" s="118"/>
      <c r="R811" s="117"/>
      <c r="S811" s="117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  <c r="AI811" s="118"/>
      <c r="AJ811" s="118"/>
      <c r="AK811" s="118"/>
      <c r="AL811" s="118"/>
      <c r="AM811" s="118"/>
      <c r="AN811" s="118"/>
      <c r="AO811" s="118"/>
      <c r="AP811" s="118"/>
      <c r="AQ811" s="118"/>
      <c r="AR811" s="118"/>
      <c r="AS811" s="118"/>
    </row>
    <row r="812">
      <c r="A812" s="118"/>
      <c r="B812" s="118"/>
      <c r="C812" s="118"/>
      <c r="D812" s="118"/>
      <c r="E812" s="118"/>
      <c r="F812" s="161"/>
      <c r="G812" s="161"/>
      <c r="H812" s="118"/>
      <c r="I812" s="118"/>
      <c r="J812" s="161"/>
      <c r="K812" s="161"/>
      <c r="L812" s="161"/>
      <c r="M812" s="161"/>
      <c r="N812" s="161"/>
      <c r="O812" s="161"/>
      <c r="P812" s="161"/>
      <c r="Q812" s="118"/>
      <c r="R812" s="117"/>
      <c r="S812" s="117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  <c r="AI812" s="118"/>
      <c r="AJ812" s="118"/>
      <c r="AK812" s="118"/>
      <c r="AL812" s="118"/>
      <c r="AM812" s="118"/>
      <c r="AN812" s="118"/>
      <c r="AO812" s="118"/>
      <c r="AP812" s="118"/>
      <c r="AQ812" s="118"/>
      <c r="AR812" s="118"/>
      <c r="AS812" s="118"/>
    </row>
    <row r="813">
      <c r="A813" s="118"/>
      <c r="B813" s="118"/>
      <c r="C813" s="118"/>
      <c r="D813" s="118"/>
      <c r="E813" s="118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18"/>
      <c r="R813" s="117"/>
      <c r="S813" s="117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  <c r="AI813" s="118"/>
      <c r="AJ813" s="118"/>
      <c r="AK813" s="118"/>
      <c r="AL813" s="118"/>
      <c r="AM813" s="118"/>
      <c r="AN813" s="118"/>
      <c r="AO813" s="118"/>
      <c r="AP813" s="118"/>
      <c r="AQ813" s="118"/>
      <c r="AR813" s="118"/>
      <c r="AS813" s="118"/>
    </row>
    <row r="814">
      <c r="A814" s="118"/>
      <c r="B814" s="118"/>
      <c r="C814" s="118"/>
      <c r="D814" s="118"/>
      <c r="E814" s="118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18"/>
      <c r="R814" s="117"/>
      <c r="S814" s="117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  <c r="AI814" s="118"/>
      <c r="AJ814" s="118"/>
      <c r="AK814" s="118"/>
      <c r="AL814" s="118"/>
      <c r="AM814" s="118"/>
      <c r="AN814" s="118"/>
      <c r="AO814" s="118"/>
      <c r="AP814" s="118"/>
      <c r="AQ814" s="118"/>
      <c r="AR814" s="118"/>
      <c r="AS814" s="118"/>
    </row>
    <row r="815">
      <c r="A815" s="118"/>
      <c r="B815" s="118"/>
      <c r="C815" s="118"/>
      <c r="D815" s="118"/>
      <c r="E815" s="118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18"/>
      <c r="R815" s="117"/>
      <c r="S815" s="117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  <c r="AI815" s="118"/>
      <c r="AJ815" s="118"/>
      <c r="AK815" s="118"/>
      <c r="AL815" s="118"/>
      <c r="AM815" s="118"/>
      <c r="AN815" s="118"/>
      <c r="AO815" s="118"/>
      <c r="AP815" s="118"/>
      <c r="AQ815" s="118"/>
      <c r="AR815" s="118"/>
      <c r="AS815" s="118"/>
    </row>
    <row r="816">
      <c r="A816" s="118"/>
      <c r="B816" s="118"/>
      <c r="C816" s="118"/>
      <c r="D816" s="118"/>
      <c r="E816" s="118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18"/>
      <c r="R816" s="117"/>
      <c r="S816" s="117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</row>
    <row r="817">
      <c r="A817" s="118"/>
      <c r="B817" s="118"/>
      <c r="C817" s="118"/>
      <c r="D817" s="118"/>
      <c r="E817" s="118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18"/>
      <c r="R817" s="117"/>
      <c r="S817" s="117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  <c r="AI817" s="118"/>
      <c r="AJ817" s="118"/>
      <c r="AK817" s="118"/>
      <c r="AL817" s="118"/>
      <c r="AM817" s="118"/>
      <c r="AN817" s="118"/>
      <c r="AO817" s="118"/>
      <c r="AP817" s="118"/>
      <c r="AQ817" s="118"/>
      <c r="AR817" s="118"/>
      <c r="AS817" s="118"/>
    </row>
    <row r="818">
      <c r="A818" s="118"/>
      <c r="B818" s="118"/>
      <c r="C818" s="118"/>
      <c r="D818" s="118"/>
      <c r="E818" s="118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18"/>
      <c r="R818" s="117"/>
      <c r="S818" s="117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  <c r="AI818" s="118"/>
      <c r="AJ818" s="118"/>
      <c r="AK818" s="118"/>
      <c r="AL818" s="118"/>
      <c r="AM818" s="118"/>
      <c r="AN818" s="118"/>
      <c r="AO818" s="118"/>
      <c r="AP818" s="118"/>
      <c r="AQ818" s="118"/>
      <c r="AR818" s="118"/>
      <c r="AS818" s="118"/>
    </row>
    <row r="819">
      <c r="A819" s="118"/>
      <c r="B819" s="118"/>
      <c r="C819" s="118"/>
      <c r="D819" s="118"/>
      <c r="E819" s="118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18"/>
      <c r="R819" s="117"/>
      <c r="S819" s="117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  <c r="AI819" s="118"/>
      <c r="AJ819" s="118"/>
      <c r="AK819" s="118"/>
      <c r="AL819" s="118"/>
      <c r="AM819" s="118"/>
      <c r="AN819" s="118"/>
      <c r="AO819" s="118"/>
      <c r="AP819" s="118"/>
      <c r="AQ819" s="118"/>
      <c r="AR819" s="118"/>
      <c r="AS819" s="118"/>
    </row>
    <row r="820">
      <c r="A820" s="118"/>
      <c r="B820" s="118"/>
      <c r="C820" s="118"/>
      <c r="D820" s="118"/>
      <c r="E820" s="118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18"/>
      <c r="R820" s="117"/>
      <c r="S820" s="117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  <c r="AI820" s="118"/>
      <c r="AJ820" s="118"/>
      <c r="AK820" s="118"/>
      <c r="AL820" s="118"/>
      <c r="AM820" s="118"/>
      <c r="AN820" s="118"/>
      <c r="AO820" s="118"/>
      <c r="AP820" s="118"/>
      <c r="AQ820" s="118"/>
      <c r="AR820" s="118"/>
      <c r="AS820" s="118"/>
    </row>
    <row r="821">
      <c r="A821" s="118"/>
      <c r="B821" s="118"/>
      <c r="C821" s="118"/>
      <c r="D821" s="118"/>
      <c r="E821" s="118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18"/>
      <c r="R821" s="117"/>
      <c r="S821" s="117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  <c r="AI821" s="118"/>
      <c r="AJ821" s="118"/>
      <c r="AK821" s="118"/>
      <c r="AL821" s="118"/>
      <c r="AM821" s="118"/>
      <c r="AN821" s="118"/>
      <c r="AO821" s="118"/>
      <c r="AP821" s="118"/>
      <c r="AQ821" s="118"/>
      <c r="AR821" s="118"/>
      <c r="AS821" s="118"/>
    </row>
    <row r="822">
      <c r="A822" s="118"/>
      <c r="B822" s="118"/>
      <c r="C822" s="118"/>
      <c r="D822" s="118"/>
      <c r="E822" s="118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18"/>
      <c r="R822" s="117"/>
      <c r="S822" s="117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8"/>
      <c r="AN822" s="118"/>
      <c r="AO822" s="118"/>
      <c r="AP822" s="118"/>
      <c r="AQ822" s="118"/>
      <c r="AR822" s="118"/>
      <c r="AS822" s="118"/>
    </row>
    <row r="823">
      <c r="A823" s="118"/>
      <c r="B823" s="118"/>
      <c r="C823" s="118"/>
      <c r="D823" s="118"/>
      <c r="E823" s="118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18"/>
      <c r="R823" s="117"/>
      <c r="S823" s="117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  <c r="AI823" s="118"/>
      <c r="AJ823" s="118"/>
      <c r="AK823" s="118"/>
      <c r="AL823" s="118"/>
      <c r="AM823" s="118"/>
      <c r="AN823" s="118"/>
      <c r="AO823" s="118"/>
      <c r="AP823" s="118"/>
      <c r="AQ823" s="118"/>
      <c r="AR823" s="118"/>
      <c r="AS823" s="118"/>
    </row>
    <row r="824">
      <c r="A824" s="118"/>
      <c r="B824" s="118"/>
      <c r="C824" s="118"/>
      <c r="D824" s="118"/>
      <c r="E824" s="118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18"/>
      <c r="R824" s="117"/>
      <c r="S824" s="117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  <c r="AI824" s="118"/>
      <c r="AJ824" s="118"/>
      <c r="AK824" s="118"/>
      <c r="AL824" s="118"/>
      <c r="AM824" s="118"/>
      <c r="AN824" s="118"/>
      <c r="AO824" s="118"/>
      <c r="AP824" s="118"/>
      <c r="AQ824" s="118"/>
      <c r="AR824" s="118"/>
      <c r="AS824" s="118"/>
    </row>
    <row r="825">
      <c r="A825" s="118"/>
      <c r="B825" s="118"/>
      <c r="C825" s="118"/>
      <c r="D825" s="118"/>
      <c r="E825" s="118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17"/>
      <c r="S825" s="117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  <c r="AI825" s="118"/>
      <c r="AJ825" s="118"/>
      <c r="AK825" s="118"/>
      <c r="AL825" s="118"/>
      <c r="AM825" s="118"/>
      <c r="AN825" s="118"/>
      <c r="AO825" s="118"/>
      <c r="AP825" s="118"/>
      <c r="AQ825" s="118"/>
      <c r="AR825" s="118"/>
      <c r="AS825" s="118"/>
    </row>
    <row r="826">
      <c r="A826" s="118"/>
      <c r="B826" s="118"/>
      <c r="C826" s="118"/>
      <c r="D826" s="118"/>
      <c r="E826" s="118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17"/>
      <c r="S826" s="117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  <c r="AI826" s="118"/>
      <c r="AJ826" s="118"/>
      <c r="AK826" s="118"/>
      <c r="AL826" s="118"/>
      <c r="AM826" s="118"/>
      <c r="AN826" s="118"/>
      <c r="AO826" s="118"/>
      <c r="AP826" s="118"/>
      <c r="AQ826" s="118"/>
      <c r="AR826" s="118"/>
      <c r="AS826" s="118"/>
    </row>
    <row r="827">
      <c r="A827" s="118"/>
      <c r="B827" s="118"/>
      <c r="C827" s="118"/>
      <c r="D827" s="118"/>
      <c r="E827" s="118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17"/>
      <c r="S827" s="117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  <c r="AI827" s="118"/>
      <c r="AJ827" s="118"/>
      <c r="AK827" s="118"/>
      <c r="AL827" s="118"/>
      <c r="AM827" s="118"/>
      <c r="AN827" s="118"/>
      <c r="AO827" s="118"/>
      <c r="AP827" s="118"/>
      <c r="AQ827" s="118"/>
      <c r="AR827" s="118"/>
      <c r="AS827" s="118"/>
    </row>
    <row r="828">
      <c r="A828" s="118"/>
      <c r="B828" s="118"/>
      <c r="C828" s="118"/>
      <c r="D828" s="118"/>
      <c r="E828" s="118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17"/>
      <c r="S828" s="117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  <c r="AI828" s="118"/>
      <c r="AJ828" s="118"/>
      <c r="AK828" s="118"/>
      <c r="AL828" s="118"/>
      <c r="AM828" s="118"/>
      <c r="AN828" s="118"/>
      <c r="AO828" s="118"/>
      <c r="AP828" s="118"/>
      <c r="AQ828" s="118"/>
      <c r="AR828" s="118"/>
      <c r="AS828" s="118"/>
    </row>
    <row r="829">
      <c r="A829" s="118"/>
      <c r="B829" s="118"/>
      <c r="C829" s="118"/>
      <c r="D829" s="118"/>
      <c r="E829" s="118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17"/>
      <c r="S829" s="117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  <c r="AL829" s="118"/>
      <c r="AM829" s="118"/>
      <c r="AN829" s="118"/>
      <c r="AO829" s="118"/>
      <c r="AP829" s="118"/>
      <c r="AQ829" s="118"/>
      <c r="AR829" s="118"/>
      <c r="AS829" s="118"/>
    </row>
    <row r="830">
      <c r="A830" s="118"/>
      <c r="B830" s="118"/>
      <c r="C830" s="118"/>
      <c r="D830" s="118"/>
      <c r="E830" s="118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17"/>
      <c r="S830" s="117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  <c r="AL830" s="118"/>
      <c r="AM830" s="118"/>
      <c r="AN830" s="118"/>
      <c r="AO830" s="118"/>
      <c r="AP830" s="118"/>
      <c r="AQ830" s="118"/>
      <c r="AR830" s="118"/>
      <c r="AS830" s="118"/>
    </row>
    <row r="831">
      <c r="A831" s="118"/>
      <c r="B831" s="118"/>
      <c r="C831" s="118"/>
      <c r="D831" s="118"/>
      <c r="E831" s="118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17"/>
      <c r="S831" s="117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  <c r="AI831" s="118"/>
      <c r="AJ831" s="118"/>
      <c r="AK831" s="118"/>
      <c r="AL831" s="118"/>
      <c r="AM831" s="118"/>
      <c r="AN831" s="118"/>
      <c r="AO831" s="118"/>
      <c r="AP831" s="118"/>
      <c r="AQ831" s="118"/>
      <c r="AR831" s="118"/>
      <c r="AS831" s="118"/>
    </row>
    <row r="832">
      <c r="A832" s="118"/>
      <c r="B832" s="118"/>
      <c r="C832" s="118"/>
      <c r="D832" s="118"/>
      <c r="E832" s="118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17"/>
      <c r="S832" s="117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  <c r="AI832" s="118"/>
      <c r="AJ832" s="118"/>
      <c r="AK832" s="118"/>
      <c r="AL832" s="118"/>
      <c r="AM832" s="118"/>
      <c r="AN832" s="118"/>
      <c r="AO832" s="118"/>
      <c r="AP832" s="118"/>
      <c r="AQ832" s="118"/>
      <c r="AR832" s="118"/>
      <c r="AS832" s="118"/>
    </row>
    <row r="833">
      <c r="A833" s="118"/>
      <c r="B833" s="118"/>
      <c r="C833" s="118"/>
      <c r="D833" s="118"/>
      <c r="E833" s="118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17"/>
      <c r="S833" s="117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  <c r="AI833" s="118"/>
      <c r="AJ833" s="118"/>
      <c r="AK833" s="118"/>
      <c r="AL833" s="118"/>
      <c r="AM833" s="118"/>
      <c r="AN833" s="118"/>
      <c r="AO833" s="118"/>
      <c r="AP833" s="118"/>
      <c r="AQ833" s="118"/>
      <c r="AR833" s="118"/>
      <c r="AS833" s="118"/>
    </row>
    <row r="834">
      <c r="A834" s="118"/>
      <c r="B834" s="118"/>
      <c r="C834" s="118"/>
      <c r="D834" s="118"/>
      <c r="E834" s="118"/>
      <c r="F834" s="161"/>
      <c r="G834" s="161"/>
      <c r="H834" s="161"/>
      <c r="I834" s="161"/>
      <c r="J834" s="161"/>
      <c r="K834" s="161"/>
      <c r="Q834" s="161"/>
      <c r="R834" s="117"/>
      <c r="S834" s="117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  <c r="AI834" s="118"/>
      <c r="AJ834" s="118"/>
      <c r="AK834" s="118"/>
      <c r="AL834" s="118"/>
      <c r="AM834" s="118"/>
      <c r="AN834" s="118"/>
      <c r="AO834" s="118"/>
      <c r="AP834" s="118"/>
      <c r="AQ834" s="118"/>
      <c r="AR834" s="118"/>
      <c r="AS834" s="118"/>
    </row>
    <row r="835">
      <c r="A835" s="118"/>
      <c r="B835" s="118"/>
      <c r="C835" s="118"/>
      <c r="D835" s="118"/>
      <c r="E835" s="118"/>
      <c r="F835" s="161"/>
      <c r="G835" s="161"/>
      <c r="H835" s="161"/>
      <c r="I835" s="161"/>
      <c r="J835" s="161"/>
      <c r="K835" s="161"/>
      <c r="Q835" s="161"/>
      <c r="R835" s="117"/>
      <c r="S835" s="117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  <c r="AI835" s="118"/>
      <c r="AJ835" s="118"/>
      <c r="AK835" s="118"/>
      <c r="AL835" s="118"/>
      <c r="AM835" s="118"/>
      <c r="AN835" s="118"/>
      <c r="AO835" s="118"/>
      <c r="AP835" s="118"/>
      <c r="AQ835" s="118"/>
      <c r="AR835" s="118"/>
      <c r="AS835" s="118"/>
    </row>
    <row r="836">
      <c r="A836" s="118"/>
      <c r="B836" s="118"/>
      <c r="C836" s="118"/>
      <c r="D836" s="118"/>
      <c r="E836" s="118"/>
      <c r="F836" s="161"/>
      <c r="G836" s="161"/>
      <c r="H836" s="161"/>
      <c r="I836" s="161"/>
      <c r="J836" s="161"/>
      <c r="K836" s="161"/>
      <c r="Q836" s="161"/>
      <c r="R836" s="117"/>
      <c r="S836" s="117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  <c r="AI836" s="118"/>
      <c r="AJ836" s="118"/>
      <c r="AK836" s="118"/>
      <c r="AL836" s="118"/>
      <c r="AM836" s="118"/>
      <c r="AN836" s="118"/>
      <c r="AO836" s="118"/>
      <c r="AP836" s="118"/>
      <c r="AQ836" s="118"/>
      <c r="AR836" s="118"/>
      <c r="AS836" s="118"/>
    </row>
    <row r="837">
      <c r="A837" s="118"/>
      <c r="B837" s="118"/>
      <c r="C837" s="118"/>
      <c r="D837" s="118"/>
      <c r="E837" s="118"/>
      <c r="F837" s="161"/>
      <c r="G837" s="161"/>
      <c r="H837" s="161"/>
      <c r="I837" s="161"/>
      <c r="J837" s="161"/>
      <c r="K837" s="161"/>
      <c r="Q837" s="161"/>
      <c r="R837" s="117"/>
      <c r="S837" s="117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  <c r="AI837" s="118"/>
      <c r="AJ837" s="118"/>
      <c r="AK837" s="118"/>
      <c r="AL837" s="118"/>
      <c r="AM837" s="118"/>
      <c r="AN837" s="118"/>
      <c r="AO837" s="118"/>
      <c r="AP837" s="118"/>
      <c r="AQ837" s="118"/>
      <c r="AR837" s="118"/>
      <c r="AS837" s="118"/>
    </row>
    <row r="838">
      <c r="A838" s="118"/>
      <c r="B838" s="118"/>
      <c r="C838" s="118"/>
      <c r="D838" s="118"/>
      <c r="E838" s="118"/>
      <c r="F838" s="161"/>
      <c r="G838" s="161"/>
      <c r="H838" s="161"/>
      <c r="I838" s="161"/>
      <c r="J838" s="161"/>
      <c r="K838" s="161"/>
      <c r="Q838" s="161"/>
      <c r="R838" s="117"/>
      <c r="S838" s="117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  <c r="AI838" s="118"/>
      <c r="AJ838" s="118"/>
      <c r="AK838" s="118"/>
      <c r="AL838" s="118"/>
      <c r="AM838" s="118"/>
      <c r="AN838" s="118"/>
      <c r="AO838" s="118"/>
      <c r="AP838" s="118"/>
      <c r="AQ838" s="118"/>
      <c r="AR838" s="118"/>
      <c r="AS838" s="118"/>
    </row>
  </sheetData>
  <mergeCells count="15">
    <mergeCell ref="G3:G4"/>
    <mergeCell ref="H3:H4"/>
    <mergeCell ref="I3:I4"/>
    <mergeCell ref="J3:M3"/>
    <mergeCell ref="N3:N4"/>
    <mergeCell ref="O3:O4"/>
    <mergeCell ref="P3:P4"/>
    <mergeCell ref="Q3:Q4"/>
    <mergeCell ref="J1:M1"/>
    <mergeCell ref="A3:A4"/>
    <mergeCell ref="B3:B4"/>
    <mergeCell ref="C3:C4"/>
    <mergeCell ref="D3:D4"/>
    <mergeCell ref="E3:E4"/>
    <mergeCell ref="F3:F4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25"/>
    <col customWidth="1" min="3" max="3" width="4.38"/>
    <col customWidth="1" hidden="1" min="4" max="4" width="7.38"/>
    <col customWidth="1" min="5" max="5" width="16.63"/>
    <col customWidth="1" hidden="1" min="6" max="6" width="16.25"/>
    <col customWidth="1" hidden="1" min="7" max="7" width="17.88"/>
    <col customWidth="1" hidden="1" min="8" max="9" width="3.88"/>
    <col customWidth="1" min="10" max="10" width="18.13"/>
    <col customWidth="1" min="11" max="11" width="16.88"/>
    <col customWidth="1" min="12" max="12" width="16.13"/>
    <col customWidth="1" min="13" max="13" width="19.63"/>
    <col customWidth="1" min="14" max="14" width="4.88"/>
    <col customWidth="1" min="15" max="15" width="5.63"/>
    <col customWidth="1" min="16" max="16" width="19.88"/>
    <col customWidth="1" min="17" max="17" width="26.13"/>
    <col customWidth="1" hidden="1" min="18" max="18" width="14.63"/>
    <col customWidth="1" hidden="1" min="19" max="19" width="25.38"/>
  </cols>
  <sheetData>
    <row r="1" ht="23.25" customHeight="1">
      <c r="A1" s="106"/>
      <c r="B1" s="107">
        <f>NOW()</f>
        <v>46137.95904</v>
      </c>
      <c r="C1" s="108">
        <f> COUNTIF(C5:C25, "&gt;0")</f>
        <v>5</v>
      </c>
      <c r="D1" s="109"/>
      <c r="F1" s="110"/>
      <c r="G1" s="110"/>
      <c r="H1" s="111"/>
      <c r="I1" s="111"/>
      <c r="J1" s="112" t="s">
        <v>125</v>
      </c>
      <c r="N1" s="113"/>
      <c r="O1" s="114">
        <v>46153.0</v>
      </c>
      <c r="P1" s="181" t="s">
        <v>126</v>
      </c>
      <c r="Q1" s="115"/>
      <c r="R1" s="116"/>
      <c r="S1" s="117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</row>
    <row r="2" ht="27.75" customHeight="1">
      <c r="A2" s="119">
        <v>19.0</v>
      </c>
      <c r="B2" s="120" t="s">
        <v>548</v>
      </c>
      <c r="C2" s="182"/>
      <c r="D2" s="212"/>
      <c r="E2" s="122"/>
      <c r="F2" s="122"/>
      <c r="G2" s="122"/>
      <c r="H2" s="122">
        <f t="shared" ref="H2:I2" si="1">COUNTIF(H4:H24, "&gt;0")</f>
        <v>0</v>
      </c>
      <c r="I2" s="122">
        <f t="shared" si="1"/>
        <v>0</v>
      </c>
      <c r="J2" s="122"/>
      <c r="K2" s="122"/>
      <c r="L2" s="213">
        <v>7.0</v>
      </c>
      <c r="M2" s="122"/>
      <c r="N2" s="124">
        <f>COUNTIF(N4:N23, "&gt;0")</f>
        <v>17</v>
      </c>
      <c r="O2" s="124">
        <f>COUNTIF(O4:O25, "&gt;0")</f>
        <v>2</v>
      </c>
      <c r="P2" s="125">
        <v>46136.0</v>
      </c>
      <c r="Q2" s="214"/>
      <c r="R2" s="117"/>
      <c r="S2" s="117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ht="22.5" customHeight="1">
      <c r="A3" s="129" t="s">
        <v>5</v>
      </c>
      <c r="B3" s="129" t="s">
        <v>6</v>
      </c>
      <c r="C3" s="129" t="s">
        <v>9</v>
      </c>
      <c r="D3" s="129"/>
      <c r="E3" s="129" t="s">
        <v>18</v>
      </c>
      <c r="F3" s="130" t="s">
        <v>131</v>
      </c>
      <c r="G3" s="129" t="s">
        <v>132</v>
      </c>
      <c r="H3" s="129"/>
      <c r="I3" s="129"/>
      <c r="J3" s="131" t="s">
        <v>133</v>
      </c>
      <c r="K3" s="132"/>
      <c r="L3" s="132"/>
      <c r="M3" s="133"/>
      <c r="N3" s="129" t="s">
        <v>134</v>
      </c>
      <c r="O3" s="129" t="s">
        <v>135</v>
      </c>
      <c r="P3" s="130" t="s">
        <v>136</v>
      </c>
      <c r="Q3" s="129" t="s">
        <v>137</v>
      </c>
      <c r="R3" s="117"/>
      <c r="S3" s="117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</row>
    <row r="4" ht="27.0" customHeight="1">
      <c r="A4" s="50"/>
      <c r="B4" s="50"/>
      <c r="C4" s="50"/>
      <c r="D4" s="50"/>
      <c r="E4" s="50"/>
      <c r="F4" s="50"/>
      <c r="G4" s="50"/>
      <c r="H4" s="50"/>
      <c r="I4" s="50"/>
      <c r="J4" s="137" t="s">
        <v>140</v>
      </c>
      <c r="K4" s="137" t="s">
        <v>141</v>
      </c>
      <c r="L4" s="137" t="s">
        <v>142</v>
      </c>
      <c r="M4" s="137" t="s">
        <v>143</v>
      </c>
      <c r="N4" s="50"/>
      <c r="O4" s="50"/>
      <c r="P4" s="50"/>
      <c r="Q4" s="50"/>
      <c r="R4" s="117"/>
      <c r="S4" s="117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</row>
    <row r="5" ht="43.5" customHeight="1">
      <c r="A5" s="138">
        <v>1.0</v>
      </c>
      <c r="B5" s="60" t="s">
        <v>549</v>
      </c>
      <c r="C5" s="66"/>
      <c r="D5" s="79"/>
      <c r="E5" s="80" t="s">
        <v>37</v>
      </c>
      <c r="F5" s="63" t="s">
        <v>550</v>
      </c>
      <c r="G5" s="59" t="s">
        <v>163</v>
      </c>
      <c r="H5" s="63"/>
      <c r="I5" s="194"/>
      <c r="J5" s="141" t="s">
        <v>551</v>
      </c>
      <c r="K5" s="223" t="s">
        <v>552</v>
      </c>
      <c r="L5" s="159" t="s">
        <v>553</v>
      </c>
      <c r="M5" s="141" t="s">
        <v>554</v>
      </c>
      <c r="N5" s="142">
        <v>1.0</v>
      </c>
      <c r="O5" s="126"/>
      <c r="P5" s="59"/>
      <c r="Q5" s="201"/>
      <c r="R5" s="117"/>
      <c r="S5" s="117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ht="30.0" customHeight="1">
      <c r="A6" s="138">
        <f t="shared" ref="A6:A23" si="2">A5+1</f>
        <v>2</v>
      </c>
      <c r="B6" s="60" t="s">
        <v>555</v>
      </c>
      <c r="C6" s="66"/>
      <c r="D6" s="79"/>
      <c r="E6" s="81" t="s">
        <v>556</v>
      </c>
      <c r="F6" s="59" t="s">
        <v>557</v>
      </c>
      <c r="G6" s="59" t="s">
        <v>146</v>
      </c>
      <c r="H6" s="63"/>
      <c r="I6" s="157"/>
      <c r="J6" s="141" t="s">
        <v>558</v>
      </c>
      <c r="K6" s="223" t="s">
        <v>559</v>
      </c>
      <c r="L6" s="141" t="s">
        <v>557</v>
      </c>
      <c r="M6" s="235" t="s">
        <v>560</v>
      </c>
      <c r="N6" s="142">
        <v>1.0</v>
      </c>
      <c r="O6" s="126"/>
      <c r="P6" s="59"/>
      <c r="Q6" s="64"/>
      <c r="R6" s="117"/>
      <c r="S6" s="117"/>
      <c r="T6" s="117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ht="30.0" customHeight="1">
      <c r="A7" s="138">
        <f t="shared" si="2"/>
        <v>3</v>
      </c>
      <c r="B7" s="60" t="s">
        <v>561</v>
      </c>
      <c r="C7" s="154">
        <v>5.0</v>
      </c>
      <c r="D7" s="79"/>
      <c r="E7" s="249" t="s">
        <v>33</v>
      </c>
      <c r="F7" s="63" t="s">
        <v>517</v>
      </c>
      <c r="G7" s="59" t="s">
        <v>146</v>
      </c>
      <c r="H7" s="63"/>
      <c r="I7" s="139"/>
      <c r="J7" s="203" t="s">
        <v>518</v>
      </c>
      <c r="K7" s="250" t="s">
        <v>519</v>
      </c>
      <c r="L7" s="159" t="s">
        <v>517</v>
      </c>
      <c r="M7" s="244" t="s">
        <v>520</v>
      </c>
      <c r="N7" s="142">
        <v>1.0</v>
      </c>
      <c r="O7" s="142"/>
      <c r="P7" s="59" t="s">
        <v>167</v>
      </c>
      <c r="Q7" s="64"/>
      <c r="R7" s="117"/>
      <c r="S7" s="117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>
      <c r="A8" s="138">
        <f t="shared" si="2"/>
        <v>4</v>
      </c>
      <c r="B8" s="60" t="s">
        <v>562</v>
      </c>
      <c r="C8" s="66"/>
      <c r="D8" s="79"/>
      <c r="E8" s="81" t="s">
        <v>22</v>
      </c>
      <c r="F8" s="59" t="s">
        <v>83</v>
      </c>
      <c r="G8" s="59" t="s">
        <v>158</v>
      </c>
      <c r="H8" s="63"/>
      <c r="I8" s="141"/>
      <c r="J8" s="141" t="s">
        <v>28</v>
      </c>
      <c r="K8" s="139" t="s">
        <v>159</v>
      </c>
      <c r="L8" s="148" t="s">
        <v>83</v>
      </c>
      <c r="M8" s="141" t="s">
        <v>366</v>
      </c>
      <c r="N8" s="142">
        <v>1.0</v>
      </c>
      <c r="O8" s="126"/>
      <c r="P8" s="59"/>
      <c r="Q8" s="64"/>
      <c r="R8" s="117"/>
      <c r="S8" s="117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9" ht="28.5" customHeight="1">
      <c r="A9" s="138">
        <f t="shared" si="2"/>
        <v>5</v>
      </c>
      <c r="B9" s="60" t="s">
        <v>563</v>
      </c>
      <c r="C9" s="142"/>
      <c r="D9" s="79"/>
      <c r="E9" s="80" t="s">
        <v>37</v>
      </c>
      <c r="F9" s="59" t="s">
        <v>83</v>
      </c>
      <c r="G9" s="59" t="s">
        <v>158</v>
      </c>
      <c r="H9" s="63"/>
      <c r="I9" s="141"/>
      <c r="J9" s="141" t="s">
        <v>28</v>
      </c>
      <c r="K9" s="139" t="s">
        <v>159</v>
      </c>
      <c r="L9" s="148" t="s">
        <v>83</v>
      </c>
      <c r="M9" s="141" t="s">
        <v>366</v>
      </c>
      <c r="N9" s="142">
        <v>1.0</v>
      </c>
      <c r="O9" s="142"/>
      <c r="P9" s="59" t="s">
        <v>564</v>
      </c>
      <c r="Q9" s="59"/>
      <c r="R9" s="117"/>
      <c r="S9" s="117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</row>
    <row r="10" ht="30.0" customHeight="1">
      <c r="A10" s="138">
        <f t="shared" si="2"/>
        <v>6</v>
      </c>
      <c r="B10" s="141" t="s">
        <v>565</v>
      </c>
      <c r="C10" s="140">
        <v>5.0</v>
      </c>
      <c r="D10" s="79"/>
      <c r="E10" s="81" t="s">
        <v>101</v>
      </c>
      <c r="F10" s="59" t="s">
        <v>264</v>
      </c>
      <c r="G10" s="59" t="s">
        <v>146</v>
      </c>
      <c r="H10" s="63"/>
      <c r="I10" s="141"/>
      <c r="J10" s="141" t="s">
        <v>566</v>
      </c>
      <c r="K10" s="139" t="s">
        <v>567</v>
      </c>
      <c r="L10" s="141" t="s">
        <v>264</v>
      </c>
      <c r="M10" s="141" t="s">
        <v>568</v>
      </c>
      <c r="N10" s="142">
        <v>1.0</v>
      </c>
      <c r="O10" s="142">
        <v>1.0</v>
      </c>
      <c r="P10" s="59"/>
      <c r="Q10" s="59"/>
      <c r="R10" s="216" t="s">
        <v>569</v>
      </c>
      <c r="S10" s="217" t="s">
        <v>570</v>
      </c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</row>
    <row r="11">
      <c r="A11" s="138">
        <f t="shared" si="2"/>
        <v>7</v>
      </c>
      <c r="B11" s="60" t="s">
        <v>74</v>
      </c>
      <c r="C11" s="66"/>
      <c r="D11" s="79"/>
      <c r="E11" s="80" t="s">
        <v>48</v>
      </c>
      <c r="F11" s="63" t="s">
        <v>83</v>
      </c>
      <c r="G11" s="63" t="s">
        <v>158</v>
      </c>
      <c r="H11" s="63"/>
      <c r="I11" s="141"/>
      <c r="J11" s="141" t="s">
        <v>28</v>
      </c>
      <c r="K11" s="139" t="s">
        <v>159</v>
      </c>
      <c r="L11" s="148" t="s">
        <v>83</v>
      </c>
      <c r="M11" s="141" t="s">
        <v>366</v>
      </c>
      <c r="N11" s="142">
        <v>1.0</v>
      </c>
      <c r="O11" s="142"/>
      <c r="P11" s="59"/>
      <c r="Q11" s="59"/>
      <c r="R11" s="216" t="s">
        <v>571</v>
      </c>
      <c r="S11" s="217" t="s">
        <v>572</v>
      </c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</row>
    <row r="12" ht="42.0" customHeight="1">
      <c r="A12" s="138">
        <f t="shared" si="2"/>
        <v>8</v>
      </c>
      <c r="B12" s="60" t="s">
        <v>75</v>
      </c>
      <c r="C12" s="66"/>
      <c r="D12" s="79"/>
      <c r="E12" s="80" t="s">
        <v>24</v>
      </c>
      <c r="F12" s="63" t="s">
        <v>573</v>
      </c>
      <c r="G12" s="63" t="s">
        <v>146</v>
      </c>
      <c r="H12" s="63"/>
      <c r="I12" s="141"/>
      <c r="J12" s="141" t="s">
        <v>574</v>
      </c>
      <c r="K12" s="139" t="s">
        <v>575</v>
      </c>
      <c r="L12" s="141" t="s">
        <v>573</v>
      </c>
      <c r="M12" s="141" t="s">
        <v>576</v>
      </c>
      <c r="N12" s="251"/>
      <c r="O12" s="126"/>
      <c r="P12" s="252" t="s">
        <v>577</v>
      </c>
      <c r="Q12" s="59"/>
      <c r="R12" s="216" t="s">
        <v>578</v>
      </c>
      <c r="S12" s="217" t="s">
        <v>579</v>
      </c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</row>
    <row r="13" ht="58.5" customHeight="1">
      <c r="A13" s="138">
        <f t="shared" si="2"/>
        <v>9</v>
      </c>
      <c r="B13" s="60" t="s">
        <v>580</v>
      </c>
      <c r="C13" s="66"/>
      <c r="D13" s="79"/>
      <c r="E13" s="80" t="s">
        <v>37</v>
      </c>
      <c r="F13" s="63" t="s">
        <v>581</v>
      </c>
      <c r="G13" s="63" t="s">
        <v>582</v>
      </c>
      <c r="H13" s="63"/>
      <c r="I13" s="141"/>
      <c r="J13" s="159" t="s">
        <v>583</v>
      </c>
      <c r="K13" s="253" t="s">
        <v>584</v>
      </c>
      <c r="L13" s="159" t="s">
        <v>585</v>
      </c>
      <c r="M13" s="159" t="s">
        <v>586</v>
      </c>
      <c r="N13" s="142">
        <v>1.0</v>
      </c>
      <c r="O13" s="126"/>
      <c r="P13" s="59"/>
      <c r="Q13" s="59"/>
      <c r="R13" s="216" t="s">
        <v>587</v>
      </c>
      <c r="S13" s="217" t="s">
        <v>588</v>
      </c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</row>
    <row r="14" ht="39.75" customHeight="1">
      <c r="A14" s="138">
        <f t="shared" si="2"/>
        <v>10</v>
      </c>
      <c r="B14" s="60" t="s">
        <v>589</v>
      </c>
      <c r="C14" s="154">
        <v>5.0</v>
      </c>
      <c r="D14" s="79"/>
      <c r="E14" s="80" t="s">
        <v>37</v>
      </c>
      <c r="F14" s="85" t="s">
        <v>590</v>
      </c>
      <c r="G14" s="59" t="s">
        <v>591</v>
      </c>
      <c r="H14" s="63"/>
      <c r="I14" s="141"/>
      <c r="J14" s="141" t="s">
        <v>592</v>
      </c>
      <c r="K14" s="253" t="s">
        <v>593</v>
      </c>
      <c r="L14" s="141" t="s">
        <v>590</v>
      </c>
      <c r="M14" s="141" t="s">
        <v>576</v>
      </c>
      <c r="N14" s="142">
        <v>1.0</v>
      </c>
      <c r="O14" s="142"/>
      <c r="P14" s="59" t="s">
        <v>167</v>
      </c>
      <c r="Q14" s="68"/>
      <c r="R14" s="117"/>
      <c r="S14" s="117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</row>
    <row r="15">
      <c r="A15" s="138">
        <f t="shared" si="2"/>
        <v>11</v>
      </c>
      <c r="B15" s="60" t="s">
        <v>77</v>
      </c>
      <c r="C15" s="66"/>
      <c r="D15" s="79"/>
      <c r="E15" s="80" t="s">
        <v>98</v>
      </c>
      <c r="F15" s="82" t="s">
        <v>78</v>
      </c>
      <c r="G15" s="64"/>
      <c r="H15" s="63"/>
      <c r="I15" s="141"/>
      <c r="J15" s="141" t="s">
        <v>506</v>
      </c>
      <c r="K15" s="253" t="s">
        <v>507</v>
      </c>
      <c r="L15" s="141" t="s">
        <v>504</v>
      </c>
      <c r="M15" s="141" t="s">
        <v>508</v>
      </c>
      <c r="N15" s="251"/>
      <c r="O15" s="126"/>
      <c r="P15" s="252" t="s">
        <v>577</v>
      </c>
      <c r="Q15" s="254"/>
      <c r="R15" s="117"/>
      <c r="S15" s="117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</row>
    <row r="16" ht="33.75" customHeight="1">
      <c r="A16" s="138">
        <f t="shared" si="2"/>
        <v>12</v>
      </c>
      <c r="B16" s="60" t="s">
        <v>79</v>
      </c>
      <c r="C16" s="66"/>
      <c r="D16" s="79"/>
      <c r="E16" s="83" t="s">
        <v>80</v>
      </c>
      <c r="F16" s="63" t="s">
        <v>83</v>
      </c>
      <c r="G16" s="255" t="s">
        <v>158</v>
      </c>
      <c r="H16" s="63"/>
      <c r="I16" s="141"/>
      <c r="J16" s="141" t="s">
        <v>28</v>
      </c>
      <c r="K16" s="253" t="s">
        <v>159</v>
      </c>
      <c r="L16" s="148" t="s">
        <v>83</v>
      </c>
      <c r="M16" s="141" t="s">
        <v>366</v>
      </c>
      <c r="N16" s="142">
        <v>1.0</v>
      </c>
      <c r="O16" s="126"/>
      <c r="P16" s="59"/>
      <c r="Q16" s="254"/>
      <c r="R16" s="117"/>
      <c r="S16" s="117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</row>
    <row r="17">
      <c r="A17" s="138">
        <f t="shared" si="2"/>
        <v>13</v>
      </c>
      <c r="B17" s="60" t="s">
        <v>81</v>
      </c>
      <c r="C17" s="66"/>
      <c r="D17" s="79"/>
      <c r="E17" s="81" t="s">
        <v>82</v>
      </c>
      <c r="F17" s="59" t="s">
        <v>83</v>
      </c>
      <c r="G17" s="59" t="s">
        <v>158</v>
      </c>
      <c r="H17" s="63"/>
      <c r="I17" s="141"/>
      <c r="J17" s="141" t="s">
        <v>82</v>
      </c>
      <c r="K17" s="253" t="s">
        <v>594</v>
      </c>
      <c r="L17" s="148" t="s">
        <v>595</v>
      </c>
      <c r="M17" s="186" t="s">
        <v>596</v>
      </c>
      <c r="N17" s="142">
        <v>1.0</v>
      </c>
      <c r="O17" s="126"/>
      <c r="P17" s="59"/>
      <c r="Q17" s="254"/>
      <c r="R17" s="216" t="s">
        <v>597</v>
      </c>
      <c r="S17" s="217" t="s">
        <v>598</v>
      </c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</row>
    <row r="18">
      <c r="A18" s="138">
        <f t="shared" si="2"/>
        <v>14</v>
      </c>
      <c r="B18" s="60" t="s">
        <v>599</v>
      </c>
      <c r="C18" s="154">
        <v>5.0</v>
      </c>
      <c r="D18" s="79"/>
      <c r="E18" s="81" t="s">
        <v>24</v>
      </c>
      <c r="F18" s="59" t="s">
        <v>600</v>
      </c>
      <c r="G18" s="64"/>
      <c r="H18" s="63"/>
      <c r="I18" s="141"/>
      <c r="J18" s="141" t="s">
        <v>601</v>
      </c>
      <c r="K18" s="253" t="s">
        <v>602</v>
      </c>
      <c r="L18" s="141" t="s">
        <v>603</v>
      </c>
      <c r="M18" s="141" t="s">
        <v>604</v>
      </c>
      <c r="N18" s="142">
        <v>1.0</v>
      </c>
      <c r="O18" s="142"/>
      <c r="P18" s="59" t="s">
        <v>167</v>
      </c>
      <c r="Q18" s="254"/>
      <c r="R18" s="117"/>
      <c r="S18" s="117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</row>
    <row r="19">
      <c r="A19" s="138">
        <f t="shared" si="2"/>
        <v>15</v>
      </c>
      <c r="B19" s="60" t="s">
        <v>605</v>
      </c>
      <c r="C19" s="142"/>
      <c r="D19" s="79"/>
      <c r="E19" s="81" t="s">
        <v>94</v>
      </c>
      <c r="F19" s="59" t="s">
        <v>557</v>
      </c>
      <c r="G19" s="59" t="s">
        <v>146</v>
      </c>
      <c r="H19" s="63"/>
      <c r="I19" s="139"/>
      <c r="J19" s="141" t="s">
        <v>487</v>
      </c>
      <c r="K19" s="253" t="s">
        <v>488</v>
      </c>
      <c r="L19" s="235" t="s">
        <v>486</v>
      </c>
      <c r="M19" s="141" t="s">
        <v>489</v>
      </c>
      <c r="N19" s="142">
        <v>1.0</v>
      </c>
      <c r="O19" s="142"/>
      <c r="P19" s="59" t="s">
        <v>167</v>
      </c>
      <c r="Q19" s="254"/>
      <c r="R19" s="216" t="s">
        <v>606</v>
      </c>
      <c r="S19" s="217" t="s">
        <v>607</v>
      </c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</row>
    <row r="20">
      <c r="A20" s="138">
        <f t="shared" si="2"/>
        <v>16</v>
      </c>
      <c r="B20" s="60" t="s">
        <v>608</v>
      </c>
      <c r="C20" s="66"/>
      <c r="D20" s="79"/>
      <c r="E20" s="81" t="s">
        <v>609</v>
      </c>
      <c r="F20" s="59" t="s">
        <v>83</v>
      </c>
      <c r="G20" s="64"/>
      <c r="H20" s="63"/>
      <c r="I20" s="139"/>
      <c r="J20" s="141" t="s">
        <v>609</v>
      </c>
      <c r="K20" s="253" t="s">
        <v>610</v>
      </c>
      <c r="L20" s="256" t="s">
        <v>611</v>
      </c>
      <c r="M20" s="141" t="s">
        <v>612</v>
      </c>
      <c r="N20" s="142">
        <v>1.0</v>
      </c>
      <c r="O20" s="126"/>
      <c r="P20" s="59"/>
      <c r="Q20" s="68"/>
      <c r="R20" s="216" t="s">
        <v>613</v>
      </c>
      <c r="S20" s="217" t="s">
        <v>614</v>
      </c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</row>
    <row r="21" ht="37.5" customHeight="1">
      <c r="A21" s="138">
        <f t="shared" si="2"/>
        <v>17</v>
      </c>
      <c r="B21" s="141" t="s">
        <v>615</v>
      </c>
      <c r="C21" s="140">
        <v>5.0</v>
      </c>
      <c r="D21" s="79"/>
      <c r="E21" s="81" t="s">
        <v>76</v>
      </c>
      <c r="F21" s="59" t="s">
        <v>616</v>
      </c>
      <c r="G21" s="59" t="s">
        <v>617</v>
      </c>
      <c r="H21" s="63"/>
      <c r="I21" s="141"/>
      <c r="J21" s="141" t="s">
        <v>618</v>
      </c>
      <c r="K21" s="253" t="s">
        <v>619</v>
      </c>
      <c r="L21" s="141" t="s">
        <v>616</v>
      </c>
      <c r="M21" s="141" t="s">
        <v>620</v>
      </c>
      <c r="N21" s="142">
        <v>1.0</v>
      </c>
      <c r="O21" s="142">
        <v>1.0</v>
      </c>
      <c r="P21" s="59"/>
      <c r="Q21" s="254"/>
      <c r="R21" s="117"/>
      <c r="S21" s="117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</row>
    <row r="22">
      <c r="A22" s="138">
        <f t="shared" si="2"/>
        <v>18</v>
      </c>
      <c r="B22" s="60" t="s">
        <v>84</v>
      </c>
      <c r="C22" s="66"/>
      <c r="D22" s="79"/>
      <c r="E22" s="81" t="s">
        <v>26</v>
      </c>
      <c r="F22" s="59" t="s">
        <v>83</v>
      </c>
      <c r="G22" s="59" t="s">
        <v>158</v>
      </c>
      <c r="H22" s="63"/>
      <c r="I22" s="141"/>
      <c r="J22" s="141" t="s">
        <v>28</v>
      </c>
      <c r="K22" s="253" t="s">
        <v>159</v>
      </c>
      <c r="L22" s="148" t="s">
        <v>83</v>
      </c>
      <c r="M22" s="141" t="s">
        <v>366</v>
      </c>
      <c r="N22" s="142">
        <v>1.0</v>
      </c>
      <c r="O22" s="126"/>
      <c r="P22" s="64"/>
      <c r="Q22" s="254"/>
      <c r="R22" s="117"/>
      <c r="S22" s="117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</row>
    <row r="23" ht="30.0" customHeight="1">
      <c r="A23" s="138">
        <f t="shared" si="2"/>
        <v>19</v>
      </c>
      <c r="B23" s="60" t="s">
        <v>621</v>
      </c>
      <c r="C23" s="66"/>
      <c r="D23" s="79"/>
      <c r="E23" s="81" t="s">
        <v>80</v>
      </c>
      <c r="F23" s="59" t="s">
        <v>622</v>
      </c>
      <c r="G23" s="59" t="s">
        <v>623</v>
      </c>
      <c r="H23" s="63"/>
      <c r="I23" s="141"/>
      <c r="J23" s="141" t="s">
        <v>624</v>
      </c>
      <c r="K23" s="253" t="s">
        <v>625</v>
      </c>
      <c r="L23" s="141" t="s">
        <v>622</v>
      </c>
      <c r="M23" s="141" t="s">
        <v>626</v>
      </c>
      <c r="N23" s="142">
        <v>1.0</v>
      </c>
      <c r="O23" s="126"/>
      <c r="P23" s="64"/>
      <c r="Q23" s="254"/>
      <c r="R23" s="216" t="s">
        <v>627</v>
      </c>
      <c r="S23" s="217" t="s">
        <v>628</v>
      </c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</row>
    <row r="24" ht="28.5" customHeight="1">
      <c r="A24" s="162">
        <v>46153.0</v>
      </c>
      <c r="B24" s="163" t="s">
        <v>126</v>
      </c>
      <c r="C24" s="118"/>
      <c r="D24" s="118"/>
      <c r="E24" s="118"/>
      <c r="F24" s="118"/>
      <c r="G24" s="118"/>
      <c r="H24" s="27"/>
      <c r="I24" s="27"/>
      <c r="J24" s="118"/>
      <c r="K24" s="118"/>
      <c r="L24" s="118"/>
      <c r="M24" s="118"/>
      <c r="N24" s="164"/>
      <c r="O24" s="161"/>
      <c r="P24" s="118"/>
      <c r="Q24" s="118"/>
      <c r="R24" s="117"/>
      <c r="S24" s="117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</row>
    <row r="25">
      <c r="A25" s="118"/>
      <c r="B25" s="118"/>
      <c r="C25" s="118"/>
      <c r="D25" s="118"/>
      <c r="E25" s="118"/>
      <c r="F25" s="118"/>
      <c r="G25" s="118"/>
      <c r="H25" s="27"/>
      <c r="I25" s="27"/>
      <c r="J25" s="118"/>
      <c r="K25" s="118"/>
      <c r="L25" s="118"/>
      <c r="M25" s="118"/>
      <c r="N25" s="164"/>
      <c r="O25" s="161"/>
      <c r="P25" s="118"/>
      <c r="Q25" s="118"/>
      <c r="R25" s="117"/>
      <c r="S25" s="117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64"/>
      <c r="O26" s="161"/>
      <c r="P26" s="118"/>
      <c r="Q26" s="118"/>
      <c r="R26" s="117"/>
      <c r="S26" s="117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64"/>
      <c r="O27" s="161"/>
      <c r="P27" s="118"/>
      <c r="Q27" s="118"/>
      <c r="R27" s="117"/>
      <c r="S27" s="117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64"/>
      <c r="O28" s="161"/>
      <c r="P28" s="118"/>
      <c r="Q28" s="118"/>
      <c r="R28" s="117"/>
      <c r="S28" s="117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64"/>
      <c r="O29" s="161"/>
      <c r="P29" s="118"/>
      <c r="Q29" s="118"/>
      <c r="R29" s="117"/>
      <c r="S29" s="117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64"/>
      <c r="O30" s="161"/>
      <c r="P30" s="118"/>
      <c r="Q30" s="118"/>
      <c r="R30" s="117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64"/>
      <c r="O31" s="161"/>
      <c r="P31" s="118"/>
      <c r="Q31" s="118"/>
      <c r="R31" s="117"/>
      <c r="S31" s="117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64"/>
      <c r="O32" s="161"/>
      <c r="P32" s="118"/>
      <c r="Q32" s="118"/>
      <c r="R32" s="117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64"/>
      <c r="O33" s="161"/>
      <c r="P33" s="118"/>
      <c r="Q33" s="118"/>
      <c r="R33" s="117"/>
      <c r="S33" s="117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64"/>
      <c r="O34" s="161"/>
      <c r="P34" s="118"/>
      <c r="Q34" s="118"/>
      <c r="R34" s="117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64"/>
      <c r="O35" s="161"/>
      <c r="P35" s="118"/>
      <c r="Q35" s="118"/>
      <c r="R35" s="117"/>
      <c r="S35" s="117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64"/>
      <c r="O36" s="161"/>
      <c r="P36" s="118"/>
      <c r="Q36" s="118"/>
      <c r="R36" s="117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64"/>
      <c r="O37" s="161"/>
      <c r="P37" s="118"/>
      <c r="Q37" s="118"/>
      <c r="R37" s="117"/>
      <c r="S37" s="117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64"/>
      <c r="O38" s="161"/>
      <c r="P38" s="118"/>
      <c r="Q38" s="118"/>
      <c r="R38" s="117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64"/>
      <c r="O39" s="161"/>
      <c r="P39" s="118"/>
      <c r="Q39" s="118"/>
      <c r="R39" s="117"/>
      <c r="S39" s="117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64"/>
      <c r="O40" s="161"/>
      <c r="P40" s="118"/>
      <c r="Q40" s="118"/>
      <c r="R40" s="117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64"/>
      <c r="O41" s="161"/>
      <c r="P41" s="118"/>
      <c r="Q41" s="118"/>
      <c r="R41" s="117"/>
      <c r="S41" s="117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64"/>
      <c r="O42" s="161"/>
      <c r="P42" s="118"/>
      <c r="Q42" s="118"/>
      <c r="R42" s="117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64"/>
      <c r="O43" s="161"/>
      <c r="P43" s="118"/>
      <c r="Q43" s="118"/>
      <c r="R43" s="117"/>
      <c r="S43" s="117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64"/>
      <c r="O44" s="161"/>
      <c r="P44" s="118"/>
      <c r="Q44" s="118"/>
      <c r="R44" s="117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64"/>
      <c r="O45" s="161"/>
      <c r="P45" s="118"/>
      <c r="Q45" s="118"/>
      <c r="R45" s="117"/>
      <c r="S45" s="117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64"/>
      <c r="O46" s="161"/>
      <c r="P46" s="118"/>
      <c r="Q46" s="118"/>
      <c r="R46" s="117"/>
      <c r="S46" s="117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64"/>
      <c r="O47" s="161"/>
      <c r="P47" s="118"/>
      <c r="Q47" s="118"/>
      <c r="R47" s="117"/>
      <c r="S47" s="117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64"/>
      <c r="O48" s="161"/>
      <c r="P48" s="118"/>
      <c r="Q48" s="118"/>
      <c r="R48" s="117"/>
      <c r="S48" s="117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64"/>
      <c r="O49" s="161"/>
      <c r="P49" s="118"/>
      <c r="Q49" s="118"/>
      <c r="R49" s="117"/>
      <c r="S49" s="117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64"/>
      <c r="O50" s="161"/>
      <c r="P50" s="118"/>
      <c r="Q50" s="118"/>
      <c r="R50" s="117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64"/>
      <c r="O51" s="161"/>
      <c r="P51" s="118"/>
      <c r="Q51" s="118"/>
      <c r="R51" s="117"/>
      <c r="S51" s="117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64"/>
      <c r="O52" s="161"/>
      <c r="P52" s="118"/>
      <c r="Q52" s="118"/>
      <c r="R52" s="117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64"/>
      <c r="O53" s="161"/>
      <c r="P53" s="118"/>
      <c r="Q53" s="118"/>
      <c r="R53" s="117"/>
      <c r="S53" s="117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64"/>
      <c r="O54" s="161"/>
      <c r="P54" s="118"/>
      <c r="Q54" s="118"/>
      <c r="R54" s="117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64"/>
      <c r="O55" s="161"/>
      <c r="P55" s="118"/>
      <c r="Q55" s="118"/>
      <c r="R55" s="117"/>
      <c r="S55" s="117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64"/>
      <c r="O56" s="161"/>
      <c r="P56" s="118"/>
      <c r="Q56" s="118"/>
      <c r="R56" s="117"/>
      <c r="S56" s="117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64"/>
      <c r="O57" s="161"/>
      <c r="P57" s="118"/>
      <c r="Q57" s="118"/>
      <c r="R57" s="117"/>
      <c r="S57" s="117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64"/>
      <c r="O58" s="161"/>
      <c r="P58" s="118"/>
      <c r="Q58" s="118"/>
      <c r="R58" s="117"/>
      <c r="S58" s="117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64"/>
      <c r="O59" s="161"/>
      <c r="P59" s="118"/>
      <c r="Q59" s="118"/>
      <c r="R59" s="117"/>
      <c r="S59" s="117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64"/>
      <c r="O60" s="161"/>
      <c r="P60" s="118"/>
      <c r="Q60" s="118"/>
      <c r="R60" s="117"/>
      <c r="S60" s="117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64"/>
      <c r="O61" s="161"/>
      <c r="P61" s="118"/>
      <c r="Q61" s="118"/>
      <c r="R61" s="117"/>
      <c r="S61" s="117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64"/>
      <c r="O62" s="161"/>
      <c r="P62" s="118"/>
      <c r="Q62" s="118"/>
      <c r="R62" s="117"/>
      <c r="S62" s="117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64"/>
      <c r="O63" s="161"/>
      <c r="P63" s="118"/>
      <c r="Q63" s="118"/>
      <c r="R63" s="117"/>
      <c r="S63" s="117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64"/>
      <c r="O64" s="161"/>
      <c r="P64" s="118"/>
      <c r="Q64" s="118"/>
      <c r="R64" s="117"/>
      <c r="S64" s="117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64"/>
      <c r="O65" s="161"/>
      <c r="P65" s="118"/>
      <c r="Q65" s="118"/>
      <c r="R65" s="117"/>
      <c r="S65" s="117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64"/>
      <c r="O66" s="161"/>
      <c r="P66" s="118"/>
      <c r="Q66" s="118"/>
      <c r="R66" s="117"/>
      <c r="S66" s="117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64"/>
      <c r="O67" s="161"/>
      <c r="P67" s="118"/>
      <c r="Q67" s="118"/>
      <c r="R67" s="117"/>
      <c r="S67" s="117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64"/>
      <c r="O68" s="161"/>
      <c r="P68" s="118"/>
      <c r="Q68" s="118"/>
      <c r="R68" s="117"/>
      <c r="S68" s="117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64"/>
      <c r="O69" s="161"/>
      <c r="P69" s="118"/>
      <c r="Q69" s="118"/>
      <c r="R69" s="117"/>
      <c r="S69" s="117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64"/>
      <c r="O70" s="161"/>
      <c r="P70" s="118"/>
      <c r="Q70" s="118"/>
      <c r="R70" s="117"/>
      <c r="S70" s="117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64"/>
      <c r="O71" s="161"/>
      <c r="P71" s="118"/>
      <c r="Q71" s="118"/>
      <c r="R71" s="117"/>
      <c r="S71" s="117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64"/>
      <c r="O72" s="161"/>
      <c r="P72" s="118"/>
      <c r="Q72" s="118"/>
      <c r="R72" s="117"/>
      <c r="S72" s="117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64"/>
      <c r="O73" s="161"/>
      <c r="P73" s="118"/>
      <c r="Q73" s="118"/>
      <c r="R73" s="117"/>
      <c r="S73" s="117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64"/>
      <c r="O74" s="161"/>
      <c r="P74" s="118"/>
      <c r="Q74" s="118"/>
      <c r="R74" s="117"/>
      <c r="S74" s="117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64"/>
      <c r="O75" s="161"/>
      <c r="P75" s="118"/>
      <c r="Q75" s="118"/>
      <c r="R75" s="117"/>
      <c r="S75" s="117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64"/>
      <c r="O76" s="161"/>
      <c r="P76" s="118"/>
      <c r="Q76" s="118"/>
      <c r="R76" s="117"/>
      <c r="S76" s="117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64"/>
      <c r="O77" s="161"/>
      <c r="P77" s="118"/>
      <c r="Q77" s="118"/>
      <c r="R77" s="117"/>
      <c r="S77" s="117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64"/>
      <c r="O78" s="161"/>
      <c r="P78" s="118"/>
      <c r="Q78" s="118"/>
      <c r="R78" s="117"/>
      <c r="S78" s="117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64"/>
      <c r="O79" s="161"/>
      <c r="P79" s="118"/>
      <c r="Q79" s="118"/>
      <c r="R79" s="117"/>
      <c r="S79" s="117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64"/>
      <c r="O80" s="161"/>
      <c r="P80" s="118"/>
      <c r="Q80" s="118"/>
      <c r="R80" s="117"/>
      <c r="S80" s="117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64"/>
      <c r="O81" s="161"/>
      <c r="P81" s="118"/>
      <c r="Q81" s="118"/>
      <c r="R81" s="117"/>
      <c r="S81" s="117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64"/>
      <c r="O82" s="161"/>
      <c r="P82" s="118"/>
      <c r="Q82" s="118"/>
      <c r="R82" s="117"/>
      <c r="S82" s="117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64"/>
      <c r="O83" s="161"/>
      <c r="P83" s="118"/>
      <c r="Q83" s="118"/>
      <c r="R83" s="117"/>
      <c r="S83" s="117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64"/>
      <c r="O84" s="161"/>
      <c r="P84" s="118"/>
      <c r="Q84" s="118"/>
      <c r="R84" s="117"/>
      <c r="S84" s="117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64"/>
      <c r="O85" s="161"/>
      <c r="P85" s="118"/>
      <c r="Q85" s="118"/>
      <c r="R85" s="117"/>
      <c r="S85" s="117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64"/>
      <c r="O86" s="161"/>
      <c r="P86" s="118"/>
      <c r="Q86" s="118"/>
      <c r="R86" s="117"/>
      <c r="S86" s="117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64"/>
      <c r="O87" s="161"/>
      <c r="P87" s="118"/>
      <c r="Q87" s="118"/>
      <c r="R87" s="117"/>
      <c r="S87" s="117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64"/>
      <c r="O88" s="161"/>
      <c r="P88" s="118"/>
      <c r="Q88" s="118"/>
      <c r="R88" s="117"/>
      <c r="S88" s="117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64"/>
      <c r="O89" s="161"/>
      <c r="P89" s="118"/>
      <c r="Q89" s="118"/>
      <c r="R89" s="117"/>
      <c r="S89" s="117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64"/>
      <c r="O90" s="161"/>
      <c r="P90" s="118"/>
      <c r="Q90" s="118"/>
      <c r="R90" s="117"/>
      <c r="S90" s="117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64"/>
      <c r="O91" s="161"/>
      <c r="P91" s="118"/>
      <c r="Q91" s="118"/>
      <c r="R91" s="117"/>
      <c r="S91" s="117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64"/>
      <c r="O92" s="161"/>
      <c r="P92" s="118"/>
      <c r="Q92" s="118"/>
      <c r="R92" s="117"/>
      <c r="S92" s="117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64"/>
      <c r="O93" s="161"/>
      <c r="P93" s="118"/>
      <c r="Q93" s="118"/>
      <c r="R93" s="117"/>
      <c r="S93" s="117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64"/>
      <c r="O94" s="161"/>
      <c r="P94" s="118"/>
      <c r="Q94" s="118"/>
      <c r="R94" s="117"/>
      <c r="S94" s="117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64"/>
      <c r="O95" s="161"/>
      <c r="P95" s="118"/>
      <c r="Q95" s="118"/>
      <c r="R95" s="117"/>
      <c r="S95" s="117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64"/>
      <c r="O96" s="161"/>
      <c r="P96" s="118"/>
      <c r="Q96" s="118"/>
      <c r="R96" s="117"/>
      <c r="S96" s="117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64"/>
      <c r="O97" s="161"/>
      <c r="P97" s="118"/>
      <c r="Q97" s="118"/>
      <c r="R97" s="117"/>
      <c r="S97" s="117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64"/>
      <c r="O98" s="161"/>
      <c r="P98" s="118"/>
      <c r="Q98" s="118"/>
      <c r="R98" s="117"/>
      <c r="S98" s="117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64"/>
      <c r="O99" s="161"/>
      <c r="P99" s="118"/>
      <c r="Q99" s="118"/>
      <c r="R99" s="117"/>
      <c r="S99" s="117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64"/>
      <c r="O100" s="161"/>
      <c r="P100" s="118"/>
      <c r="Q100" s="118"/>
      <c r="R100" s="117"/>
      <c r="S100" s="117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64"/>
      <c r="O101" s="161"/>
      <c r="P101" s="118"/>
      <c r="Q101" s="118"/>
      <c r="R101" s="117"/>
      <c r="S101" s="117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64"/>
      <c r="O102" s="161"/>
      <c r="P102" s="118"/>
      <c r="Q102" s="118"/>
      <c r="R102" s="117"/>
      <c r="S102" s="117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64"/>
      <c r="O103" s="161"/>
      <c r="P103" s="118"/>
      <c r="Q103" s="118"/>
      <c r="R103" s="117"/>
      <c r="S103" s="117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64"/>
      <c r="O104" s="161"/>
      <c r="P104" s="118"/>
      <c r="Q104" s="118"/>
      <c r="R104" s="117"/>
      <c r="S104" s="117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64"/>
      <c r="O105" s="161"/>
      <c r="P105" s="118"/>
      <c r="Q105" s="118"/>
      <c r="R105" s="117"/>
      <c r="S105" s="117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64"/>
      <c r="O106" s="161"/>
      <c r="P106" s="118"/>
      <c r="Q106" s="118"/>
      <c r="R106" s="117"/>
      <c r="S106" s="117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64"/>
      <c r="O107" s="161"/>
      <c r="P107" s="118"/>
      <c r="Q107" s="118"/>
      <c r="R107" s="117"/>
      <c r="S107" s="117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64"/>
      <c r="O108" s="161"/>
      <c r="P108" s="118"/>
      <c r="Q108" s="118"/>
      <c r="R108" s="117"/>
      <c r="S108" s="117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64"/>
      <c r="O109" s="161"/>
      <c r="P109" s="118"/>
      <c r="Q109" s="118"/>
      <c r="R109" s="117"/>
      <c r="S109" s="117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64"/>
      <c r="O110" s="161"/>
      <c r="P110" s="118"/>
      <c r="Q110" s="118"/>
      <c r="R110" s="117"/>
      <c r="S110" s="117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64"/>
      <c r="O111" s="161"/>
      <c r="P111" s="118"/>
      <c r="Q111" s="118"/>
      <c r="R111" s="117"/>
      <c r="S111" s="117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64"/>
      <c r="O112" s="161"/>
      <c r="P112" s="118"/>
      <c r="Q112" s="118"/>
      <c r="R112" s="117"/>
      <c r="S112" s="117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64"/>
      <c r="O113" s="161"/>
      <c r="P113" s="118"/>
      <c r="Q113" s="118"/>
      <c r="R113" s="117"/>
      <c r="S113" s="117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64"/>
      <c r="O114" s="161"/>
      <c r="P114" s="118"/>
      <c r="Q114" s="118"/>
      <c r="R114" s="117"/>
      <c r="S114" s="117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64"/>
      <c r="O115" s="161"/>
      <c r="P115" s="118"/>
      <c r="Q115" s="118"/>
      <c r="R115" s="117"/>
      <c r="S115" s="117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64"/>
      <c r="O116" s="161"/>
      <c r="P116" s="118"/>
      <c r="Q116" s="118"/>
      <c r="R116" s="117"/>
      <c r="S116" s="117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64"/>
      <c r="O117" s="161"/>
      <c r="P117" s="118"/>
      <c r="Q117" s="118"/>
      <c r="R117" s="117"/>
      <c r="S117" s="117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64"/>
      <c r="O118" s="161"/>
      <c r="P118" s="118"/>
      <c r="Q118" s="118"/>
      <c r="R118" s="117"/>
      <c r="S118" s="117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64"/>
      <c r="O119" s="161"/>
      <c r="P119" s="118"/>
      <c r="Q119" s="118"/>
      <c r="R119" s="117"/>
      <c r="S119" s="117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64"/>
      <c r="O120" s="161"/>
      <c r="P120" s="118"/>
      <c r="Q120" s="118"/>
      <c r="R120" s="117"/>
      <c r="S120" s="117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64"/>
      <c r="O121" s="161"/>
      <c r="P121" s="118"/>
      <c r="Q121" s="118"/>
      <c r="R121" s="117"/>
      <c r="S121" s="117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64"/>
      <c r="O122" s="161"/>
      <c r="P122" s="118"/>
      <c r="Q122" s="118"/>
      <c r="R122" s="117"/>
      <c r="S122" s="117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64"/>
      <c r="O123" s="161"/>
      <c r="P123" s="118"/>
      <c r="Q123" s="118"/>
      <c r="R123" s="117"/>
      <c r="S123" s="117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64"/>
      <c r="O124" s="161"/>
      <c r="P124" s="118"/>
      <c r="Q124" s="118"/>
      <c r="R124" s="117"/>
      <c r="S124" s="117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64"/>
      <c r="O125" s="161"/>
      <c r="P125" s="118"/>
      <c r="Q125" s="118"/>
      <c r="R125" s="117"/>
      <c r="S125" s="117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64"/>
      <c r="O126" s="161"/>
      <c r="P126" s="118"/>
      <c r="Q126" s="118"/>
      <c r="R126" s="117"/>
      <c r="S126" s="117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64"/>
      <c r="O127" s="161"/>
      <c r="P127" s="118"/>
      <c r="Q127" s="118"/>
      <c r="R127" s="117"/>
      <c r="S127" s="117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64"/>
      <c r="O128" s="161"/>
      <c r="P128" s="118"/>
      <c r="Q128" s="118"/>
      <c r="R128" s="117"/>
      <c r="S128" s="117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64"/>
      <c r="O129" s="161"/>
      <c r="P129" s="118"/>
      <c r="Q129" s="118"/>
      <c r="R129" s="117"/>
      <c r="S129" s="117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64"/>
      <c r="O130" s="161"/>
      <c r="P130" s="118"/>
      <c r="Q130" s="118"/>
      <c r="R130" s="117"/>
      <c r="S130" s="117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64"/>
      <c r="O131" s="161"/>
      <c r="P131" s="118"/>
      <c r="Q131" s="118"/>
      <c r="R131" s="117"/>
      <c r="S131" s="117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64"/>
      <c r="O132" s="161"/>
      <c r="P132" s="118"/>
      <c r="Q132" s="118"/>
      <c r="R132" s="117"/>
      <c r="S132" s="117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64"/>
      <c r="O133" s="161"/>
      <c r="P133" s="118"/>
      <c r="Q133" s="118"/>
      <c r="R133" s="117"/>
      <c r="S133" s="117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64"/>
      <c r="O134" s="161"/>
      <c r="P134" s="118"/>
      <c r="Q134" s="118"/>
      <c r="R134" s="117"/>
      <c r="S134" s="117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64"/>
      <c r="O135" s="161"/>
      <c r="P135" s="118"/>
      <c r="Q135" s="118"/>
      <c r="R135" s="117"/>
      <c r="S135" s="117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64"/>
      <c r="O136" s="161"/>
      <c r="P136" s="118"/>
      <c r="Q136" s="118"/>
      <c r="R136" s="117"/>
      <c r="S136" s="117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64"/>
      <c r="O137" s="161"/>
      <c r="P137" s="118"/>
      <c r="Q137" s="118"/>
      <c r="R137" s="117"/>
      <c r="S137" s="117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64"/>
      <c r="O138" s="161"/>
      <c r="P138" s="118"/>
      <c r="Q138" s="118"/>
      <c r="R138" s="117"/>
      <c r="S138" s="117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64"/>
      <c r="O139" s="161"/>
      <c r="P139" s="118"/>
      <c r="Q139" s="118"/>
      <c r="R139" s="117"/>
      <c r="S139" s="117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64"/>
      <c r="O140" s="161"/>
      <c r="P140" s="118"/>
      <c r="Q140" s="118"/>
      <c r="R140" s="117"/>
      <c r="S140" s="117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64"/>
      <c r="O141" s="161"/>
      <c r="P141" s="118"/>
      <c r="Q141" s="118"/>
      <c r="R141" s="117"/>
      <c r="S141" s="117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64"/>
      <c r="O142" s="161"/>
      <c r="P142" s="118"/>
      <c r="Q142" s="118"/>
      <c r="R142" s="117"/>
      <c r="S142" s="117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64"/>
      <c r="O143" s="161"/>
      <c r="P143" s="118"/>
      <c r="Q143" s="118"/>
      <c r="R143" s="117"/>
      <c r="S143" s="117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64"/>
      <c r="O144" s="161"/>
      <c r="P144" s="118"/>
      <c r="Q144" s="118"/>
      <c r="R144" s="117"/>
      <c r="S144" s="117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64"/>
      <c r="O145" s="161"/>
      <c r="P145" s="118"/>
      <c r="Q145" s="118"/>
      <c r="R145" s="117"/>
      <c r="S145" s="117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64"/>
      <c r="O146" s="161"/>
      <c r="P146" s="118"/>
      <c r="Q146" s="118"/>
      <c r="R146" s="117"/>
      <c r="S146" s="117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64"/>
      <c r="O147" s="161"/>
      <c r="P147" s="118"/>
      <c r="Q147" s="118"/>
      <c r="R147" s="117"/>
      <c r="S147" s="117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64"/>
      <c r="O148" s="161"/>
      <c r="P148" s="118"/>
      <c r="Q148" s="118"/>
      <c r="R148" s="117"/>
      <c r="S148" s="117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64"/>
      <c r="O149" s="161"/>
      <c r="P149" s="118"/>
      <c r="Q149" s="118"/>
      <c r="R149" s="117"/>
      <c r="S149" s="117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64"/>
      <c r="O150" s="161"/>
      <c r="P150" s="118"/>
      <c r="Q150" s="118"/>
      <c r="R150" s="117"/>
      <c r="S150" s="117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64"/>
      <c r="O151" s="161"/>
      <c r="P151" s="118"/>
      <c r="Q151" s="118"/>
      <c r="R151" s="117"/>
      <c r="S151" s="117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64"/>
      <c r="O152" s="161"/>
      <c r="P152" s="118"/>
      <c r="Q152" s="118"/>
      <c r="R152" s="117"/>
      <c r="S152" s="117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64"/>
      <c r="O153" s="161"/>
      <c r="P153" s="118"/>
      <c r="Q153" s="118"/>
      <c r="R153" s="117"/>
      <c r="S153" s="117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64"/>
      <c r="O154" s="161"/>
      <c r="P154" s="118"/>
      <c r="Q154" s="118"/>
      <c r="R154" s="117"/>
      <c r="S154" s="117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64"/>
      <c r="O155" s="161"/>
      <c r="P155" s="118"/>
      <c r="Q155" s="118"/>
      <c r="R155" s="117"/>
      <c r="S155" s="117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64"/>
      <c r="O156" s="161"/>
      <c r="P156" s="118"/>
      <c r="Q156" s="118"/>
      <c r="R156" s="117"/>
      <c r="S156" s="117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64"/>
      <c r="O157" s="161"/>
      <c r="P157" s="118"/>
      <c r="Q157" s="118"/>
      <c r="R157" s="117"/>
      <c r="S157" s="117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64"/>
      <c r="O158" s="161"/>
      <c r="P158" s="118"/>
      <c r="Q158" s="118"/>
      <c r="R158" s="117"/>
      <c r="S158" s="117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64"/>
      <c r="O159" s="161"/>
      <c r="P159" s="118"/>
      <c r="Q159" s="118"/>
      <c r="R159" s="117"/>
      <c r="S159" s="117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64"/>
      <c r="O160" s="161"/>
      <c r="P160" s="118"/>
      <c r="Q160" s="118"/>
      <c r="R160" s="117"/>
      <c r="S160" s="117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64"/>
      <c r="O161" s="161"/>
      <c r="P161" s="118"/>
      <c r="Q161" s="118"/>
      <c r="R161" s="117"/>
      <c r="S161" s="117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64"/>
      <c r="O162" s="161"/>
      <c r="P162" s="118"/>
      <c r="Q162" s="118"/>
      <c r="R162" s="117"/>
      <c r="S162" s="117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64"/>
      <c r="O163" s="161"/>
      <c r="P163" s="118"/>
      <c r="Q163" s="118"/>
      <c r="R163" s="117"/>
      <c r="S163" s="117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64"/>
      <c r="O164" s="161"/>
      <c r="P164" s="118"/>
      <c r="Q164" s="118"/>
      <c r="R164" s="117"/>
      <c r="S164" s="117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64"/>
      <c r="O165" s="161"/>
      <c r="P165" s="118"/>
      <c r="Q165" s="118"/>
      <c r="R165" s="117"/>
      <c r="S165" s="117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64"/>
      <c r="O166" s="161"/>
      <c r="P166" s="118"/>
      <c r="Q166" s="118"/>
      <c r="R166" s="117"/>
      <c r="S166" s="117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64"/>
      <c r="O167" s="161"/>
      <c r="P167" s="118"/>
      <c r="Q167" s="118"/>
      <c r="R167" s="117"/>
      <c r="S167" s="117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64"/>
      <c r="O168" s="161"/>
      <c r="P168" s="118"/>
      <c r="Q168" s="118"/>
      <c r="R168" s="117"/>
      <c r="S168" s="117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64"/>
      <c r="O169" s="161"/>
      <c r="P169" s="118"/>
      <c r="Q169" s="118"/>
      <c r="R169" s="117"/>
      <c r="S169" s="117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64"/>
      <c r="O170" s="161"/>
      <c r="P170" s="118"/>
      <c r="Q170" s="118"/>
      <c r="R170" s="117"/>
      <c r="S170" s="117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64"/>
      <c r="O171" s="161"/>
      <c r="P171" s="118"/>
      <c r="Q171" s="118"/>
      <c r="R171" s="117"/>
      <c r="S171" s="117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64"/>
      <c r="O172" s="161"/>
      <c r="P172" s="118"/>
      <c r="Q172" s="118"/>
      <c r="R172" s="117"/>
      <c r="S172" s="117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64"/>
      <c r="O173" s="161"/>
      <c r="P173" s="118"/>
      <c r="Q173" s="118"/>
      <c r="R173" s="117"/>
      <c r="S173" s="117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64"/>
      <c r="O174" s="161"/>
      <c r="P174" s="118"/>
      <c r="Q174" s="118"/>
      <c r="R174" s="117"/>
      <c r="S174" s="117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64"/>
      <c r="O175" s="161"/>
      <c r="P175" s="118"/>
      <c r="Q175" s="118"/>
      <c r="R175" s="117"/>
      <c r="S175" s="117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64"/>
      <c r="O176" s="161"/>
      <c r="P176" s="118"/>
      <c r="Q176" s="118"/>
      <c r="R176" s="117"/>
      <c r="S176" s="117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64"/>
      <c r="O177" s="161"/>
      <c r="P177" s="118"/>
      <c r="Q177" s="118"/>
      <c r="R177" s="117"/>
      <c r="S177" s="117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64"/>
      <c r="O178" s="161"/>
      <c r="P178" s="118"/>
      <c r="Q178" s="118"/>
      <c r="R178" s="117"/>
      <c r="S178" s="117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64"/>
      <c r="O179" s="161"/>
      <c r="P179" s="118"/>
      <c r="Q179" s="118"/>
      <c r="R179" s="117"/>
      <c r="S179" s="117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64"/>
      <c r="O180" s="161"/>
      <c r="P180" s="118"/>
      <c r="Q180" s="118"/>
      <c r="R180" s="117"/>
      <c r="S180" s="117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64"/>
      <c r="O181" s="161"/>
      <c r="P181" s="118"/>
      <c r="Q181" s="118"/>
      <c r="R181" s="117"/>
      <c r="S181" s="117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64"/>
      <c r="O182" s="161"/>
      <c r="P182" s="118"/>
      <c r="Q182" s="118"/>
      <c r="R182" s="117"/>
      <c r="S182" s="117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64"/>
      <c r="O183" s="161"/>
      <c r="P183" s="118"/>
      <c r="Q183" s="118"/>
      <c r="R183" s="117"/>
      <c r="S183" s="117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64"/>
      <c r="O184" s="161"/>
      <c r="P184" s="118"/>
      <c r="Q184" s="118"/>
      <c r="R184" s="117"/>
      <c r="S184" s="117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64"/>
      <c r="O185" s="161"/>
      <c r="P185" s="118"/>
      <c r="Q185" s="118"/>
      <c r="R185" s="117"/>
      <c r="S185" s="117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64"/>
      <c r="O186" s="161"/>
      <c r="P186" s="118"/>
      <c r="Q186" s="118"/>
      <c r="R186" s="117"/>
      <c r="S186" s="117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64"/>
      <c r="O187" s="161"/>
      <c r="P187" s="118"/>
      <c r="Q187" s="118"/>
      <c r="R187" s="117"/>
      <c r="S187" s="117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64"/>
      <c r="O188" s="161"/>
      <c r="P188" s="118"/>
      <c r="Q188" s="118"/>
      <c r="R188" s="117"/>
      <c r="S188" s="117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64"/>
      <c r="O189" s="161"/>
      <c r="P189" s="118"/>
      <c r="Q189" s="118"/>
      <c r="R189" s="117"/>
      <c r="S189" s="117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64"/>
      <c r="O190" s="161"/>
      <c r="P190" s="118"/>
      <c r="Q190" s="118"/>
      <c r="R190" s="117"/>
      <c r="S190" s="117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64"/>
      <c r="O191" s="161"/>
      <c r="P191" s="118"/>
      <c r="Q191" s="118"/>
      <c r="R191" s="117"/>
      <c r="S191" s="117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64"/>
      <c r="O192" s="161"/>
      <c r="P192" s="118"/>
      <c r="Q192" s="118"/>
      <c r="R192" s="117"/>
      <c r="S192" s="117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64"/>
      <c r="O193" s="161"/>
      <c r="P193" s="118"/>
      <c r="Q193" s="118"/>
      <c r="R193" s="117"/>
      <c r="S193" s="117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64"/>
      <c r="O194" s="161"/>
      <c r="P194" s="118"/>
      <c r="Q194" s="118"/>
      <c r="R194" s="117"/>
      <c r="S194" s="117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64"/>
      <c r="O195" s="161"/>
      <c r="P195" s="118"/>
      <c r="Q195" s="118"/>
      <c r="R195" s="117"/>
      <c r="S195" s="117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64"/>
      <c r="O196" s="161"/>
      <c r="P196" s="118"/>
      <c r="Q196" s="118"/>
      <c r="R196" s="117"/>
      <c r="S196" s="117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64"/>
      <c r="O197" s="161"/>
      <c r="P197" s="118"/>
      <c r="Q197" s="118"/>
      <c r="R197" s="117"/>
      <c r="S197" s="117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64"/>
      <c r="O198" s="161"/>
      <c r="P198" s="118"/>
      <c r="Q198" s="118"/>
      <c r="R198" s="117"/>
      <c r="S198" s="117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64"/>
      <c r="O199" s="161"/>
      <c r="P199" s="118"/>
      <c r="Q199" s="118"/>
      <c r="R199" s="117"/>
      <c r="S199" s="117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64"/>
      <c r="O200" s="161"/>
      <c r="P200" s="118"/>
      <c r="Q200" s="118"/>
      <c r="R200" s="117"/>
      <c r="S200" s="117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64"/>
      <c r="O201" s="161"/>
      <c r="P201" s="118"/>
      <c r="Q201" s="118"/>
      <c r="R201" s="117"/>
      <c r="S201" s="117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64"/>
      <c r="O202" s="161"/>
      <c r="P202" s="118"/>
      <c r="Q202" s="118"/>
      <c r="R202" s="117"/>
      <c r="S202" s="117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64"/>
      <c r="O203" s="161"/>
      <c r="P203" s="118"/>
      <c r="Q203" s="118"/>
      <c r="R203" s="117"/>
      <c r="S203" s="117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64"/>
      <c r="O204" s="161"/>
      <c r="P204" s="118"/>
      <c r="Q204" s="118"/>
      <c r="R204" s="117"/>
      <c r="S204" s="117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64"/>
      <c r="O205" s="161"/>
      <c r="P205" s="118"/>
      <c r="Q205" s="118"/>
      <c r="R205" s="117"/>
      <c r="S205" s="117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64"/>
      <c r="O206" s="161"/>
      <c r="P206" s="118"/>
      <c r="Q206" s="118"/>
      <c r="R206" s="117"/>
      <c r="S206" s="117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64"/>
      <c r="O207" s="161"/>
      <c r="P207" s="118"/>
      <c r="Q207" s="118"/>
      <c r="R207" s="117"/>
      <c r="S207" s="117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64"/>
      <c r="O208" s="161"/>
      <c r="P208" s="118"/>
      <c r="Q208" s="118"/>
      <c r="R208" s="117"/>
      <c r="S208" s="117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64"/>
      <c r="O209" s="161"/>
      <c r="P209" s="118"/>
      <c r="Q209" s="118"/>
      <c r="R209" s="117"/>
      <c r="S209" s="117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64"/>
      <c r="O210" s="161"/>
      <c r="P210" s="118"/>
      <c r="Q210" s="118"/>
      <c r="R210" s="117"/>
      <c r="S210" s="117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64"/>
      <c r="O211" s="161"/>
      <c r="P211" s="118"/>
      <c r="Q211" s="118"/>
      <c r="R211" s="117"/>
      <c r="S211" s="117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64"/>
      <c r="O212" s="161"/>
      <c r="P212" s="118"/>
      <c r="Q212" s="118"/>
      <c r="R212" s="117"/>
      <c r="S212" s="117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64"/>
      <c r="O213" s="161"/>
      <c r="P213" s="118"/>
      <c r="Q213" s="118"/>
      <c r="R213" s="117"/>
      <c r="S213" s="117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64"/>
      <c r="O214" s="161"/>
      <c r="P214" s="118"/>
      <c r="Q214" s="118"/>
      <c r="R214" s="117"/>
      <c r="S214" s="117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64"/>
      <c r="O215" s="161"/>
      <c r="P215" s="118"/>
      <c r="Q215" s="118"/>
      <c r="R215" s="117"/>
      <c r="S215" s="117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64"/>
      <c r="O216" s="161"/>
      <c r="P216" s="118"/>
      <c r="Q216" s="118"/>
      <c r="R216" s="117"/>
      <c r="S216" s="117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64"/>
      <c r="O217" s="161"/>
      <c r="P217" s="118"/>
      <c r="Q217" s="118"/>
      <c r="R217" s="117"/>
      <c r="S217" s="117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64"/>
      <c r="O218" s="161"/>
      <c r="P218" s="118"/>
      <c r="Q218" s="118"/>
      <c r="R218" s="117"/>
      <c r="S218" s="117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64"/>
      <c r="O219" s="161"/>
      <c r="P219" s="118"/>
      <c r="Q219" s="118"/>
      <c r="R219" s="117"/>
      <c r="S219" s="117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64"/>
      <c r="O220" s="161"/>
      <c r="P220" s="118"/>
      <c r="Q220" s="118"/>
      <c r="R220" s="117"/>
      <c r="S220" s="117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64"/>
      <c r="O221" s="161"/>
      <c r="P221" s="118"/>
      <c r="Q221" s="118"/>
      <c r="R221" s="117"/>
      <c r="S221" s="117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64"/>
      <c r="O222" s="161"/>
      <c r="P222" s="118"/>
      <c r="Q222" s="118"/>
      <c r="R222" s="117"/>
      <c r="S222" s="117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64"/>
      <c r="O223" s="161"/>
      <c r="P223" s="118"/>
      <c r="Q223" s="118"/>
      <c r="R223" s="117"/>
      <c r="S223" s="117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64"/>
      <c r="O224" s="161"/>
      <c r="P224" s="118"/>
      <c r="Q224" s="118"/>
      <c r="R224" s="117"/>
      <c r="S224" s="117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64"/>
      <c r="O225" s="161"/>
      <c r="P225" s="118"/>
      <c r="Q225" s="118"/>
      <c r="R225" s="117"/>
      <c r="S225" s="117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64"/>
      <c r="O226" s="161"/>
      <c r="P226" s="118"/>
      <c r="Q226" s="118"/>
      <c r="R226" s="117"/>
      <c r="S226" s="117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64"/>
      <c r="O227" s="161"/>
      <c r="P227" s="118"/>
      <c r="Q227" s="118"/>
      <c r="R227" s="117"/>
      <c r="S227" s="117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64"/>
      <c r="O228" s="161"/>
      <c r="P228" s="118"/>
      <c r="Q228" s="118"/>
      <c r="R228" s="117"/>
      <c r="S228" s="117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64"/>
      <c r="O229" s="161"/>
      <c r="P229" s="118"/>
      <c r="Q229" s="118"/>
      <c r="R229" s="117"/>
      <c r="S229" s="117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64"/>
      <c r="O230" s="161"/>
      <c r="P230" s="118"/>
      <c r="Q230" s="118"/>
      <c r="R230" s="117"/>
      <c r="S230" s="117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64"/>
      <c r="O231" s="161"/>
      <c r="P231" s="118"/>
      <c r="Q231" s="118"/>
      <c r="R231" s="117"/>
      <c r="S231" s="117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64"/>
      <c r="O232" s="161"/>
      <c r="P232" s="118"/>
      <c r="Q232" s="118"/>
      <c r="R232" s="117"/>
      <c r="S232" s="117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64"/>
      <c r="O233" s="161"/>
      <c r="P233" s="118"/>
      <c r="Q233" s="118"/>
      <c r="R233" s="117"/>
      <c r="S233" s="117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64"/>
      <c r="O234" s="161"/>
      <c r="P234" s="118"/>
      <c r="Q234" s="118"/>
      <c r="R234" s="117"/>
      <c r="S234" s="117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64"/>
      <c r="O235" s="161"/>
      <c r="P235" s="118"/>
      <c r="Q235" s="118"/>
      <c r="R235" s="117"/>
      <c r="S235" s="117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64"/>
      <c r="O236" s="161"/>
      <c r="P236" s="118"/>
      <c r="Q236" s="118"/>
      <c r="R236" s="117"/>
      <c r="S236" s="117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64"/>
      <c r="O237" s="161"/>
      <c r="P237" s="118"/>
      <c r="Q237" s="118"/>
      <c r="R237" s="117"/>
      <c r="S237" s="117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64"/>
      <c r="O238" s="161"/>
      <c r="P238" s="118"/>
      <c r="Q238" s="118"/>
      <c r="R238" s="117"/>
      <c r="S238" s="117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64"/>
      <c r="O239" s="161"/>
      <c r="P239" s="118"/>
      <c r="Q239" s="118"/>
      <c r="R239" s="117"/>
      <c r="S239" s="117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64"/>
      <c r="O240" s="161"/>
      <c r="P240" s="118"/>
      <c r="Q240" s="118"/>
      <c r="R240" s="117"/>
      <c r="S240" s="117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64"/>
      <c r="O241" s="161"/>
      <c r="P241" s="118"/>
      <c r="Q241" s="118"/>
      <c r="R241" s="117"/>
      <c r="S241" s="117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64"/>
      <c r="O242" s="161"/>
      <c r="P242" s="118"/>
      <c r="Q242" s="118"/>
      <c r="R242" s="117"/>
      <c r="S242" s="117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64"/>
      <c r="O243" s="161"/>
      <c r="P243" s="118"/>
      <c r="Q243" s="118"/>
      <c r="R243" s="117"/>
      <c r="S243" s="117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64"/>
      <c r="O244" s="161"/>
      <c r="P244" s="118"/>
      <c r="Q244" s="118"/>
      <c r="R244" s="117"/>
      <c r="S244" s="117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64"/>
      <c r="O245" s="161"/>
      <c r="P245" s="118"/>
      <c r="Q245" s="118"/>
      <c r="R245" s="117"/>
      <c r="S245" s="117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/>
      <c r="AR245" s="118"/>
      <c r="AS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64"/>
      <c r="O246" s="161"/>
      <c r="P246" s="118"/>
      <c r="Q246" s="118"/>
      <c r="R246" s="117"/>
      <c r="S246" s="117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64"/>
      <c r="O247" s="161"/>
      <c r="P247" s="118"/>
      <c r="Q247" s="118"/>
      <c r="R247" s="117"/>
      <c r="S247" s="117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64"/>
      <c r="O248" s="161"/>
      <c r="P248" s="118"/>
      <c r="Q248" s="118"/>
      <c r="R248" s="117"/>
      <c r="S248" s="117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64"/>
      <c r="O249" s="161"/>
      <c r="P249" s="118"/>
      <c r="Q249" s="118"/>
      <c r="R249" s="117"/>
      <c r="S249" s="117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AQ249" s="118"/>
      <c r="AR249" s="118"/>
      <c r="AS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64"/>
      <c r="O250" s="161"/>
      <c r="P250" s="118"/>
      <c r="Q250" s="118"/>
      <c r="R250" s="117"/>
      <c r="S250" s="117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64"/>
      <c r="O251" s="161"/>
      <c r="P251" s="118"/>
      <c r="Q251" s="118"/>
      <c r="R251" s="117"/>
      <c r="S251" s="117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/>
      <c r="AS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64"/>
      <c r="O252" s="161"/>
      <c r="P252" s="118"/>
      <c r="Q252" s="118"/>
      <c r="R252" s="117"/>
      <c r="S252" s="117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AQ252" s="118"/>
      <c r="AR252" s="118"/>
      <c r="AS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64"/>
      <c r="O253" s="161"/>
      <c r="P253" s="118"/>
      <c r="Q253" s="118"/>
      <c r="R253" s="117"/>
      <c r="S253" s="117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64"/>
      <c r="O254" s="161"/>
      <c r="P254" s="118"/>
      <c r="Q254" s="118"/>
      <c r="R254" s="117"/>
      <c r="S254" s="117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64"/>
      <c r="O255" s="161"/>
      <c r="P255" s="118"/>
      <c r="Q255" s="118"/>
      <c r="R255" s="117"/>
      <c r="S255" s="117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64"/>
      <c r="O256" s="161"/>
      <c r="P256" s="118"/>
      <c r="Q256" s="118"/>
      <c r="R256" s="117"/>
      <c r="S256" s="117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64"/>
      <c r="O257" s="161"/>
      <c r="P257" s="118"/>
      <c r="Q257" s="118"/>
      <c r="R257" s="117"/>
      <c r="S257" s="117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64"/>
      <c r="O258" s="161"/>
      <c r="P258" s="118"/>
      <c r="Q258" s="118"/>
      <c r="R258" s="117"/>
      <c r="S258" s="117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64"/>
      <c r="O259" s="161"/>
      <c r="P259" s="118"/>
      <c r="Q259" s="118"/>
      <c r="R259" s="117"/>
      <c r="S259" s="117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/>
      <c r="AR259" s="118"/>
      <c r="AS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64"/>
      <c r="O260" s="161"/>
      <c r="P260" s="118"/>
      <c r="Q260" s="118"/>
      <c r="R260" s="117"/>
      <c r="S260" s="117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64"/>
      <c r="O261" s="161"/>
      <c r="P261" s="118"/>
      <c r="Q261" s="118"/>
      <c r="R261" s="117"/>
      <c r="S261" s="117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AQ261" s="118"/>
      <c r="AR261" s="118"/>
      <c r="AS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64"/>
      <c r="O262" s="161"/>
      <c r="P262" s="118"/>
      <c r="Q262" s="118"/>
      <c r="R262" s="117"/>
      <c r="S262" s="117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118"/>
      <c r="AQ262" s="118"/>
      <c r="AR262" s="118"/>
      <c r="AS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64"/>
      <c r="O263" s="161"/>
      <c r="P263" s="118"/>
      <c r="Q263" s="118"/>
      <c r="R263" s="117"/>
      <c r="S263" s="117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  <c r="AL263" s="118"/>
      <c r="AM263" s="118"/>
      <c r="AN263" s="118"/>
      <c r="AO263" s="118"/>
      <c r="AP263" s="118"/>
      <c r="AQ263" s="118"/>
      <c r="AR263" s="118"/>
      <c r="AS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64"/>
      <c r="O264" s="161"/>
      <c r="P264" s="118"/>
      <c r="Q264" s="118"/>
      <c r="R264" s="117"/>
      <c r="S264" s="117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AQ264" s="118"/>
      <c r="AR264" s="118"/>
      <c r="AS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64"/>
      <c r="O265" s="161"/>
      <c r="P265" s="118"/>
      <c r="Q265" s="118"/>
      <c r="R265" s="117"/>
      <c r="S265" s="117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AQ265" s="118"/>
      <c r="AR265" s="118"/>
      <c r="AS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64"/>
      <c r="O266" s="161"/>
      <c r="P266" s="118"/>
      <c r="Q266" s="118"/>
      <c r="R266" s="117"/>
      <c r="S266" s="117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AQ266" s="118"/>
      <c r="AR266" s="118"/>
      <c r="AS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64"/>
      <c r="O267" s="161"/>
      <c r="P267" s="118"/>
      <c r="Q267" s="118"/>
      <c r="R267" s="117"/>
      <c r="S267" s="117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AQ267" s="118"/>
      <c r="AR267" s="118"/>
      <c r="AS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64"/>
      <c r="O268" s="161"/>
      <c r="P268" s="118"/>
      <c r="Q268" s="118"/>
      <c r="R268" s="117"/>
      <c r="S268" s="117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AQ268" s="118"/>
      <c r="AR268" s="118"/>
      <c r="AS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64"/>
      <c r="O269" s="161"/>
      <c r="P269" s="118"/>
      <c r="Q269" s="118"/>
      <c r="R269" s="117"/>
      <c r="S269" s="117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64"/>
      <c r="O270" s="161"/>
      <c r="P270" s="118"/>
      <c r="Q270" s="118"/>
      <c r="R270" s="117"/>
      <c r="S270" s="117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AQ270" s="118"/>
      <c r="AR270" s="118"/>
      <c r="AS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64"/>
      <c r="O271" s="161"/>
      <c r="P271" s="118"/>
      <c r="Q271" s="118"/>
      <c r="R271" s="117"/>
      <c r="S271" s="117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64"/>
      <c r="O272" s="161"/>
      <c r="P272" s="118"/>
      <c r="Q272" s="118"/>
      <c r="R272" s="117"/>
      <c r="S272" s="117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  <c r="AK272" s="118"/>
      <c r="AL272" s="118"/>
      <c r="AM272" s="118"/>
      <c r="AN272" s="118"/>
      <c r="AO272" s="118"/>
      <c r="AP272" s="118"/>
      <c r="AQ272" s="118"/>
      <c r="AR272" s="118"/>
      <c r="AS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64"/>
      <c r="O273" s="161"/>
      <c r="P273" s="118"/>
      <c r="Q273" s="118"/>
      <c r="R273" s="117"/>
      <c r="S273" s="117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64"/>
      <c r="O274" s="161"/>
      <c r="P274" s="118"/>
      <c r="Q274" s="118"/>
      <c r="R274" s="117"/>
      <c r="S274" s="117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  <c r="AL274" s="118"/>
      <c r="AM274" s="118"/>
      <c r="AN274" s="118"/>
      <c r="AO274" s="118"/>
      <c r="AP274" s="118"/>
      <c r="AQ274" s="118"/>
      <c r="AR274" s="118"/>
      <c r="AS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64"/>
      <c r="O275" s="161"/>
      <c r="P275" s="118"/>
      <c r="Q275" s="118"/>
      <c r="R275" s="117"/>
      <c r="S275" s="117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  <c r="AL275" s="118"/>
      <c r="AM275" s="118"/>
      <c r="AN275" s="118"/>
      <c r="AO275" s="118"/>
      <c r="AP275" s="118"/>
      <c r="AQ275" s="118"/>
      <c r="AR275" s="118"/>
      <c r="AS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64"/>
      <c r="O276" s="161"/>
      <c r="P276" s="118"/>
      <c r="Q276" s="118"/>
      <c r="R276" s="117"/>
      <c r="S276" s="117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64"/>
      <c r="O277" s="161"/>
      <c r="P277" s="118"/>
      <c r="Q277" s="118"/>
      <c r="R277" s="117"/>
      <c r="S277" s="117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  <c r="AL277" s="118"/>
      <c r="AM277" s="118"/>
      <c r="AN277" s="118"/>
      <c r="AO277" s="118"/>
      <c r="AP277" s="118"/>
      <c r="AQ277" s="118"/>
      <c r="AR277" s="118"/>
      <c r="AS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64"/>
      <c r="O278" s="161"/>
      <c r="P278" s="118"/>
      <c r="Q278" s="118"/>
      <c r="R278" s="117"/>
      <c r="S278" s="117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64"/>
      <c r="O279" s="161"/>
      <c r="P279" s="118"/>
      <c r="Q279" s="118"/>
      <c r="R279" s="117"/>
      <c r="S279" s="117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64"/>
      <c r="O280" s="161"/>
      <c r="P280" s="118"/>
      <c r="Q280" s="118"/>
      <c r="R280" s="117"/>
      <c r="S280" s="117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64"/>
      <c r="O281" s="161"/>
      <c r="P281" s="118"/>
      <c r="Q281" s="118"/>
      <c r="R281" s="117"/>
      <c r="S281" s="117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64"/>
      <c r="O282" s="161"/>
      <c r="P282" s="118"/>
      <c r="Q282" s="118"/>
      <c r="R282" s="117"/>
      <c r="S282" s="117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64"/>
      <c r="O283" s="161"/>
      <c r="P283" s="118"/>
      <c r="Q283" s="118"/>
      <c r="R283" s="117"/>
      <c r="S283" s="117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64"/>
      <c r="O284" s="161"/>
      <c r="P284" s="118"/>
      <c r="Q284" s="118"/>
      <c r="R284" s="117"/>
      <c r="S284" s="117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64"/>
      <c r="O285" s="161"/>
      <c r="P285" s="118"/>
      <c r="Q285" s="118"/>
      <c r="R285" s="117"/>
      <c r="S285" s="117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64"/>
      <c r="O286" s="161"/>
      <c r="P286" s="118"/>
      <c r="Q286" s="118"/>
      <c r="R286" s="117"/>
      <c r="S286" s="117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64"/>
      <c r="O287" s="161"/>
      <c r="P287" s="118"/>
      <c r="Q287" s="118"/>
      <c r="R287" s="117"/>
      <c r="S287" s="117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64"/>
      <c r="O288" s="161"/>
      <c r="P288" s="118"/>
      <c r="Q288" s="118"/>
      <c r="R288" s="117"/>
      <c r="S288" s="117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64"/>
      <c r="O289" s="161"/>
      <c r="P289" s="118"/>
      <c r="Q289" s="118"/>
      <c r="R289" s="117"/>
      <c r="S289" s="117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64"/>
      <c r="O290" s="161"/>
      <c r="P290" s="118"/>
      <c r="Q290" s="118"/>
      <c r="R290" s="117"/>
      <c r="S290" s="117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64"/>
      <c r="O291" s="161"/>
      <c r="P291" s="118"/>
      <c r="Q291" s="118"/>
      <c r="R291" s="117"/>
      <c r="S291" s="117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64"/>
      <c r="O292" s="161"/>
      <c r="P292" s="118"/>
      <c r="Q292" s="118"/>
      <c r="R292" s="117"/>
      <c r="S292" s="117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64"/>
      <c r="O293" s="161"/>
      <c r="P293" s="118"/>
      <c r="Q293" s="118"/>
      <c r="R293" s="117"/>
      <c r="S293" s="117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64"/>
      <c r="O294" s="161"/>
      <c r="P294" s="118"/>
      <c r="Q294" s="118"/>
      <c r="R294" s="117"/>
      <c r="S294" s="117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64"/>
      <c r="O295" s="161"/>
      <c r="P295" s="118"/>
      <c r="Q295" s="118"/>
      <c r="R295" s="117"/>
      <c r="S295" s="117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64"/>
      <c r="O296" s="161"/>
      <c r="P296" s="118"/>
      <c r="Q296" s="118"/>
      <c r="R296" s="117"/>
      <c r="S296" s="117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64"/>
      <c r="O297" s="161"/>
      <c r="P297" s="118"/>
      <c r="Q297" s="118"/>
      <c r="R297" s="117"/>
      <c r="S297" s="117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64"/>
      <c r="O298" s="161"/>
      <c r="P298" s="118"/>
      <c r="Q298" s="118"/>
      <c r="R298" s="117"/>
      <c r="S298" s="117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  <c r="AL298" s="118"/>
      <c r="AM298" s="118"/>
      <c r="AN298" s="118"/>
      <c r="AO298" s="118"/>
      <c r="AP298" s="118"/>
      <c r="AQ298" s="118"/>
      <c r="AR298" s="118"/>
      <c r="AS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64"/>
      <c r="O299" s="161"/>
      <c r="P299" s="118"/>
      <c r="Q299" s="118"/>
      <c r="R299" s="117"/>
      <c r="S299" s="117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  <c r="AL299" s="118"/>
      <c r="AM299" s="118"/>
      <c r="AN299" s="118"/>
      <c r="AO299" s="118"/>
      <c r="AP299" s="118"/>
      <c r="AQ299" s="118"/>
      <c r="AR299" s="118"/>
      <c r="AS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64"/>
      <c r="O300" s="161"/>
      <c r="P300" s="118"/>
      <c r="Q300" s="118"/>
      <c r="R300" s="117"/>
      <c r="S300" s="117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  <c r="AL300" s="118"/>
      <c r="AM300" s="118"/>
      <c r="AN300" s="118"/>
      <c r="AO300" s="118"/>
      <c r="AP300" s="118"/>
      <c r="AQ300" s="118"/>
      <c r="AR300" s="118"/>
      <c r="AS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64"/>
      <c r="O301" s="161"/>
      <c r="P301" s="118"/>
      <c r="Q301" s="118"/>
      <c r="R301" s="117"/>
      <c r="S301" s="117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/>
      <c r="AO301" s="118"/>
      <c r="AP301" s="118"/>
      <c r="AQ301" s="118"/>
      <c r="AR301" s="118"/>
      <c r="AS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64"/>
      <c r="O302" s="161"/>
      <c r="P302" s="118"/>
      <c r="Q302" s="118"/>
      <c r="R302" s="117"/>
      <c r="S302" s="117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  <c r="AL302" s="118"/>
      <c r="AM302" s="118"/>
      <c r="AN302" s="118"/>
      <c r="AO302" s="118"/>
      <c r="AP302" s="118"/>
      <c r="AQ302" s="118"/>
      <c r="AR302" s="118"/>
      <c r="AS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64"/>
      <c r="O303" s="161"/>
      <c r="P303" s="118"/>
      <c r="Q303" s="118"/>
      <c r="R303" s="117"/>
      <c r="S303" s="117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64"/>
      <c r="O304" s="161"/>
      <c r="P304" s="118"/>
      <c r="Q304" s="118"/>
      <c r="R304" s="117"/>
      <c r="S304" s="117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  <c r="AO304" s="118"/>
      <c r="AP304" s="118"/>
      <c r="AQ304" s="118"/>
      <c r="AR304" s="118"/>
      <c r="AS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64"/>
      <c r="O305" s="161"/>
      <c r="P305" s="118"/>
      <c r="Q305" s="118"/>
      <c r="R305" s="117"/>
      <c r="S305" s="117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64"/>
      <c r="O306" s="161"/>
      <c r="P306" s="118"/>
      <c r="Q306" s="118"/>
      <c r="R306" s="117"/>
      <c r="S306" s="117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64"/>
      <c r="O307" s="161"/>
      <c r="P307" s="118"/>
      <c r="Q307" s="118"/>
      <c r="R307" s="117"/>
      <c r="S307" s="117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64"/>
      <c r="O308" s="161"/>
      <c r="P308" s="118"/>
      <c r="Q308" s="118"/>
      <c r="R308" s="117"/>
      <c r="S308" s="117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64"/>
      <c r="O309" s="161"/>
      <c r="P309" s="118"/>
      <c r="Q309" s="118"/>
      <c r="R309" s="117"/>
      <c r="S309" s="117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64"/>
      <c r="O310" s="161"/>
      <c r="P310" s="118"/>
      <c r="Q310" s="118"/>
      <c r="R310" s="117"/>
      <c r="S310" s="117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64"/>
      <c r="O311" s="161"/>
      <c r="P311" s="118"/>
      <c r="Q311" s="118"/>
      <c r="R311" s="117"/>
      <c r="S311" s="117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64"/>
      <c r="O312" s="161"/>
      <c r="P312" s="118"/>
      <c r="Q312" s="118"/>
      <c r="R312" s="117"/>
      <c r="S312" s="117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64"/>
      <c r="O313" s="161"/>
      <c r="P313" s="118"/>
      <c r="Q313" s="118"/>
      <c r="R313" s="117"/>
      <c r="S313" s="117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64"/>
      <c r="O314" s="161"/>
      <c r="P314" s="118"/>
      <c r="Q314" s="118"/>
      <c r="R314" s="117"/>
      <c r="S314" s="117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64"/>
      <c r="O315" s="161"/>
      <c r="P315" s="118"/>
      <c r="Q315" s="118"/>
      <c r="R315" s="117"/>
      <c r="S315" s="117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64"/>
      <c r="O316" s="161"/>
      <c r="P316" s="118"/>
      <c r="Q316" s="118"/>
      <c r="R316" s="117"/>
      <c r="S316" s="117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64"/>
      <c r="O317" s="161"/>
      <c r="P317" s="118"/>
      <c r="Q317" s="118"/>
      <c r="R317" s="117"/>
      <c r="S317" s="117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64"/>
      <c r="O318" s="161"/>
      <c r="P318" s="118"/>
      <c r="Q318" s="118"/>
      <c r="R318" s="117"/>
      <c r="S318" s="117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64"/>
      <c r="O319" s="161"/>
      <c r="P319" s="118"/>
      <c r="Q319" s="118"/>
      <c r="R319" s="117"/>
      <c r="S319" s="117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64"/>
      <c r="O320" s="161"/>
      <c r="P320" s="118"/>
      <c r="Q320" s="118"/>
      <c r="R320" s="117"/>
      <c r="S320" s="117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64"/>
      <c r="O321" s="161"/>
      <c r="P321" s="118"/>
      <c r="Q321" s="118"/>
      <c r="R321" s="117"/>
      <c r="S321" s="117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  <c r="AL321" s="118"/>
      <c r="AM321" s="118"/>
      <c r="AN321" s="118"/>
      <c r="AO321" s="118"/>
      <c r="AP321" s="118"/>
      <c r="AQ321" s="118"/>
      <c r="AR321" s="118"/>
      <c r="AS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64"/>
      <c r="O322" s="161"/>
      <c r="P322" s="118"/>
      <c r="Q322" s="118"/>
      <c r="R322" s="117"/>
      <c r="S322" s="117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  <c r="AL322" s="118"/>
      <c r="AM322" s="118"/>
      <c r="AN322" s="118"/>
      <c r="AO322" s="118"/>
      <c r="AP322" s="118"/>
      <c r="AQ322" s="118"/>
      <c r="AR322" s="118"/>
      <c r="AS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64"/>
      <c r="O323" s="161"/>
      <c r="P323" s="118"/>
      <c r="Q323" s="118"/>
      <c r="R323" s="117"/>
      <c r="S323" s="117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8"/>
      <c r="AJ323" s="118"/>
      <c r="AK323" s="118"/>
      <c r="AL323" s="118"/>
      <c r="AM323" s="118"/>
      <c r="AN323" s="118"/>
      <c r="AO323" s="118"/>
      <c r="AP323" s="118"/>
      <c r="AQ323" s="118"/>
      <c r="AR323" s="118"/>
      <c r="AS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64"/>
      <c r="O324" s="161"/>
      <c r="P324" s="118"/>
      <c r="Q324" s="118"/>
      <c r="R324" s="117"/>
      <c r="S324" s="117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64"/>
      <c r="O325" s="161"/>
      <c r="P325" s="118"/>
      <c r="Q325" s="118"/>
      <c r="R325" s="117"/>
      <c r="S325" s="117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64"/>
      <c r="O326" s="161"/>
      <c r="P326" s="118"/>
      <c r="Q326" s="118"/>
      <c r="R326" s="117"/>
      <c r="S326" s="117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64"/>
      <c r="O327" s="161"/>
      <c r="P327" s="118"/>
      <c r="Q327" s="118"/>
      <c r="R327" s="117"/>
      <c r="S327" s="117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8"/>
      <c r="AJ327" s="118"/>
      <c r="AK327" s="118"/>
      <c r="AL327" s="118"/>
      <c r="AM327" s="118"/>
      <c r="AN327" s="118"/>
      <c r="AO327" s="118"/>
      <c r="AP327" s="118"/>
      <c r="AQ327" s="118"/>
      <c r="AR327" s="118"/>
      <c r="AS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64"/>
      <c r="O328" s="161"/>
      <c r="P328" s="118"/>
      <c r="Q328" s="118"/>
      <c r="R328" s="117"/>
      <c r="S328" s="117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8"/>
      <c r="AN328" s="118"/>
      <c r="AO328" s="118"/>
      <c r="AP328" s="118"/>
      <c r="AQ328" s="118"/>
      <c r="AR328" s="118"/>
      <c r="AS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64"/>
      <c r="O329" s="161"/>
      <c r="P329" s="118"/>
      <c r="Q329" s="118"/>
      <c r="R329" s="117"/>
      <c r="S329" s="117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64"/>
      <c r="O330" s="161"/>
      <c r="P330" s="118"/>
      <c r="Q330" s="118"/>
      <c r="R330" s="117"/>
      <c r="S330" s="117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64"/>
      <c r="O331" s="161"/>
      <c r="P331" s="118"/>
      <c r="Q331" s="118"/>
      <c r="R331" s="117"/>
      <c r="S331" s="117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64"/>
      <c r="O332" s="161"/>
      <c r="P332" s="118"/>
      <c r="Q332" s="118"/>
      <c r="R332" s="117"/>
      <c r="S332" s="117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  <c r="AL332" s="118"/>
      <c r="AM332" s="118"/>
      <c r="AN332" s="118"/>
      <c r="AO332" s="118"/>
      <c r="AP332" s="118"/>
      <c r="AQ332" s="118"/>
      <c r="AR332" s="118"/>
      <c r="AS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64"/>
      <c r="O333" s="161"/>
      <c r="P333" s="118"/>
      <c r="Q333" s="118"/>
      <c r="R333" s="117"/>
      <c r="S333" s="117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  <c r="AL333" s="118"/>
      <c r="AM333" s="118"/>
      <c r="AN333" s="118"/>
      <c r="AO333" s="118"/>
      <c r="AP333" s="118"/>
      <c r="AQ333" s="118"/>
      <c r="AR333" s="118"/>
      <c r="AS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64"/>
      <c r="O334" s="161"/>
      <c r="P334" s="118"/>
      <c r="Q334" s="118"/>
      <c r="R334" s="117"/>
      <c r="S334" s="117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8"/>
      <c r="AJ334" s="118"/>
      <c r="AK334" s="118"/>
      <c r="AL334" s="118"/>
      <c r="AM334" s="118"/>
      <c r="AN334" s="118"/>
      <c r="AO334" s="118"/>
      <c r="AP334" s="118"/>
      <c r="AQ334" s="118"/>
      <c r="AR334" s="118"/>
      <c r="AS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64"/>
      <c r="O335" s="161"/>
      <c r="P335" s="118"/>
      <c r="Q335" s="118"/>
      <c r="R335" s="117"/>
      <c r="S335" s="117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8"/>
      <c r="AJ335" s="118"/>
      <c r="AK335" s="118"/>
      <c r="AL335" s="118"/>
      <c r="AM335" s="118"/>
      <c r="AN335" s="118"/>
      <c r="AO335" s="118"/>
      <c r="AP335" s="118"/>
      <c r="AQ335" s="118"/>
      <c r="AR335" s="118"/>
      <c r="AS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64"/>
      <c r="O336" s="161"/>
      <c r="P336" s="118"/>
      <c r="Q336" s="118"/>
      <c r="R336" s="117"/>
      <c r="S336" s="117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8"/>
      <c r="AJ336" s="118"/>
      <c r="AK336" s="118"/>
      <c r="AL336" s="118"/>
      <c r="AM336" s="118"/>
      <c r="AN336" s="118"/>
      <c r="AO336" s="118"/>
      <c r="AP336" s="118"/>
      <c r="AQ336" s="118"/>
      <c r="AR336" s="118"/>
      <c r="AS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64"/>
      <c r="O337" s="161"/>
      <c r="P337" s="118"/>
      <c r="Q337" s="118"/>
      <c r="R337" s="117"/>
      <c r="S337" s="117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  <c r="AI337" s="118"/>
      <c r="AJ337" s="118"/>
      <c r="AK337" s="118"/>
      <c r="AL337" s="118"/>
      <c r="AM337" s="118"/>
      <c r="AN337" s="118"/>
      <c r="AO337" s="118"/>
      <c r="AP337" s="118"/>
      <c r="AQ337" s="118"/>
      <c r="AR337" s="118"/>
      <c r="AS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64"/>
      <c r="O338" s="161"/>
      <c r="P338" s="118"/>
      <c r="Q338" s="118"/>
      <c r="R338" s="117"/>
      <c r="S338" s="117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64"/>
      <c r="O339" s="161"/>
      <c r="P339" s="118"/>
      <c r="Q339" s="118"/>
      <c r="R339" s="117"/>
      <c r="S339" s="117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64"/>
      <c r="O340" s="161"/>
      <c r="P340" s="118"/>
      <c r="Q340" s="118"/>
      <c r="R340" s="117"/>
      <c r="S340" s="117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64"/>
      <c r="O341" s="161"/>
      <c r="P341" s="118"/>
      <c r="Q341" s="118"/>
      <c r="R341" s="117"/>
      <c r="S341" s="117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18"/>
      <c r="AS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64"/>
      <c r="O342" s="161"/>
      <c r="P342" s="118"/>
      <c r="Q342" s="118"/>
      <c r="R342" s="117"/>
      <c r="S342" s="117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18"/>
      <c r="AS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64"/>
      <c r="O343" s="161"/>
      <c r="P343" s="118"/>
      <c r="Q343" s="118"/>
      <c r="R343" s="117"/>
      <c r="S343" s="117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18"/>
      <c r="AS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64"/>
      <c r="O344" s="161"/>
      <c r="P344" s="118"/>
      <c r="Q344" s="118"/>
      <c r="R344" s="117"/>
      <c r="S344" s="117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18"/>
      <c r="AS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64"/>
      <c r="O345" s="161"/>
      <c r="P345" s="118"/>
      <c r="Q345" s="118"/>
      <c r="R345" s="117"/>
      <c r="S345" s="117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64"/>
      <c r="O346" s="161"/>
      <c r="P346" s="118"/>
      <c r="Q346" s="118"/>
      <c r="R346" s="117"/>
      <c r="S346" s="117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64"/>
      <c r="O347" s="161"/>
      <c r="P347" s="118"/>
      <c r="Q347" s="118"/>
      <c r="R347" s="117"/>
      <c r="S347" s="117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64"/>
      <c r="O348" s="161"/>
      <c r="P348" s="118"/>
      <c r="Q348" s="118"/>
      <c r="R348" s="117"/>
      <c r="S348" s="117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64"/>
      <c r="O349" s="161"/>
      <c r="P349" s="118"/>
      <c r="Q349" s="118"/>
      <c r="R349" s="117"/>
      <c r="S349" s="117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64"/>
      <c r="O350" s="161"/>
      <c r="P350" s="118"/>
      <c r="Q350" s="118"/>
      <c r="R350" s="117"/>
      <c r="S350" s="117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  <c r="AL350" s="118"/>
      <c r="AM350" s="118"/>
      <c r="AN350" s="118"/>
      <c r="AO350" s="118"/>
      <c r="AP350" s="118"/>
      <c r="AQ350" s="118"/>
      <c r="AR350" s="118"/>
      <c r="AS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64"/>
      <c r="O351" s="161"/>
      <c r="P351" s="118"/>
      <c r="Q351" s="118"/>
      <c r="R351" s="117"/>
      <c r="S351" s="117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64"/>
      <c r="O352" s="161"/>
      <c r="P352" s="118"/>
      <c r="Q352" s="118"/>
      <c r="R352" s="117"/>
      <c r="S352" s="117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64"/>
      <c r="O353" s="161"/>
      <c r="P353" s="118"/>
      <c r="Q353" s="118"/>
      <c r="R353" s="117"/>
      <c r="S353" s="117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64"/>
      <c r="O354" s="161"/>
      <c r="P354" s="118"/>
      <c r="Q354" s="118"/>
      <c r="R354" s="117"/>
      <c r="S354" s="117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64"/>
      <c r="O355" s="161"/>
      <c r="P355" s="118"/>
      <c r="Q355" s="118"/>
      <c r="R355" s="117"/>
      <c r="S355" s="117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  <c r="AL355" s="118"/>
      <c r="AM355" s="118"/>
      <c r="AN355" s="118"/>
      <c r="AO355" s="118"/>
      <c r="AP355" s="118"/>
      <c r="AQ355" s="118"/>
      <c r="AR355" s="118"/>
      <c r="AS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64"/>
      <c r="O356" s="161"/>
      <c r="P356" s="118"/>
      <c r="Q356" s="118"/>
      <c r="R356" s="117"/>
      <c r="S356" s="117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118"/>
      <c r="AN356" s="118"/>
      <c r="AO356" s="118"/>
      <c r="AP356" s="118"/>
      <c r="AQ356" s="118"/>
      <c r="AR356" s="118"/>
      <c r="AS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64"/>
      <c r="O357" s="161"/>
      <c r="P357" s="118"/>
      <c r="Q357" s="118"/>
      <c r="R357" s="117"/>
      <c r="S357" s="117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118"/>
      <c r="AN357" s="118"/>
      <c r="AO357" s="118"/>
      <c r="AP357" s="118"/>
      <c r="AQ357" s="118"/>
      <c r="AR357" s="118"/>
      <c r="AS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64"/>
      <c r="O358" s="161"/>
      <c r="P358" s="118"/>
      <c r="Q358" s="118"/>
      <c r="R358" s="117"/>
      <c r="S358" s="117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64"/>
      <c r="O359" s="161"/>
      <c r="P359" s="118"/>
      <c r="Q359" s="118"/>
      <c r="R359" s="117"/>
      <c r="S359" s="117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64"/>
      <c r="O360" s="161"/>
      <c r="P360" s="118"/>
      <c r="Q360" s="118"/>
      <c r="R360" s="117"/>
      <c r="S360" s="117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64"/>
      <c r="O361" s="161"/>
      <c r="P361" s="118"/>
      <c r="Q361" s="118"/>
      <c r="R361" s="117"/>
      <c r="S361" s="117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64"/>
      <c r="O362" s="161"/>
      <c r="P362" s="118"/>
      <c r="Q362" s="118"/>
      <c r="R362" s="117"/>
      <c r="S362" s="117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64"/>
      <c r="O363" s="161"/>
      <c r="P363" s="118"/>
      <c r="Q363" s="118"/>
      <c r="R363" s="117"/>
      <c r="S363" s="117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64"/>
      <c r="O364" s="161"/>
      <c r="P364" s="118"/>
      <c r="Q364" s="118"/>
      <c r="R364" s="117"/>
      <c r="S364" s="117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64"/>
      <c r="O365" s="161"/>
      <c r="P365" s="118"/>
      <c r="Q365" s="118"/>
      <c r="R365" s="117"/>
      <c r="S365" s="117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64"/>
      <c r="O366" s="161"/>
      <c r="P366" s="118"/>
      <c r="Q366" s="118"/>
      <c r="R366" s="117"/>
      <c r="S366" s="117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64"/>
      <c r="O367" s="161"/>
      <c r="P367" s="118"/>
      <c r="Q367" s="118"/>
      <c r="R367" s="117"/>
      <c r="S367" s="117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64"/>
      <c r="O368" s="161"/>
      <c r="P368" s="118"/>
      <c r="Q368" s="118"/>
      <c r="R368" s="117"/>
      <c r="S368" s="117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64"/>
      <c r="O369" s="161"/>
      <c r="P369" s="118"/>
      <c r="Q369" s="118"/>
      <c r="R369" s="117"/>
      <c r="S369" s="117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64"/>
      <c r="O370" s="161"/>
      <c r="P370" s="118"/>
      <c r="Q370" s="118"/>
      <c r="R370" s="117"/>
      <c r="S370" s="117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64"/>
      <c r="O371" s="161"/>
      <c r="P371" s="118"/>
      <c r="Q371" s="118"/>
      <c r="R371" s="117"/>
      <c r="S371" s="117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64"/>
      <c r="O372" s="161"/>
      <c r="P372" s="118"/>
      <c r="Q372" s="118"/>
      <c r="R372" s="117"/>
      <c r="S372" s="117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64"/>
      <c r="O373" s="161"/>
      <c r="P373" s="118"/>
      <c r="Q373" s="118"/>
      <c r="R373" s="117"/>
      <c r="S373" s="117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64"/>
      <c r="O374" s="161"/>
      <c r="P374" s="118"/>
      <c r="Q374" s="118"/>
      <c r="R374" s="117"/>
      <c r="S374" s="117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64"/>
      <c r="O375" s="161"/>
      <c r="P375" s="118"/>
      <c r="Q375" s="118"/>
      <c r="R375" s="117"/>
      <c r="S375" s="117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64"/>
      <c r="O376" s="161"/>
      <c r="P376" s="118"/>
      <c r="Q376" s="118"/>
      <c r="R376" s="117"/>
      <c r="S376" s="117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64"/>
      <c r="O377" s="161"/>
      <c r="P377" s="118"/>
      <c r="Q377" s="118"/>
      <c r="R377" s="117"/>
      <c r="S377" s="117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  <c r="AI377" s="118"/>
      <c r="AJ377" s="118"/>
      <c r="AK377" s="118"/>
      <c r="AL377" s="118"/>
      <c r="AM377" s="118"/>
      <c r="AN377" s="118"/>
      <c r="AO377" s="118"/>
      <c r="AP377" s="118"/>
      <c r="AQ377" s="118"/>
      <c r="AR377" s="118"/>
      <c r="AS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64"/>
      <c r="O378" s="161"/>
      <c r="P378" s="118"/>
      <c r="Q378" s="118"/>
      <c r="R378" s="117"/>
      <c r="S378" s="117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64"/>
      <c r="O379" s="161"/>
      <c r="P379" s="118"/>
      <c r="Q379" s="118"/>
      <c r="R379" s="117"/>
      <c r="S379" s="117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  <c r="AI379" s="118"/>
      <c r="AJ379" s="118"/>
      <c r="AK379" s="118"/>
      <c r="AL379" s="118"/>
      <c r="AM379" s="118"/>
      <c r="AN379" s="118"/>
      <c r="AO379" s="118"/>
      <c r="AP379" s="118"/>
      <c r="AQ379" s="118"/>
      <c r="AR379" s="118"/>
      <c r="AS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64"/>
      <c r="O380" s="161"/>
      <c r="P380" s="118"/>
      <c r="Q380" s="118"/>
      <c r="R380" s="117"/>
      <c r="S380" s="117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  <c r="AI380" s="118"/>
      <c r="AJ380" s="118"/>
      <c r="AK380" s="118"/>
      <c r="AL380" s="118"/>
      <c r="AM380" s="118"/>
      <c r="AN380" s="118"/>
      <c r="AO380" s="118"/>
      <c r="AP380" s="118"/>
      <c r="AQ380" s="118"/>
      <c r="AR380" s="118"/>
      <c r="AS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64"/>
      <c r="O381" s="161"/>
      <c r="P381" s="118"/>
      <c r="Q381" s="118"/>
      <c r="R381" s="117"/>
      <c r="S381" s="117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64"/>
      <c r="O382" s="161"/>
      <c r="P382" s="118"/>
      <c r="Q382" s="118"/>
      <c r="R382" s="117"/>
      <c r="S382" s="117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64"/>
      <c r="O383" s="161"/>
      <c r="P383" s="118"/>
      <c r="Q383" s="118"/>
      <c r="R383" s="117"/>
      <c r="S383" s="117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64"/>
      <c r="O384" s="161"/>
      <c r="P384" s="118"/>
      <c r="Q384" s="118"/>
      <c r="R384" s="117"/>
      <c r="S384" s="117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64"/>
      <c r="O385" s="161"/>
      <c r="P385" s="118"/>
      <c r="Q385" s="118"/>
      <c r="R385" s="117"/>
      <c r="S385" s="117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64"/>
      <c r="O386" s="161"/>
      <c r="P386" s="118"/>
      <c r="Q386" s="118"/>
      <c r="R386" s="117"/>
      <c r="S386" s="117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  <c r="AI386" s="118"/>
      <c r="AJ386" s="118"/>
      <c r="AK386" s="118"/>
      <c r="AL386" s="118"/>
      <c r="AM386" s="118"/>
      <c r="AN386" s="118"/>
      <c r="AO386" s="118"/>
      <c r="AP386" s="118"/>
      <c r="AQ386" s="118"/>
      <c r="AR386" s="118"/>
      <c r="AS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64"/>
      <c r="O387" s="161"/>
      <c r="P387" s="118"/>
      <c r="Q387" s="118"/>
      <c r="R387" s="117"/>
      <c r="S387" s="117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64"/>
      <c r="O388" s="161"/>
      <c r="P388" s="118"/>
      <c r="Q388" s="118"/>
      <c r="R388" s="117"/>
      <c r="S388" s="117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  <c r="AI388" s="118"/>
      <c r="AJ388" s="118"/>
      <c r="AK388" s="118"/>
      <c r="AL388" s="118"/>
      <c r="AM388" s="118"/>
      <c r="AN388" s="118"/>
      <c r="AO388" s="118"/>
      <c r="AP388" s="118"/>
      <c r="AQ388" s="118"/>
      <c r="AR388" s="118"/>
      <c r="AS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64"/>
      <c r="O389" s="161"/>
      <c r="P389" s="118"/>
      <c r="Q389" s="118"/>
      <c r="R389" s="117"/>
      <c r="S389" s="117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  <c r="AI389" s="118"/>
      <c r="AJ389" s="118"/>
      <c r="AK389" s="118"/>
      <c r="AL389" s="118"/>
      <c r="AM389" s="118"/>
      <c r="AN389" s="118"/>
      <c r="AO389" s="118"/>
      <c r="AP389" s="118"/>
      <c r="AQ389" s="118"/>
      <c r="AR389" s="118"/>
      <c r="AS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64"/>
      <c r="O390" s="161"/>
      <c r="P390" s="118"/>
      <c r="Q390" s="118"/>
      <c r="R390" s="117"/>
      <c r="S390" s="117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64"/>
      <c r="O391" s="161"/>
      <c r="P391" s="118"/>
      <c r="Q391" s="118"/>
      <c r="R391" s="117"/>
      <c r="S391" s="117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64"/>
      <c r="O392" s="161"/>
      <c r="P392" s="118"/>
      <c r="Q392" s="118"/>
      <c r="R392" s="117"/>
      <c r="S392" s="117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64"/>
      <c r="O393" s="161"/>
      <c r="P393" s="118"/>
      <c r="Q393" s="118"/>
      <c r="R393" s="117"/>
      <c r="S393" s="117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64"/>
      <c r="O394" s="161"/>
      <c r="P394" s="118"/>
      <c r="Q394" s="118"/>
      <c r="R394" s="117"/>
      <c r="S394" s="117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64"/>
      <c r="O395" s="161"/>
      <c r="P395" s="118"/>
      <c r="Q395" s="118"/>
      <c r="R395" s="117"/>
      <c r="S395" s="117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64"/>
      <c r="O396" s="161"/>
      <c r="P396" s="118"/>
      <c r="Q396" s="118"/>
      <c r="R396" s="117"/>
      <c r="S396" s="117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64"/>
      <c r="O397" s="161"/>
      <c r="P397" s="118"/>
      <c r="Q397" s="118"/>
      <c r="R397" s="117"/>
      <c r="S397" s="117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64"/>
      <c r="O398" s="161"/>
      <c r="P398" s="118"/>
      <c r="Q398" s="118"/>
      <c r="R398" s="117"/>
      <c r="S398" s="117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64"/>
      <c r="O399" s="161"/>
      <c r="P399" s="118"/>
      <c r="Q399" s="118"/>
      <c r="R399" s="117"/>
      <c r="S399" s="117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64"/>
      <c r="O400" s="161"/>
      <c r="P400" s="118"/>
      <c r="Q400" s="118"/>
      <c r="R400" s="117"/>
      <c r="S400" s="117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64"/>
      <c r="O401" s="161"/>
      <c r="P401" s="118"/>
      <c r="Q401" s="118"/>
      <c r="R401" s="117"/>
      <c r="S401" s="117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64"/>
      <c r="O402" s="161"/>
      <c r="P402" s="118"/>
      <c r="Q402" s="118"/>
      <c r="R402" s="117"/>
      <c r="S402" s="117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64"/>
      <c r="O403" s="161"/>
      <c r="P403" s="118"/>
      <c r="Q403" s="118"/>
      <c r="R403" s="117"/>
      <c r="S403" s="117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  <c r="AL403" s="118"/>
      <c r="AM403" s="118"/>
      <c r="AN403" s="118"/>
      <c r="AO403" s="118"/>
      <c r="AP403" s="118"/>
      <c r="AQ403" s="118"/>
      <c r="AR403" s="118"/>
      <c r="AS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64"/>
      <c r="O404" s="161"/>
      <c r="P404" s="118"/>
      <c r="Q404" s="118"/>
      <c r="R404" s="117"/>
      <c r="S404" s="117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64"/>
      <c r="O405" s="161"/>
      <c r="P405" s="118"/>
      <c r="Q405" s="118"/>
      <c r="R405" s="117"/>
      <c r="S405" s="117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64"/>
      <c r="O406" s="161"/>
      <c r="P406" s="118"/>
      <c r="Q406" s="118"/>
      <c r="R406" s="117"/>
      <c r="S406" s="117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64"/>
      <c r="O407" s="161"/>
      <c r="P407" s="118"/>
      <c r="Q407" s="118"/>
      <c r="R407" s="117"/>
      <c r="S407" s="117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64"/>
      <c r="O408" s="161"/>
      <c r="P408" s="118"/>
      <c r="Q408" s="118"/>
      <c r="R408" s="117"/>
      <c r="S408" s="117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/>
      <c r="AO408" s="118"/>
      <c r="AP408" s="118"/>
      <c r="AQ408" s="118"/>
      <c r="AR408" s="118"/>
      <c r="AS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64"/>
      <c r="O409" s="161"/>
      <c r="P409" s="118"/>
      <c r="Q409" s="118"/>
      <c r="R409" s="117"/>
      <c r="S409" s="117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64"/>
      <c r="O410" s="161"/>
      <c r="P410" s="118"/>
      <c r="Q410" s="118"/>
      <c r="R410" s="117"/>
      <c r="S410" s="117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  <c r="AL410" s="118"/>
      <c r="AM410" s="118"/>
      <c r="AN410" s="118"/>
      <c r="AO410" s="118"/>
      <c r="AP410" s="118"/>
      <c r="AQ410" s="118"/>
      <c r="AR410" s="118"/>
      <c r="AS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64"/>
      <c r="O411" s="161"/>
      <c r="P411" s="118"/>
      <c r="Q411" s="118"/>
      <c r="R411" s="117"/>
      <c r="S411" s="117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  <c r="AL411" s="118"/>
      <c r="AM411" s="118"/>
      <c r="AN411" s="118"/>
      <c r="AO411" s="118"/>
      <c r="AP411" s="118"/>
      <c r="AQ411" s="118"/>
      <c r="AR411" s="118"/>
      <c r="AS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64"/>
      <c r="O412" s="161"/>
      <c r="P412" s="118"/>
      <c r="Q412" s="118"/>
      <c r="R412" s="117"/>
      <c r="S412" s="117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64"/>
      <c r="O413" s="161"/>
      <c r="P413" s="118"/>
      <c r="Q413" s="118"/>
      <c r="R413" s="117"/>
      <c r="S413" s="117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64"/>
      <c r="O414" s="161"/>
      <c r="P414" s="118"/>
      <c r="Q414" s="118"/>
      <c r="R414" s="117"/>
      <c r="S414" s="117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  <c r="AL414" s="118"/>
      <c r="AM414" s="118"/>
      <c r="AN414" s="118"/>
      <c r="AO414" s="118"/>
      <c r="AP414" s="118"/>
      <c r="AQ414" s="118"/>
      <c r="AR414" s="118"/>
      <c r="AS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64"/>
      <c r="O415" s="161"/>
      <c r="P415" s="118"/>
      <c r="Q415" s="118"/>
      <c r="R415" s="117"/>
      <c r="S415" s="117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18"/>
      <c r="AN415" s="118"/>
      <c r="AO415" s="118"/>
      <c r="AP415" s="118"/>
      <c r="AQ415" s="118"/>
      <c r="AR415" s="118"/>
      <c r="AS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64"/>
      <c r="O416" s="161"/>
      <c r="P416" s="118"/>
      <c r="Q416" s="118"/>
      <c r="R416" s="117"/>
      <c r="S416" s="117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18"/>
      <c r="AK416" s="118"/>
      <c r="AL416" s="118"/>
      <c r="AM416" s="118"/>
      <c r="AN416" s="118"/>
      <c r="AO416" s="118"/>
      <c r="AP416" s="118"/>
      <c r="AQ416" s="118"/>
      <c r="AR416" s="118"/>
      <c r="AS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64"/>
      <c r="O417" s="161"/>
      <c r="P417" s="118"/>
      <c r="Q417" s="118"/>
      <c r="R417" s="117"/>
      <c r="S417" s="117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  <c r="AI417" s="118"/>
      <c r="AJ417" s="118"/>
      <c r="AK417" s="118"/>
      <c r="AL417" s="118"/>
      <c r="AM417" s="118"/>
      <c r="AN417" s="118"/>
      <c r="AO417" s="118"/>
      <c r="AP417" s="118"/>
      <c r="AQ417" s="118"/>
      <c r="AR417" s="118"/>
      <c r="AS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64"/>
      <c r="O418" s="161"/>
      <c r="P418" s="118"/>
      <c r="Q418" s="118"/>
      <c r="R418" s="117"/>
      <c r="S418" s="117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64"/>
      <c r="O419" s="161"/>
      <c r="P419" s="118"/>
      <c r="Q419" s="118"/>
      <c r="R419" s="117"/>
      <c r="S419" s="117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64"/>
      <c r="O420" s="161"/>
      <c r="P420" s="118"/>
      <c r="Q420" s="118"/>
      <c r="R420" s="117"/>
      <c r="S420" s="117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64"/>
      <c r="O421" s="161"/>
      <c r="P421" s="118"/>
      <c r="Q421" s="118"/>
      <c r="R421" s="117"/>
      <c r="S421" s="117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  <c r="AK421" s="118"/>
      <c r="AL421" s="118"/>
      <c r="AM421" s="118"/>
      <c r="AN421" s="118"/>
      <c r="AO421" s="118"/>
      <c r="AP421" s="118"/>
      <c r="AQ421" s="118"/>
      <c r="AR421" s="118"/>
      <c r="AS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64"/>
      <c r="O422" s="161"/>
      <c r="P422" s="118"/>
      <c r="Q422" s="118"/>
      <c r="R422" s="117"/>
      <c r="S422" s="117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  <c r="AK422" s="118"/>
      <c r="AL422" s="118"/>
      <c r="AM422" s="118"/>
      <c r="AN422" s="118"/>
      <c r="AO422" s="118"/>
      <c r="AP422" s="118"/>
      <c r="AQ422" s="118"/>
      <c r="AR422" s="118"/>
      <c r="AS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64"/>
      <c r="O423" s="161"/>
      <c r="P423" s="118"/>
      <c r="Q423" s="118"/>
      <c r="R423" s="117"/>
      <c r="S423" s="117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  <c r="AK423" s="118"/>
      <c r="AL423" s="118"/>
      <c r="AM423" s="118"/>
      <c r="AN423" s="118"/>
      <c r="AO423" s="118"/>
      <c r="AP423" s="118"/>
      <c r="AQ423" s="118"/>
      <c r="AR423" s="118"/>
      <c r="AS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64"/>
      <c r="O424" s="161"/>
      <c r="P424" s="118"/>
      <c r="Q424" s="118"/>
      <c r="R424" s="117"/>
      <c r="S424" s="117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  <c r="AK424" s="118"/>
      <c r="AL424" s="118"/>
      <c r="AM424" s="118"/>
      <c r="AN424" s="118"/>
      <c r="AO424" s="118"/>
      <c r="AP424" s="118"/>
      <c r="AQ424" s="118"/>
      <c r="AR424" s="118"/>
      <c r="AS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64"/>
      <c r="O425" s="161"/>
      <c r="P425" s="118"/>
      <c r="Q425" s="118"/>
      <c r="R425" s="117"/>
      <c r="S425" s="117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64"/>
      <c r="O426" s="161"/>
      <c r="P426" s="118"/>
      <c r="Q426" s="118"/>
      <c r="R426" s="117"/>
      <c r="S426" s="117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64"/>
      <c r="O427" s="161"/>
      <c r="P427" s="118"/>
      <c r="Q427" s="118"/>
      <c r="R427" s="117"/>
      <c r="S427" s="117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64"/>
      <c r="O428" s="161"/>
      <c r="P428" s="118"/>
      <c r="Q428" s="118"/>
      <c r="R428" s="117"/>
      <c r="S428" s="117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  <c r="AK428" s="118"/>
      <c r="AL428" s="118"/>
      <c r="AM428" s="118"/>
      <c r="AN428" s="118"/>
      <c r="AO428" s="118"/>
      <c r="AP428" s="118"/>
      <c r="AQ428" s="118"/>
      <c r="AR428" s="118"/>
      <c r="AS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64"/>
      <c r="O429" s="161"/>
      <c r="P429" s="118"/>
      <c r="Q429" s="118"/>
      <c r="R429" s="117"/>
      <c r="S429" s="117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  <c r="AK429" s="118"/>
      <c r="AL429" s="118"/>
      <c r="AM429" s="118"/>
      <c r="AN429" s="118"/>
      <c r="AO429" s="118"/>
      <c r="AP429" s="118"/>
      <c r="AQ429" s="118"/>
      <c r="AR429" s="118"/>
      <c r="AS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64"/>
      <c r="O430" s="161"/>
      <c r="P430" s="118"/>
      <c r="Q430" s="118"/>
      <c r="R430" s="117"/>
      <c r="S430" s="117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  <c r="AL430" s="118"/>
      <c r="AM430" s="118"/>
      <c r="AN430" s="118"/>
      <c r="AO430" s="118"/>
      <c r="AP430" s="118"/>
      <c r="AQ430" s="118"/>
      <c r="AR430" s="118"/>
      <c r="AS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64"/>
      <c r="O431" s="161"/>
      <c r="P431" s="118"/>
      <c r="Q431" s="118"/>
      <c r="R431" s="117"/>
      <c r="S431" s="117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  <c r="AL431" s="118"/>
      <c r="AM431" s="118"/>
      <c r="AN431" s="118"/>
      <c r="AO431" s="118"/>
      <c r="AP431" s="118"/>
      <c r="AQ431" s="118"/>
      <c r="AR431" s="118"/>
      <c r="AS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64"/>
      <c r="O432" s="161"/>
      <c r="P432" s="118"/>
      <c r="Q432" s="118"/>
      <c r="R432" s="117"/>
      <c r="S432" s="117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64"/>
      <c r="O433" s="161"/>
      <c r="P433" s="118"/>
      <c r="Q433" s="118"/>
      <c r="R433" s="117"/>
      <c r="S433" s="117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64"/>
      <c r="O434" s="161"/>
      <c r="P434" s="118"/>
      <c r="Q434" s="118"/>
      <c r="R434" s="117"/>
      <c r="S434" s="117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  <c r="AK434" s="118"/>
      <c r="AL434" s="118"/>
      <c r="AM434" s="118"/>
      <c r="AN434" s="118"/>
      <c r="AO434" s="118"/>
      <c r="AP434" s="118"/>
      <c r="AQ434" s="118"/>
      <c r="AR434" s="118"/>
      <c r="AS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64"/>
      <c r="O435" s="161"/>
      <c r="P435" s="118"/>
      <c r="Q435" s="118"/>
      <c r="R435" s="117"/>
      <c r="S435" s="117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  <c r="AK435" s="118"/>
      <c r="AL435" s="118"/>
      <c r="AM435" s="118"/>
      <c r="AN435" s="118"/>
      <c r="AO435" s="118"/>
      <c r="AP435" s="118"/>
      <c r="AQ435" s="118"/>
      <c r="AR435" s="118"/>
      <c r="AS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64"/>
      <c r="O436" s="161"/>
      <c r="P436" s="118"/>
      <c r="Q436" s="118"/>
      <c r="R436" s="117"/>
      <c r="S436" s="117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  <c r="AK436" s="118"/>
      <c r="AL436" s="118"/>
      <c r="AM436" s="118"/>
      <c r="AN436" s="118"/>
      <c r="AO436" s="118"/>
      <c r="AP436" s="118"/>
      <c r="AQ436" s="118"/>
      <c r="AR436" s="118"/>
      <c r="AS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64"/>
      <c r="O437" s="161"/>
      <c r="P437" s="118"/>
      <c r="Q437" s="118"/>
      <c r="R437" s="117"/>
      <c r="S437" s="117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  <c r="AK437" s="118"/>
      <c r="AL437" s="118"/>
      <c r="AM437" s="118"/>
      <c r="AN437" s="118"/>
      <c r="AO437" s="118"/>
      <c r="AP437" s="118"/>
      <c r="AQ437" s="118"/>
      <c r="AR437" s="118"/>
      <c r="AS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64"/>
      <c r="O438" s="161"/>
      <c r="P438" s="118"/>
      <c r="Q438" s="118"/>
      <c r="R438" s="117"/>
      <c r="S438" s="117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  <c r="AL438" s="118"/>
      <c r="AM438" s="118"/>
      <c r="AN438" s="118"/>
      <c r="AO438" s="118"/>
      <c r="AP438" s="118"/>
      <c r="AQ438" s="118"/>
      <c r="AR438" s="118"/>
      <c r="AS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64"/>
      <c r="O439" s="161"/>
      <c r="P439" s="118"/>
      <c r="Q439" s="118"/>
      <c r="R439" s="117"/>
      <c r="S439" s="117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  <c r="AL439" s="118"/>
      <c r="AM439" s="118"/>
      <c r="AN439" s="118"/>
      <c r="AO439" s="118"/>
      <c r="AP439" s="118"/>
      <c r="AQ439" s="118"/>
      <c r="AR439" s="118"/>
      <c r="AS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64"/>
      <c r="O440" s="161"/>
      <c r="P440" s="118"/>
      <c r="Q440" s="118"/>
      <c r="R440" s="117"/>
      <c r="S440" s="117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64"/>
      <c r="O441" s="161"/>
      <c r="P441" s="118"/>
      <c r="Q441" s="118"/>
      <c r="R441" s="117"/>
      <c r="S441" s="117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  <c r="AL441" s="118"/>
      <c r="AM441" s="118"/>
      <c r="AN441" s="118"/>
      <c r="AO441" s="118"/>
      <c r="AP441" s="118"/>
      <c r="AQ441" s="118"/>
      <c r="AR441" s="118"/>
      <c r="AS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64"/>
      <c r="O442" s="161"/>
      <c r="P442" s="118"/>
      <c r="Q442" s="118"/>
      <c r="R442" s="117"/>
      <c r="S442" s="117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8"/>
      <c r="AN442" s="118"/>
      <c r="AO442" s="118"/>
      <c r="AP442" s="118"/>
      <c r="AQ442" s="118"/>
      <c r="AR442" s="118"/>
      <c r="AS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64"/>
      <c r="O443" s="161"/>
      <c r="P443" s="118"/>
      <c r="Q443" s="118"/>
      <c r="R443" s="117"/>
      <c r="S443" s="117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  <c r="AL443" s="118"/>
      <c r="AM443" s="118"/>
      <c r="AN443" s="118"/>
      <c r="AO443" s="118"/>
      <c r="AP443" s="118"/>
      <c r="AQ443" s="118"/>
      <c r="AR443" s="118"/>
      <c r="AS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64"/>
      <c r="O444" s="161"/>
      <c r="P444" s="118"/>
      <c r="Q444" s="118"/>
      <c r="R444" s="117"/>
      <c r="S444" s="117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64"/>
      <c r="O445" s="161"/>
      <c r="P445" s="118"/>
      <c r="Q445" s="118"/>
      <c r="R445" s="117"/>
      <c r="S445" s="117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64"/>
      <c r="O446" s="161"/>
      <c r="P446" s="118"/>
      <c r="Q446" s="118"/>
      <c r="R446" s="117"/>
      <c r="S446" s="117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64"/>
      <c r="O447" s="161"/>
      <c r="P447" s="118"/>
      <c r="Q447" s="118"/>
      <c r="R447" s="117"/>
      <c r="S447" s="117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  <c r="AL447" s="118"/>
      <c r="AM447" s="118"/>
      <c r="AN447" s="118"/>
      <c r="AO447" s="118"/>
      <c r="AP447" s="118"/>
      <c r="AQ447" s="118"/>
      <c r="AR447" s="118"/>
      <c r="AS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64"/>
      <c r="O448" s="161"/>
      <c r="P448" s="118"/>
      <c r="Q448" s="118"/>
      <c r="R448" s="117"/>
      <c r="S448" s="117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  <c r="AL448" s="118"/>
      <c r="AM448" s="118"/>
      <c r="AN448" s="118"/>
      <c r="AO448" s="118"/>
      <c r="AP448" s="118"/>
      <c r="AQ448" s="118"/>
      <c r="AR448" s="118"/>
      <c r="AS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64"/>
      <c r="O449" s="161"/>
      <c r="P449" s="118"/>
      <c r="Q449" s="118"/>
      <c r="R449" s="117"/>
      <c r="S449" s="117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64"/>
      <c r="O450" s="161"/>
      <c r="P450" s="118"/>
      <c r="Q450" s="118"/>
      <c r="R450" s="117"/>
      <c r="S450" s="117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64"/>
      <c r="O451" s="161"/>
      <c r="P451" s="118"/>
      <c r="Q451" s="118"/>
      <c r="R451" s="117"/>
      <c r="S451" s="117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64"/>
      <c r="O452" s="161"/>
      <c r="P452" s="118"/>
      <c r="Q452" s="118"/>
      <c r="R452" s="117"/>
      <c r="S452" s="117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  <c r="AL452" s="118"/>
      <c r="AM452" s="118"/>
      <c r="AN452" s="118"/>
      <c r="AO452" s="118"/>
      <c r="AP452" s="118"/>
      <c r="AQ452" s="118"/>
      <c r="AR452" s="118"/>
      <c r="AS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64"/>
      <c r="O453" s="161"/>
      <c r="P453" s="118"/>
      <c r="Q453" s="118"/>
      <c r="R453" s="117"/>
      <c r="S453" s="117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  <c r="AL453" s="118"/>
      <c r="AM453" s="118"/>
      <c r="AN453" s="118"/>
      <c r="AO453" s="118"/>
      <c r="AP453" s="118"/>
      <c r="AQ453" s="118"/>
      <c r="AR453" s="118"/>
      <c r="AS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64"/>
      <c r="O454" s="161"/>
      <c r="P454" s="118"/>
      <c r="Q454" s="118"/>
      <c r="R454" s="117"/>
      <c r="S454" s="117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  <c r="AL454" s="118"/>
      <c r="AM454" s="118"/>
      <c r="AN454" s="118"/>
      <c r="AO454" s="118"/>
      <c r="AP454" s="118"/>
      <c r="AQ454" s="118"/>
      <c r="AR454" s="118"/>
      <c r="AS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64"/>
      <c r="O455" s="161"/>
      <c r="P455" s="118"/>
      <c r="Q455" s="118"/>
      <c r="R455" s="117"/>
      <c r="S455" s="117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  <c r="AL455" s="118"/>
      <c r="AM455" s="118"/>
      <c r="AN455" s="118"/>
      <c r="AO455" s="118"/>
      <c r="AP455" s="118"/>
      <c r="AQ455" s="118"/>
      <c r="AR455" s="118"/>
      <c r="AS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64"/>
      <c r="O456" s="161"/>
      <c r="P456" s="118"/>
      <c r="Q456" s="118"/>
      <c r="R456" s="117"/>
      <c r="S456" s="117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64"/>
      <c r="O457" s="161"/>
      <c r="P457" s="118"/>
      <c r="Q457" s="118"/>
      <c r="R457" s="117"/>
      <c r="S457" s="117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64"/>
      <c r="O458" s="161"/>
      <c r="P458" s="118"/>
      <c r="Q458" s="118"/>
      <c r="R458" s="117"/>
      <c r="S458" s="117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64"/>
      <c r="O459" s="161"/>
      <c r="P459" s="118"/>
      <c r="Q459" s="118"/>
      <c r="R459" s="117"/>
      <c r="S459" s="117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  <c r="AL459" s="118"/>
      <c r="AM459" s="118"/>
      <c r="AN459" s="118"/>
      <c r="AO459" s="118"/>
      <c r="AP459" s="118"/>
      <c r="AQ459" s="118"/>
      <c r="AR459" s="118"/>
      <c r="AS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64"/>
      <c r="O460" s="161"/>
      <c r="P460" s="118"/>
      <c r="Q460" s="118"/>
      <c r="R460" s="117"/>
      <c r="S460" s="117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  <c r="AL460" s="118"/>
      <c r="AM460" s="118"/>
      <c r="AN460" s="118"/>
      <c r="AO460" s="118"/>
      <c r="AP460" s="118"/>
      <c r="AQ460" s="118"/>
      <c r="AR460" s="118"/>
      <c r="AS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64"/>
      <c r="O461" s="161"/>
      <c r="P461" s="118"/>
      <c r="Q461" s="118"/>
      <c r="R461" s="117"/>
      <c r="S461" s="117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  <c r="AL461" s="118"/>
      <c r="AM461" s="118"/>
      <c r="AN461" s="118"/>
      <c r="AO461" s="118"/>
      <c r="AP461" s="118"/>
      <c r="AQ461" s="118"/>
      <c r="AR461" s="118"/>
      <c r="AS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64"/>
      <c r="O462" s="161"/>
      <c r="P462" s="118"/>
      <c r="Q462" s="118"/>
      <c r="R462" s="117"/>
      <c r="S462" s="117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  <c r="AL462" s="118"/>
      <c r="AM462" s="118"/>
      <c r="AN462" s="118"/>
      <c r="AO462" s="118"/>
      <c r="AP462" s="118"/>
      <c r="AQ462" s="118"/>
      <c r="AR462" s="118"/>
      <c r="AS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64"/>
      <c r="O463" s="161"/>
      <c r="P463" s="118"/>
      <c r="Q463" s="118"/>
      <c r="R463" s="117"/>
      <c r="S463" s="117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64"/>
      <c r="O464" s="161"/>
      <c r="P464" s="118"/>
      <c r="Q464" s="118"/>
      <c r="R464" s="117"/>
      <c r="S464" s="117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64"/>
      <c r="O465" s="161"/>
      <c r="P465" s="118"/>
      <c r="Q465" s="118"/>
      <c r="R465" s="117"/>
      <c r="S465" s="117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  <c r="AI465" s="118"/>
      <c r="AJ465" s="118"/>
      <c r="AK465" s="118"/>
      <c r="AL465" s="118"/>
      <c r="AM465" s="118"/>
      <c r="AN465" s="118"/>
      <c r="AO465" s="118"/>
      <c r="AP465" s="118"/>
      <c r="AQ465" s="118"/>
      <c r="AR465" s="118"/>
      <c r="AS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64"/>
      <c r="O466" s="161"/>
      <c r="P466" s="118"/>
      <c r="Q466" s="118"/>
      <c r="R466" s="117"/>
      <c r="S466" s="117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  <c r="AI466" s="118"/>
      <c r="AJ466" s="118"/>
      <c r="AK466" s="118"/>
      <c r="AL466" s="118"/>
      <c r="AM466" s="118"/>
      <c r="AN466" s="118"/>
      <c r="AO466" s="118"/>
      <c r="AP466" s="118"/>
      <c r="AQ466" s="118"/>
      <c r="AR466" s="118"/>
      <c r="AS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64"/>
      <c r="O467" s="161"/>
      <c r="P467" s="118"/>
      <c r="Q467" s="118"/>
      <c r="R467" s="117"/>
      <c r="S467" s="117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  <c r="AI467" s="118"/>
      <c r="AJ467" s="118"/>
      <c r="AK467" s="118"/>
      <c r="AL467" s="118"/>
      <c r="AM467" s="118"/>
      <c r="AN467" s="118"/>
      <c r="AO467" s="118"/>
      <c r="AP467" s="118"/>
      <c r="AQ467" s="118"/>
      <c r="AR467" s="118"/>
      <c r="AS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64"/>
      <c r="O468" s="161"/>
      <c r="P468" s="118"/>
      <c r="Q468" s="118"/>
      <c r="R468" s="117"/>
      <c r="S468" s="117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  <c r="AI468" s="118"/>
      <c r="AJ468" s="118"/>
      <c r="AK468" s="118"/>
      <c r="AL468" s="118"/>
      <c r="AM468" s="118"/>
      <c r="AN468" s="118"/>
      <c r="AO468" s="118"/>
      <c r="AP468" s="118"/>
      <c r="AQ468" s="118"/>
      <c r="AR468" s="118"/>
      <c r="AS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64"/>
      <c r="O469" s="161"/>
      <c r="P469" s="118"/>
      <c r="Q469" s="118"/>
      <c r="R469" s="117"/>
      <c r="S469" s="117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  <c r="AI469" s="118"/>
      <c r="AJ469" s="118"/>
      <c r="AK469" s="118"/>
      <c r="AL469" s="118"/>
      <c r="AM469" s="118"/>
      <c r="AN469" s="118"/>
      <c r="AO469" s="118"/>
      <c r="AP469" s="118"/>
      <c r="AQ469" s="118"/>
      <c r="AR469" s="118"/>
      <c r="AS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64"/>
      <c r="O470" s="161"/>
      <c r="P470" s="118"/>
      <c r="Q470" s="118"/>
      <c r="R470" s="117"/>
      <c r="S470" s="117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  <c r="AI470" s="118"/>
      <c r="AJ470" s="118"/>
      <c r="AK470" s="118"/>
      <c r="AL470" s="118"/>
      <c r="AM470" s="118"/>
      <c r="AN470" s="118"/>
      <c r="AO470" s="118"/>
      <c r="AP470" s="118"/>
      <c r="AQ470" s="118"/>
      <c r="AR470" s="118"/>
      <c r="AS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64"/>
      <c r="O471" s="161"/>
      <c r="P471" s="118"/>
      <c r="Q471" s="118"/>
      <c r="R471" s="117"/>
      <c r="S471" s="117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  <c r="AI471" s="118"/>
      <c r="AJ471" s="118"/>
      <c r="AK471" s="118"/>
      <c r="AL471" s="118"/>
      <c r="AM471" s="118"/>
      <c r="AN471" s="118"/>
      <c r="AO471" s="118"/>
      <c r="AP471" s="118"/>
      <c r="AQ471" s="118"/>
      <c r="AR471" s="118"/>
      <c r="AS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64"/>
      <c r="O472" s="161"/>
      <c r="P472" s="118"/>
      <c r="Q472" s="118"/>
      <c r="R472" s="117"/>
      <c r="S472" s="117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  <c r="AI472" s="118"/>
      <c r="AJ472" s="118"/>
      <c r="AK472" s="118"/>
      <c r="AL472" s="118"/>
      <c r="AM472" s="118"/>
      <c r="AN472" s="118"/>
      <c r="AO472" s="118"/>
      <c r="AP472" s="118"/>
      <c r="AQ472" s="118"/>
      <c r="AR472" s="118"/>
      <c r="AS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64"/>
      <c r="O473" s="161"/>
      <c r="P473" s="118"/>
      <c r="Q473" s="118"/>
      <c r="R473" s="117"/>
      <c r="S473" s="117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  <c r="AI473" s="118"/>
      <c r="AJ473" s="118"/>
      <c r="AK473" s="118"/>
      <c r="AL473" s="118"/>
      <c r="AM473" s="118"/>
      <c r="AN473" s="118"/>
      <c r="AO473" s="118"/>
      <c r="AP473" s="118"/>
      <c r="AQ473" s="118"/>
      <c r="AR473" s="118"/>
      <c r="AS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64"/>
      <c r="O474" s="161"/>
      <c r="P474" s="118"/>
      <c r="Q474" s="118"/>
      <c r="R474" s="117"/>
      <c r="S474" s="117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64"/>
      <c r="O475" s="161"/>
      <c r="P475" s="118"/>
      <c r="Q475" s="118"/>
      <c r="R475" s="117"/>
      <c r="S475" s="117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  <c r="AL475" s="118"/>
      <c r="AM475" s="118"/>
      <c r="AN475" s="118"/>
      <c r="AO475" s="118"/>
      <c r="AP475" s="118"/>
      <c r="AQ475" s="118"/>
      <c r="AR475" s="118"/>
      <c r="AS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64"/>
      <c r="O476" s="161"/>
      <c r="P476" s="118"/>
      <c r="Q476" s="118"/>
      <c r="R476" s="117"/>
      <c r="S476" s="117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  <c r="AL476" s="118"/>
      <c r="AM476" s="118"/>
      <c r="AN476" s="118"/>
      <c r="AO476" s="118"/>
      <c r="AP476" s="118"/>
      <c r="AQ476" s="118"/>
      <c r="AR476" s="118"/>
      <c r="AS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64"/>
      <c r="O477" s="161"/>
      <c r="P477" s="118"/>
      <c r="Q477" s="118"/>
      <c r="R477" s="117"/>
      <c r="S477" s="117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  <c r="AL477" s="118"/>
      <c r="AM477" s="118"/>
      <c r="AN477" s="118"/>
      <c r="AO477" s="118"/>
      <c r="AP477" s="118"/>
      <c r="AQ477" s="118"/>
      <c r="AR477" s="118"/>
      <c r="AS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64"/>
      <c r="O478" s="161"/>
      <c r="P478" s="118"/>
      <c r="Q478" s="118"/>
      <c r="R478" s="117"/>
      <c r="S478" s="117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  <c r="AL478" s="118"/>
      <c r="AM478" s="118"/>
      <c r="AN478" s="118"/>
      <c r="AO478" s="118"/>
      <c r="AP478" s="118"/>
      <c r="AQ478" s="118"/>
      <c r="AR478" s="118"/>
      <c r="AS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64"/>
      <c r="O479" s="161"/>
      <c r="P479" s="118"/>
      <c r="Q479" s="118"/>
      <c r="R479" s="117"/>
      <c r="S479" s="117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64"/>
      <c r="O480" s="161"/>
      <c r="P480" s="118"/>
      <c r="Q480" s="118"/>
      <c r="R480" s="117"/>
      <c r="S480" s="117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64"/>
      <c r="O481" s="161"/>
      <c r="P481" s="118"/>
      <c r="Q481" s="118"/>
      <c r="R481" s="117"/>
      <c r="S481" s="117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64"/>
      <c r="O482" s="161"/>
      <c r="P482" s="118"/>
      <c r="Q482" s="118"/>
      <c r="R482" s="117"/>
      <c r="S482" s="117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  <c r="AL482" s="118"/>
      <c r="AM482" s="118"/>
      <c r="AN482" s="118"/>
      <c r="AO482" s="118"/>
      <c r="AP482" s="118"/>
      <c r="AQ482" s="118"/>
      <c r="AR482" s="118"/>
      <c r="AS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64"/>
      <c r="O483" s="161"/>
      <c r="P483" s="118"/>
      <c r="Q483" s="118"/>
      <c r="R483" s="117"/>
      <c r="S483" s="117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  <c r="AL483" s="118"/>
      <c r="AM483" s="118"/>
      <c r="AN483" s="118"/>
      <c r="AO483" s="118"/>
      <c r="AP483" s="118"/>
      <c r="AQ483" s="118"/>
      <c r="AR483" s="118"/>
      <c r="AS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64"/>
      <c r="O484" s="161"/>
      <c r="P484" s="118"/>
      <c r="Q484" s="118"/>
      <c r="R484" s="117"/>
      <c r="S484" s="117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  <c r="AL484" s="118"/>
      <c r="AM484" s="118"/>
      <c r="AN484" s="118"/>
      <c r="AO484" s="118"/>
      <c r="AP484" s="118"/>
      <c r="AQ484" s="118"/>
      <c r="AR484" s="118"/>
      <c r="AS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64"/>
      <c r="O485" s="161"/>
      <c r="P485" s="118"/>
      <c r="Q485" s="118"/>
      <c r="R485" s="117"/>
      <c r="S485" s="117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  <c r="AL485" s="118"/>
      <c r="AM485" s="118"/>
      <c r="AN485" s="118"/>
      <c r="AO485" s="118"/>
      <c r="AP485" s="118"/>
      <c r="AQ485" s="118"/>
      <c r="AR485" s="118"/>
      <c r="AS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64"/>
      <c r="O486" s="161"/>
      <c r="P486" s="118"/>
      <c r="Q486" s="118"/>
      <c r="R486" s="117"/>
      <c r="S486" s="117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64"/>
      <c r="O487" s="161"/>
      <c r="P487" s="118"/>
      <c r="Q487" s="118"/>
      <c r="R487" s="117"/>
      <c r="S487" s="117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64"/>
      <c r="O488" s="161"/>
      <c r="P488" s="118"/>
      <c r="Q488" s="118"/>
      <c r="R488" s="117"/>
      <c r="S488" s="117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64"/>
      <c r="O489" s="161"/>
      <c r="P489" s="118"/>
      <c r="Q489" s="118"/>
      <c r="R489" s="117"/>
      <c r="S489" s="117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  <c r="AL489" s="118"/>
      <c r="AM489" s="118"/>
      <c r="AN489" s="118"/>
      <c r="AO489" s="118"/>
      <c r="AP489" s="118"/>
      <c r="AQ489" s="118"/>
      <c r="AR489" s="118"/>
      <c r="AS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64"/>
      <c r="O490" s="161"/>
      <c r="P490" s="118"/>
      <c r="Q490" s="118"/>
      <c r="R490" s="117"/>
      <c r="S490" s="117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64"/>
      <c r="O491" s="161"/>
      <c r="P491" s="118"/>
      <c r="Q491" s="118"/>
      <c r="R491" s="117"/>
      <c r="S491" s="117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  <c r="AL491" s="118"/>
      <c r="AM491" s="118"/>
      <c r="AN491" s="118"/>
      <c r="AO491" s="118"/>
      <c r="AP491" s="118"/>
      <c r="AQ491" s="118"/>
      <c r="AR491" s="118"/>
      <c r="AS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64"/>
      <c r="O492" s="161"/>
      <c r="P492" s="118"/>
      <c r="Q492" s="118"/>
      <c r="R492" s="117"/>
      <c r="S492" s="117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  <c r="AL492" s="118"/>
      <c r="AM492" s="118"/>
      <c r="AN492" s="118"/>
      <c r="AO492" s="118"/>
      <c r="AP492" s="118"/>
      <c r="AQ492" s="118"/>
      <c r="AR492" s="118"/>
      <c r="AS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64"/>
      <c r="O493" s="161"/>
      <c r="P493" s="118"/>
      <c r="Q493" s="118"/>
      <c r="R493" s="117"/>
      <c r="S493" s="117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64"/>
      <c r="O494" s="161"/>
      <c r="P494" s="118"/>
      <c r="Q494" s="118"/>
      <c r="R494" s="117"/>
      <c r="S494" s="117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64"/>
      <c r="O495" s="161"/>
      <c r="P495" s="118"/>
      <c r="Q495" s="118"/>
      <c r="R495" s="117"/>
      <c r="S495" s="117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  <c r="AL495" s="118"/>
      <c r="AM495" s="118"/>
      <c r="AN495" s="118"/>
      <c r="AO495" s="118"/>
      <c r="AP495" s="118"/>
      <c r="AQ495" s="118"/>
      <c r="AR495" s="118"/>
      <c r="AS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64"/>
      <c r="O496" s="161"/>
      <c r="P496" s="118"/>
      <c r="Q496" s="118"/>
      <c r="R496" s="117"/>
      <c r="S496" s="117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  <c r="AL496" s="118"/>
      <c r="AM496" s="118"/>
      <c r="AN496" s="118"/>
      <c r="AO496" s="118"/>
      <c r="AP496" s="118"/>
      <c r="AQ496" s="118"/>
      <c r="AR496" s="118"/>
      <c r="AS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64"/>
      <c r="O497" s="161"/>
      <c r="P497" s="118"/>
      <c r="Q497" s="118"/>
      <c r="R497" s="117"/>
      <c r="S497" s="117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  <c r="AL497" s="118"/>
      <c r="AM497" s="118"/>
      <c r="AN497" s="118"/>
      <c r="AO497" s="118"/>
      <c r="AP497" s="118"/>
      <c r="AQ497" s="118"/>
      <c r="AR497" s="118"/>
      <c r="AS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64"/>
      <c r="O498" s="161"/>
      <c r="P498" s="118"/>
      <c r="Q498" s="118"/>
      <c r="R498" s="117"/>
      <c r="S498" s="117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64"/>
      <c r="O499" s="161"/>
      <c r="P499" s="118"/>
      <c r="Q499" s="118"/>
      <c r="R499" s="117"/>
      <c r="S499" s="117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  <c r="AL499" s="118"/>
      <c r="AM499" s="118"/>
      <c r="AN499" s="118"/>
      <c r="AO499" s="118"/>
      <c r="AP499" s="118"/>
      <c r="AQ499" s="118"/>
      <c r="AR499" s="118"/>
      <c r="AS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64"/>
      <c r="O500" s="161"/>
      <c r="P500" s="118"/>
      <c r="Q500" s="118"/>
      <c r="R500" s="117"/>
      <c r="S500" s="117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  <c r="AL500" s="118"/>
      <c r="AM500" s="118"/>
      <c r="AN500" s="118"/>
      <c r="AO500" s="118"/>
      <c r="AP500" s="118"/>
      <c r="AQ500" s="118"/>
      <c r="AR500" s="118"/>
      <c r="AS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64"/>
      <c r="O501" s="161"/>
      <c r="P501" s="118"/>
      <c r="Q501" s="118"/>
      <c r="R501" s="117"/>
      <c r="S501" s="117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  <c r="AL501" s="118"/>
      <c r="AM501" s="118"/>
      <c r="AN501" s="118"/>
      <c r="AO501" s="118"/>
      <c r="AP501" s="118"/>
      <c r="AQ501" s="118"/>
      <c r="AR501" s="118"/>
      <c r="AS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64"/>
      <c r="O502" s="161"/>
      <c r="P502" s="118"/>
      <c r="Q502" s="118"/>
      <c r="R502" s="117"/>
      <c r="S502" s="117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64"/>
      <c r="O503" s="161"/>
      <c r="P503" s="118"/>
      <c r="Q503" s="118"/>
      <c r="R503" s="117"/>
      <c r="S503" s="117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  <c r="AL503" s="118"/>
      <c r="AM503" s="118"/>
      <c r="AN503" s="118"/>
      <c r="AO503" s="118"/>
      <c r="AP503" s="118"/>
      <c r="AQ503" s="118"/>
      <c r="AR503" s="118"/>
      <c r="AS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64"/>
      <c r="O504" s="161"/>
      <c r="P504" s="118"/>
      <c r="Q504" s="118"/>
      <c r="R504" s="117"/>
      <c r="S504" s="117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  <c r="AL504" s="118"/>
      <c r="AM504" s="118"/>
      <c r="AN504" s="118"/>
      <c r="AO504" s="118"/>
      <c r="AP504" s="118"/>
      <c r="AQ504" s="118"/>
      <c r="AR504" s="118"/>
      <c r="AS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64"/>
      <c r="O505" s="161"/>
      <c r="P505" s="118"/>
      <c r="Q505" s="118"/>
      <c r="R505" s="117"/>
      <c r="S505" s="117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  <c r="AL505" s="118"/>
      <c r="AM505" s="118"/>
      <c r="AN505" s="118"/>
      <c r="AO505" s="118"/>
      <c r="AP505" s="118"/>
      <c r="AQ505" s="118"/>
      <c r="AR505" s="118"/>
      <c r="AS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64"/>
      <c r="O506" s="161"/>
      <c r="P506" s="118"/>
      <c r="Q506" s="118"/>
      <c r="R506" s="117"/>
      <c r="S506" s="117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  <c r="AL506" s="118"/>
      <c r="AM506" s="118"/>
      <c r="AN506" s="118"/>
      <c r="AO506" s="118"/>
      <c r="AP506" s="118"/>
      <c r="AQ506" s="118"/>
      <c r="AR506" s="118"/>
      <c r="AS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64"/>
      <c r="O507" s="161"/>
      <c r="P507" s="118"/>
      <c r="Q507" s="118"/>
      <c r="R507" s="117"/>
      <c r="S507" s="117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  <c r="AL507" s="118"/>
      <c r="AM507" s="118"/>
      <c r="AN507" s="118"/>
      <c r="AO507" s="118"/>
      <c r="AP507" s="118"/>
      <c r="AQ507" s="118"/>
      <c r="AR507" s="118"/>
      <c r="AS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64"/>
      <c r="O508" s="161"/>
      <c r="P508" s="118"/>
      <c r="Q508" s="118"/>
      <c r="R508" s="117"/>
      <c r="S508" s="117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  <c r="AL508" s="118"/>
      <c r="AM508" s="118"/>
      <c r="AN508" s="118"/>
      <c r="AO508" s="118"/>
      <c r="AP508" s="118"/>
      <c r="AQ508" s="118"/>
      <c r="AR508" s="118"/>
      <c r="AS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64"/>
      <c r="O509" s="161"/>
      <c r="P509" s="118"/>
      <c r="Q509" s="118"/>
      <c r="R509" s="117"/>
      <c r="S509" s="117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  <c r="AL509" s="118"/>
      <c r="AM509" s="118"/>
      <c r="AN509" s="118"/>
      <c r="AO509" s="118"/>
      <c r="AP509" s="118"/>
      <c r="AQ509" s="118"/>
      <c r="AR509" s="118"/>
      <c r="AS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64"/>
      <c r="O510" s="161"/>
      <c r="P510" s="118"/>
      <c r="Q510" s="118"/>
      <c r="R510" s="117"/>
      <c r="S510" s="117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  <c r="AL510" s="118"/>
      <c r="AM510" s="118"/>
      <c r="AN510" s="118"/>
      <c r="AO510" s="118"/>
      <c r="AP510" s="118"/>
      <c r="AQ510" s="118"/>
      <c r="AR510" s="118"/>
      <c r="AS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64"/>
      <c r="O511" s="161"/>
      <c r="P511" s="118"/>
      <c r="Q511" s="118"/>
      <c r="R511" s="117"/>
      <c r="S511" s="117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  <c r="AL511" s="118"/>
      <c r="AM511" s="118"/>
      <c r="AN511" s="118"/>
      <c r="AO511" s="118"/>
      <c r="AP511" s="118"/>
      <c r="AQ511" s="118"/>
      <c r="AR511" s="118"/>
      <c r="AS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64"/>
      <c r="O512" s="161"/>
      <c r="P512" s="118"/>
      <c r="Q512" s="118"/>
      <c r="R512" s="117"/>
      <c r="S512" s="117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64"/>
      <c r="O513" s="161"/>
      <c r="P513" s="118"/>
      <c r="Q513" s="118"/>
      <c r="R513" s="117"/>
      <c r="S513" s="117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  <c r="AL513" s="118"/>
      <c r="AM513" s="118"/>
      <c r="AN513" s="118"/>
      <c r="AO513" s="118"/>
      <c r="AP513" s="118"/>
      <c r="AQ513" s="118"/>
      <c r="AR513" s="118"/>
      <c r="AS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64"/>
      <c r="O514" s="161"/>
      <c r="P514" s="118"/>
      <c r="Q514" s="118"/>
      <c r="R514" s="117"/>
      <c r="S514" s="117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  <c r="AL514" s="118"/>
      <c r="AM514" s="118"/>
      <c r="AN514" s="118"/>
      <c r="AO514" s="118"/>
      <c r="AP514" s="118"/>
      <c r="AQ514" s="118"/>
      <c r="AR514" s="118"/>
      <c r="AS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64"/>
      <c r="O515" s="161"/>
      <c r="P515" s="118"/>
      <c r="Q515" s="118"/>
      <c r="R515" s="117"/>
      <c r="S515" s="117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  <c r="AL515" s="118"/>
      <c r="AM515" s="118"/>
      <c r="AN515" s="118"/>
      <c r="AO515" s="118"/>
      <c r="AP515" s="118"/>
      <c r="AQ515" s="118"/>
      <c r="AR515" s="118"/>
      <c r="AS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64"/>
      <c r="O516" s="161"/>
      <c r="P516" s="118"/>
      <c r="Q516" s="118"/>
      <c r="R516" s="117"/>
      <c r="S516" s="117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  <c r="AL516" s="118"/>
      <c r="AM516" s="118"/>
      <c r="AN516" s="118"/>
      <c r="AO516" s="118"/>
      <c r="AP516" s="118"/>
      <c r="AQ516" s="118"/>
      <c r="AR516" s="118"/>
      <c r="AS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64"/>
      <c r="O517" s="161"/>
      <c r="P517" s="118"/>
      <c r="Q517" s="118"/>
      <c r="R517" s="117"/>
      <c r="S517" s="117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  <c r="AL517" s="118"/>
      <c r="AM517" s="118"/>
      <c r="AN517" s="118"/>
      <c r="AO517" s="118"/>
      <c r="AP517" s="118"/>
      <c r="AQ517" s="118"/>
      <c r="AR517" s="118"/>
      <c r="AS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64"/>
      <c r="O518" s="161"/>
      <c r="P518" s="118"/>
      <c r="Q518" s="118"/>
      <c r="R518" s="117"/>
      <c r="S518" s="117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8"/>
      <c r="AN518" s="118"/>
      <c r="AO518" s="118"/>
      <c r="AP518" s="118"/>
      <c r="AQ518" s="118"/>
      <c r="AR518" s="118"/>
      <c r="AS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64"/>
      <c r="O519" s="161"/>
      <c r="P519" s="118"/>
      <c r="Q519" s="118"/>
      <c r="R519" s="117"/>
      <c r="S519" s="117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  <c r="AL519" s="118"/>
      <c r="AM519" s="118"/>
      <c r="AN519" s="118"/>
      <c r="AO519" s="118"/>
      <c r="AP519" s="118"/>
      <c r="AQ519" s="118"/>
      <c r="AR519" s="118"/>
      <c r="AS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64"/>
      <c r="O520" s="161"/>
      <c r="P520" s="118"/>
      <c r="Q520" s="118"/>
      <c r="R520" s="117"/>
      <c r="S520" s="117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  <c r="AL520" s="118"/>
      <c r="AM520" s="118"/>
      <c r="AN520" s="118"/>
      <c r="AO520" s="118"/>
      <c r="AP520" s="118"/>
      <c r="AQ520" s="118"/>
      <c r="AR520" s="118"/>
      <c r="AS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64"/>
      <c r="O521" s="161"/>
      <c r="P521" s="118"/>
      <c r="Q521" s="118"/>
      <c r="R521" s="117"/>
      <c r="S521" s="117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AK521" s="118"/>
      <c r="AL521" s="118"/>
      <c r="AM521" s="118"/>
      <c r="AN521" s="118"/>
      <c r="AO521" s="118"/>
      <c r="AP521" s="118"/>
      <c r="AQ521" s="118"/>
      <c r="AR521" s="118"/>
      <c r="AS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64"/>
      <c r="O522" s="161"/>
      <c r="P522" s="118"/>
      <c r="Q522" s="118"/>
      <c r="R522" s="117"/>
      <c r="S522" s="117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  <c r="AL522" s="118"/>
      <c r="AM522" s="118"/>
      <c r="AN522" s="118"/>
      <c r="AO522" s="118"/>
      <c r="AP522" s="118"/>
      <c r="AQ522" s="118"/>
      <c r="AR522" s="118"/>
      <c r="AS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64"/>
      <c r="O523" s="161"/>
      <c r="P523" s="118"/>
      <c r="Q523" s="118"/>
      <c r="R523" s="117"/>
      <c r="S523" s="117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  <c r="AL523" s="118"/>
      <c r="AM523" s="118"/>
      <c r="AN523" s="118"/>
      <c r="AO523" s="118"/>
      <c r="AP523" s="118"/>
      <c r="AQ523" s="118"/>
      <c r="AR523" s="118"/>
      <c r="AS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64"/>
      <c r="O524" s="161"/>
      <c r="P524" s="118"/>
      <c r="Q524" s="118"/>
      <c r="R524" s="117"/>
      <c r="S524" s="117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  <c r="AL524" s="118"/>
      <c r="AM524" s="118"/>
      <c r="AN524" s="118"/>
      <c r="AO524" s="118"/>
      <c r="AP524" s="118"/>
      <c r="AQ524" s="118"/>
      <c r="AR524" s="118"/>
      <c r="AS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64"/>
      <c r="O525" s="161"/>
      <c r="P525" s="118"/>
      <c r="Q525" s="118"/>
      <c r="R525" s="117"/>
      <c r="S525" s="117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  <c r="AL525" s="118"/>
      <c r="AM525" s="118"/>
      <c r="AN525" s="118"/>
      <c r="AO525" s="118"/>
      <c r="AP525" s="118"/>
      <c r="AQ525" s="118"/>
      <c r="AR525" s="118"/>
      <c r="AS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64"/>
      <c r="O526" s="161"/>
      <c r="P526" s="118"/>
      <c r="Q526" s="118"/>
      <c r="R526" s="117"/>
      <c r="S526" s="117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  <c r="AL526" s="118"/>
      <c r="AM526" s="118"/>
      <c r="AN526" s="118"/>
      <c r="AO526" s="118"/>
      <c r="AP526" s="118"/>
      <c r="AQ526" s="118"/>
      <c r="AR526" s="118"/>
      <c r="AS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64"/>
      <c r="O527" s="161"/>
      <c r="P527" s="118"/>
      <c r="Q527" s="118"/>
      <c r="R527" s="117"/>
      <c r="S527" s="117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  <c r="AL527" s="118"/>
      <c r="AM527" s="118"/>
      <c r="AN527" s="118"/>
      <c r="AO527" s="118"/>
      <c r="AP527" s="118"/>
      <c r="AQ527" s="118"/>
      <c r="AR527" s="118"/>
      <c r="AS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64"/>
      <c r="O528" s="161"/>
      <c r="P528" s="118"/>
      <c r="Q528" s="118"/>
      <c r="R528" s="117"/>
      <c r="S528" s="117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  <c r="AL528" s="118"/>
      <c r="AM528" s="118"/>
      <c r="AN528" s="118"/>
      <c r="AO528" s="118"/>
      <c r="AP528" s="118"/>
      <c r="AQ528" s="118"/>
      <c r="AR528" s="118"/>
      <c r="AS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64"/>
      <c r="O529" s="161"/>
      <c r="P529" s="118"/>
      <c r="Q529" s="118"/>
      <c r="R529" s="117"/>
      <c r="S529" s="117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  <c r="AI529" s="118"/>
      <c r="AJ529" s="118"/>
      <c r="AK529" s="118"/>
      <c r="AL529" s="118"/>
      <c r="AM529" s="118"/>
      <c r="AN529" s="118"/>
      <c r="AO529" s="118"/>
      <c r="AP529" s="118"/>
      <c r="AQ529" s="118"/>
      <c r="AR529" s="118"/>
      <c r="AS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64"/>
      <c r="O530" s="161"/>
      <c r="P530" s="118"/>
      <c r="Q530" s="118"/>
      <c r="R530" s="117"/>
      <c r="S530" s="117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  <c r="AI530" s="118"/>
      <c r="AJ530" s="118"/>
      <c r="AK530" s="118"/>
      <c r="AL530" s="118"/>
      <c r="AM530" s="118"/>
      <c r="AN530" s="118"/>
      <c r="AO530" s="118"/>
      <c r="AP530" s="118"/>
      <c r="AQ530" s="118"/>
      <c r="AR530" s="118"/>
      <c r="AS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64"/>
      <c r="O531" s="161"/>
      <c r="P531" s="118"/>
      <c r="Q531" s="118"/>
      <c r="R531" s="117"/>
      <c r="S531" s="117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  <c r="AI531" s="118"/>
      <c r="AJ531" s="118"/>
      <c r="AK531" s="118"/>
      <c r="AL531" s="118"/>
      <c r="AM531" s="118"/>
      <c r="AN531" s="118"/>
      <c r="AO531" s="118"/>
      <c r="AP531" s="118"/>
      <c r="AQ531" s="118"/>
      <c r="AR531" s="118"/>
      <c r="AS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64"/>
      <c r="O532" s="161"/>
      <c r="P532" s="118"/>
      <c r="Q532" s="118"/>
      <c r="R532" s="117"/>
      <c r="S532" s="117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  <c r="AI532" s="118"/>
      <c r="AJ532" s="118"/>
      <c r="AK532" s="118"/>
      <c r="AL532" s="118"/>
      <c r="AM532" s="118"/>
      <c r="AN532" s="118"/>
      <c r="AO532" s="118"/>
      <c r="AP532" s="118"/>
      <c r="AQ532" s="118"/>
      <c r="AR532" s="118"/>
      <c r="AS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64"/>
      <c r="O533" s="161"/>
      <c r="P533" s="118"/>
      <c r="Q533" s="118"/>
      <c r="R533" s="117"/>
      <c r="S533" s="117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  <c r="AI533" s="118"/>
      <c r="AJ533" s="118"/>
      <c r="AK533" s="118"/>
      <c r="AL533" s="118"/>
      <c r="AM533" s="118"/>
      <c r="AN533" s="118"/>
      <c r="AO533" s="118"/>
      <c r="AP533" s="118"/>
      <c r="AQ533" s="118"/>
      <c r="AR533" s="118"/>
      <c r="AS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64"/>
      <c r="O534" s="161"/>
      <c r="P534" s="118"/>
      <c r="Q534" s="118"/>
      <c r="R534" s="117"/>
      <c r="S534" s="117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64"/>
      <c r="O535" s="161"/>
      <c r="P535" s="118"/>
      <c r="Q535" s="118"/>
      <c r="R535" s="117"/>
      <c r="S535" s="117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  <c r="AL535" s="118"/>
      <c r="AM535" s="118"/>
      <c r="AN535" s="118"/>
      <c r="AO535" s="118"/>
      <c r="AP535" s="118"/>
      <c r="AQ535" s="118"/>
      <c r="AR535" s="118"/>
      <c r="AS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64"/>
      <c r="O536" s="161"/>
      <c r="P536" s="118"/>
      <c r="Q536" s="118"/>
      <c r="R536" s="117"/>
      <c r="S536" s="117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  <c r="AL536" s="118"/>
      <c r="AM536" s="118"/>
      <c r="AN536" s="118"/>
      <c r="AO536" s="118"/>
      <c r="AP536" s="118"/>
      <c r="AQ536" s="118"/>
      <c r="AR536" s="118"/>
      <c r="AS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64"/>
      <c r="O537" s="161"/>
      <c r="P537" s="118"/>
      <c r="Q537" s="118"/>
      <c r="R537" s="117"/>
      <c r="S537" s="117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  <c r="AL537" s="118"/>
      <c r="AM537" s="118"/>
      <c r="AN537" s="118"/>
      <c r="AO537" s="118"/>
      <c r="AP537" s="118"/>
      <c r="AQ537" s="118"/>
      <c r="AR537" s="118"/>
      <c r="AS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64"/>
      <c r="O538" s="161"/>
      <c r="P538" s="118"/>
      <c r="Q538" s="118"/>
      <c r="R538" s="117"/>
      <c r="S538" s="117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  <c r="AL538" s="118"/>
      <c r="AM538" s="118"/>
      <c r="AN538" s="118"/>
      <c r="AO538" s="118"/>
      <c r="AP538" s="118"/>
      <c r="AQ538" s="118"/>
      <c r="AR538" s="118"/>
      <c r="AS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64"/>
      <c r="O539" s="161"/>
      <c r="P539" s="118"/>
      <c r="Q539" s="118"/>
      <c r="R539" s="117"/>
      <c r="S539" s="117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  <c r="AL539" s="118"/>
      <c r="AM539" s="118"/>
      <c r="AN539" s="118"/>
      <c r="AO539" s="118"/>
      <c r="AP539" s="118"/>
      <c r="AQ539" s="118"/>
      <c r="AR539" s="118"/>
      <c r="AS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64"/>
      <c r="O540" s="161"/>
      <c r="P540" s="118"/>
      <c r="Q540" s="118"/>
      <c r="R540" s="117"/>
      <c r="S540" s="117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  <c r="AL540" s="118"/>
      <c r="AM540" s="118"/>
      <c r="AN540" s="118"/>
      <c r="AO540" s="118"/>
      <c r="AP540" s="118"/>
      <c r="AQ540" s="118"/>
      <c r="AR540" s="118"/>
      <c r="AS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64"/>
      <c r="O541" s="161"/>
      <c r="P541" s="118"/>
      <c r="Q541" s="118"/>
      <c r="R541" s="117"/>
      <c r="S541" s="117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  <c r="AL541" s="118"/>
      <c r="AM541" s="118"/>
      <c r="AN541" s="118"/>
      <c r="AO541" s="118"/>
      <c r="AP541" s="118"/>
      <c r="AQ541" s="118"/>
      <c r="AR541" s="118"/>
      <c r="AS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64"/>
      <c r="O542" s="161"/>
      <c r="P542" s="118"/>
      <c r="Q542" s="118"/>
      <c r="R542" s="117"/>
      <c r="S542" s="117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  <c r="AL542" s="118"/>
      <c r="AM542" s="118"/>
      <c r="AN542" s="118"/>
      <c r="AO542" s="118"/>
      <c r="AP542" s="118"/>
      <c r="AQ542" s="118"/>
      <c r="AR542" s="118"/>
      <c r="AS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64"/>
      <c r="O543" s="161"/>
      <c r="P543" s="118"/>
      <c r="Q543" s="118"/>
      <c r="R543" s="117"/>
      <c r="S543" s="117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  <c r="AL543" s="118"/>
      <c r="AM543" s="118"/>
      <c r="AN543" s="118"/>
      <c r="AO543" s="118"/>
      <c r="AP543" s="118"/>
      <c r="AQ543" s="118"/>
      <c r="AR543" s="118"/>
      <c r="AS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64"/>
      <c r="O544" s="161"/>
      <c r="P544" s="118"/>
      <c r="Q544" s="118"/>
      <c r="R544" s="117"/>
      <c r="S544" s="117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64"/>
      <c r="O545" s="161"/>
      <c r="P545" s="118"/>
      <c r="Q545" s="118"/>
      <c r="R545" s="117"/>
      <c r="S545" s="117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  <c r="AL545" s="118"/>
      <c r="AM545" s="118"/>
      <c r="AN545" s="118"/>
      <c r="AO545" s="118"/>
      <c r="AP545" s="118"/>
      <c r="AQ545" s="118"/>
      <c r="AR545" s="118"/>
      <c r="AS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64"/>
      <c r="O546" s="161"/>
      <c r="P546" s="118"/>
      <c r="Q546" s="118"/>
      <c r="R546" s="117"/>
      <c r="S546" s="117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  <c r="AL546" s="118"/>
      <c r="AM546" s="118"/>
      <c r="AN546" s="118"/>
      <c r="AO546" s="118"/>
      <c r="AP546" s="118"/>
      <c r="AQ546" s="118"/>
      <c r="AR546" s="118"/>
      <c r="AS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64"/>
      <c r="O547" s="161"/>
      <c r="P547" s="118"/>
      <c r="Q547" s="118"/>
      <c r="R547" s="117"/>
      <c r="S547" s="117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  <c r="AL547" s="118"/>
      <c r="AM547" s="118"/>
      <c r="AN547" s="118"/>
      <c r="AO547" s="118"/>
      <c r="AP547" s="118"/>
      <c r="AQ547" s="118"/>
      <c r="AR547" s="118"/>
      <c r="AS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64"/>
      <c r="O548" s="161"/>
      <c r="P548" s="118"/>
      <c r="Q548" s="118"/>
      <c r="R548" s="117"/>
      <c r="S548" s="117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  <c r="AO548" s="118"/>
      <c r="AP548" s="118"/>
      <c r="AQ548" s="118"/>
      <c r="AR548" s="118"/>
      <c r="AS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64"/>
      <c r="O549" s="161"/>
      <c r="P549" s="118"/>
      <c r="Q549" s="118"/>
      <c r="R549" s="117"/>
      <c r="S549" s="117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  <c r="AL549" s="118"/>
      <c r="AM549" s="118"/>
      <c r="AN549" s="118"/>
      <c r="AO549" s="118"/>
      <c r="AP549" s="118"/>
      <c r="AQ549" s="118"/>
      <c r="AR549" s="118"/>
      <c r="AS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64"/>
      <c r="O550" s="161"/>
      <c r="P550" s="118"/>
      <c r="Q550" s="118"/>
      <c r="R550" s="117"/>
      <c r="S550" s="117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8"/>
      <c r="AM550" s="118"/>
      <c r="AN550" s="118"/>
      <c r="AO550" s="118"/>
      <c r="AP550" s="118"/>
      <c r="AQ550" s="118"/>
      <c r="AR550" s="118"/>
      <c r="AS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64"/>
      <c r="O551" s="161"/>
      <c r="P551" s="118"/>
      <c r="Q551" s="118"/>
      <c r="R551" s="117"/>
      <c r="S551" s="117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64"/>
      <c r="O552" s="161"/>
      <c r="P552" s="118"/>
      <c r="Q552" s="118"/>
      <c r="R552" s="117"/>
      <c r="S552" s="117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8"/>
      <c r="AM552" s="118"/>
      <c r="AN552" s="118"/>
      <c r="AO552" s="118"/>
      <c r="AP552" s="118"/>
      <c r="AQ552" s="118"/>
      <c r="AR552" s="118"/>
      <c r="AS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64"/>
      <c r="O553" s="161"/>
      <c r="P553" s="118"/>
      <c r="Q553" s="118"/>
      <c r="R553" s="117"/>
      <c r="S553" s="117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  <c r="AL553" s="118"/>
      <c r="AM553" s="118"/>
      <c r="AN553" s="118"/>
      <c r="AO553" s="118"/>
      <c r="AP553" s="118"/>
      <c r="AQ553" s="118"/>
      <c r="AR553" s="118"/>
      <c r="AS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64"/>
      <c r="O554" s="161"/>
      <c r="P554" s="118"/>
      <c r="Q554" s="118"/>
      <c r="R554" s="117"/>
      <c r="S554" s="117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  <c r="AL554" s="118"/>
      <c r="AM554" s="118"/>
      <c r="AN554" s="118"/>
      <c r="AO554" s="118"/>
      <c r="AP554" s="118"/>
      <c r="AQ554" s="118"/>
      <c r="AR554" s="118"/>
      <c r="AS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64"/>
      <c r="O555" s="161"/>
      <c r="P555" s="118"/>
      <c r="Q555" s="118"/>
      <c r="R555" s="117"/>
      <c r="S555" s="117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  <c r="AL555" s="118"/>
      <c r="AM555" s="118"/>
      <c r="AN555" s="118"/>
      <c r="AO555" s="118"/>
      <c r="AP555" s="118"/>
      <c r="AQ555" s="118"/>
      <c r="AR555" s="118"/>
      <c r="AS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64"/>
      <c r="O556" s="161"/>
      <c r="P556" s="118"/>
      <c r="Q556" s="118"/>
      <c r="R556" s="117"/>
      <c r="S556" s="117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8"/>
      <c r="AN556" s="118"/>
      <c r="AO556" s="118"/>
      <c r="AP556" s="118"/>
      <c r="AQ556" s="118"/>
      <c r="AR556" s="118"/>
      <c r="AS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64"/>
      <c r="O557" s="161"/>
      <c r="P557" s="118"/>
      <c r="Q557" s="118"/>
      <c r="R557" s="117"/>
      <c r="S557" s="117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  <c r="AL557" s="118"/>
      <c r="AM557" s="118"/>
      <c r="AN557" s="118"/>
      <c r="AO557" s="118"/>
      <c r="AP557" s="118"/>
      <c r="AQ557" s="118"/>
      <c r="AR557" s="118"/>
      <c r="AS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64"/>
      <c r="O558" s="161"/>
      <c r="P558" s="118"/>
      <c r="Q558" s="118"/>
      <c r="R558" s="117"/>
      <c r="S558" s="117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  <c r="AL558" s="118"/>
      <c r="AM558" s="118"/>
      <c r="AN558" s="118"/>
      <c r="AO558" s="118"/>
      <c r="AP558" s="118"/>
      <c r="AQ558" s="118"/>
      <c r="AR558" s="118"/>
      <c r="AS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64"/>
      <c r="O559" s="161"/>
      <c r="P559" s="118"/>
      <c r="Q559" s="118"/>
      <c r="R559" s="117"/>
      <c r="S559" s="117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  <c r="AL559" s="118"/>
      <c r="AM559" s="118"/>
      <c r="AN559" s="118"/>
      <c r="AO559" s="118"/>
      <c r="AP559" s="118"/>
      <c r="AQ559" s="118"/>
      <c r="AR559" s="118"/>
      <c r="AS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64"/>
      <c r="O560" s="161"/>
      <c r="P560" s="118"/>
      <c r="Q560" s="118"/>
      <c r="R560" s="117"/>
      <c r="S560" s="117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  <c r="AI560" s="118"/>
      <c r="AJ560" s="118"/>
      <c r="AK560" s="118"/>
      <c r="AL560" s="118"/>
      <c r="AM560" s="118"/>
      <c r="AN560" s="118"/>
      <c r="AO560" s="118"/>
      <c r="AP560" s="118"/>
      <c r="AQ560" s="118"/>
      <c r="AR560" s="118"/>
      <c r="AS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64"/>
      <c r="O561" s="161"/>
      <c r="P561" s="118"/>
      <c r="Q561" s="118"/>
      <c r="R561" s="117"/>
      <c r="S561" s="117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  <c r="AI561" s="118"/>
      <c r="AJ561" s="118"/>
      <c r="AK561" s="118"/>
      <c r="AL561" s="118"/>
      <c r="AM561" s="118"/>
      <c r="AN561" s="118"/>
      <c r="AO561" s="118"/>
      <c r="AP561" s="118"/>
      <c r="AQ561" s="118"/>
      <c r="AR561" s="118"/>
      <c r="AS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64"/>
      <c r="O562" s="161"/>
      <c r="P562" s="118"/>
      <c r="Q562" s="118"/>
      <c r="R562" s="117"/>
      <c r="S562" s="117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  <c r="AI562" s="118"/>
      <c r="AJ562" s="118"/>
      <c r="AK562" s="118"/>
      <c r="AL562" s="118"/>
      <c r="AM562" s="118"/>
      <c r="AN562" s="118"/>
      <c r="AO562" s="118"/>
      <c r="AP562" s="118"/>
      <c r="AQ562" s="118"/>
      <c r="AR562" s="118"/>
      <c r="AS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64"/>
      <c r="O563" s="161"/>
      <c r="P563" s="118"/>
      <c r="Q563" s="118"/>
      <c r="R563" s="117"/>
      <c r="S563" s="117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  <c r="AI563" s="118"/>
      <c r="AJ563" s="118"/>
      <c r="AK563" s="118"/>
      <c r="AL563" s="118"/>
      <c r="AM563" s="118"/>
      <c r="AN563" s="118"/>
      <c r="AO563" s="118"/>
      <c r="AP563" s="118"/>
      <c r="AQ563" s="118"/>
      <c r="AR563" s="118"/>
      <c r="AS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64"/>
      <c r="O564" s="161"/>
      <c r="P564" s="118"/>
      <c r="Q564" s="118"/>
      <c r="R564" s="117"/>
      <c r="S564" s="117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64"/>
      <c r="O565" s="161"/>
      <c r="P565" s="118"/>
      <c r="Q565" s="118"/>
      <c r="R565" s="117"/>
      <c r="S565" s="117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  <c r="AI565" s="118"/>
      <c r="AJ565" s="118"/>
      <c r="AK565" s="118"/>
      <c r="AL565" s="118"/>
      <c r="AM565" s="118"/>
      <c r="AN565" s="118"/>
      <c r="AO565" s="118"/>
      <c r="AP565" s="118"/>
      <c r="AQ565" s="118"/>
      <c r="AR565" s="118"/>
      <c r="AS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64"/>
      <c r="O566" s="161"/>
      <c r="P566" s="118"/>
      <c r="Q566" s="118"/>
      <c r="R566" s="117"/>
      <c r="S566" s="117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  <c r="AI566" s="118"/>
      <c r="AJ566" s="118"/>
      <c r="AK566" s="118"/>
      <c r="AL566" s="118"/>
      <c r="AM566" s="118"/>
      <c r="AN566" s="118"/>
      <c r="AO566" s="118"/>
      <c r="AP566" s="118"/>
      <c r="AQ566" s="118"/>
      <c r="AR566" s="118"/>
      <c r="AS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64"/>
      <c r="O567" s="161"/>
      <c r="P567" s="118"/>
      <c r="Q567" s="118"/>
      <c r="R567" s="117"/>
      <c r="S567" s="117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  <c r="AI567" s="118"/>
      <c r="AJ567" s="118"/>
      <c r="AK567" s="118"/>
      <c r="AL567" s="118"/>
      <c r="AM567" s="118"/>
      <c r="AN567" s="118"/>
      <c r="AO567" s="118"/>
      <c r="AP567" s="118"/>
      <c r="AQ567" s="118"/>
      <c r="AR567" s="118"/>
      <c r="AS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64"/>
      <c r="O568" s="161"/>
      <c r="P568" s="118"/>
      <c r="Q568" s="118"/>
      <c r="R568" s="117"/>
      <c r="S568" s="117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  <c r="AI568" s="118"/>
      <c r="AJ568" s="118"/>
      <c r="AK568" s="118"/>
      <c r="AL568" s="118"/>
      <c r="AM568" s="118"/>
      <c r="AN568" s="118"/>
      <c r="AO568" s="118"/>
      <c r="AP568" s="118"/>
      <c r="AQ568" s="118"/>
      <c r="AR568" s="118"/>
      <c r="AS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64"/>
      <c r="O569" s="161"/>
      <c r="P569" s="118"/>
      <c r="Q569" s="118"/>
      <c r="R569" s="117"/>
      <c r="S569" s="117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  <c r="AI569" s="118"/>
      <c r="AJ569" s="118"/>
      <c r="AK569" s="118"/>
      <c r="AL569" s="118"/>
      <c r="AM569" s="118"/>
      <c r="AN569" s="118"/>
      <c r="AO569" s="118"/>
      <c r="AP569" s="118"/>
      <c r="AQ569" s="118"/>
      <c r="AR569" s="118"/>
      <c r="AS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64"/>
      <c r="O570" s="161"/>
      <c r="P570" s="118"/>
      <c r="Q570" s="118"/>
      <c r="R570" s="117"/>
      <c r="S570" s="117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  <c r="AI570" s="118"/>
      <c r="AJ570" s="118"/>
      <c r="AK570" s="118"/>
      <c r="AL570" s="118"/>
      <c r="AM570" s="118"/>
      <c r="AN570" s="118"/>
      <c r="AO570" s="118"/>
      <c r="AP570" s="118"/>
      <c r="AQ570" s="118"/>
      <c r="AR570" s="118"/>
      <c r="AS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64"/>
      <c r="O571" s="161"/>
      <c r="P571" s="118"/>
      <c r="Q571" s="118"/>
      <c r="R571" s="117"/>
      <c r="S571" s="117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  <c r="AI571" s="118"/>
      <c r="AJ571" s="118"/>
      <c r="AK571" s="118"/>
      <c r="AL571" s="118"/>
      <c r="AM571" s="118"/>
      <c r="AN571" s="118"/>
      <c r="AO571" s="118"/>
      <c r="AP571" s="118"/>
      <c r="AQ571" s="118"/>
      <c r="AR571" s="118"/>
      <c r="AS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64"/>
      <c r="O572" s="161"/>
      <c r="P572" s="118"/>
      <c r="Q572" s="118"/>
      <c r="R572" s="117"/>
      <c r="S572" s="117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  <c r="AI572" s="118"/>
      <c r="AJ572" s="118"/>
      <c r="AK572" s="118"/>
      <c r="AL572" s="118"/>
      <c r="AM572" s="118"/>
      <c r="AN572" s="118"/>
      <c r="AO572" s="118"/>
      <c r="AP572" s="118"/>
      <c r="AQ572" s="118"/>
      <c r="AR572" s="118"/>
      <c r="AS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64"/>
      <c r="O573" s="161"/>
      <c r="P573" s="118"/>
      <c r="Q573" s="118"/>
      <c r="R573" s="117"/>
      <c r="S573" s="117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  <c r="AI573" s="118"/>
      <c r="AJ573" s="118"/>
      <c r="AK573" s="118"/>
      <c r="AL573" s="118"/>
      <c r="AM573" s="118"/>
      <c r="AN573" s="118"/>
      <c r="AO573" s="118"/>
      <c r="AP573" s="118"/>
      <c r="AQ573" s="118"/>
      <c r="AR573" s="118"/>
      <c r="AS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64"/>
      <c r="O574" s="161"/>
      <c r="P574" s="118"/>
      <c r="Q574" s="118"/>
      <c r="R574" s="117"/>
      <c r="S574" s="117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  <c r="AL574" s="118"/>
      <c r="AM574" s="118"/>
      <c r="AN574" s="118"/>
      <c r="AO574" s="118"/>
      <c r="AP574" s="118"/>
      <c r="AQ574" s="118"/>
      <c r="AR574" s="118"/>
      <c r="AS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64"/>
      <c r="O575" s="161"/>
      <c r="P575" s="118"/>
      <c r="Q575" s="118"/>
      <c r="R575" s="117"/>
      <c r="S575" s="117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  <c r="AL575" s="118"/>
      <c r="AM575" s="118"/>
      <c r="AN575" s="118"/>
      <c r="AO575" s="118"/>
      <c r="AP575" s="118"/>
      <c r="AQ575" s="118"/>
      <c r="AR575" s="118"/>
      <c r="AS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64"/>
      <c r="O576" s="161"/>
      <c r="P576" s="118"/>
      <c r="Q576" s="118"/>
      <c r="R576" s="117"/>
      <c r="S576" s="117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  <c r="AL576" s="118"/>
      <c r="AM576" s="118"/>
      <c r="AN576" s="118"/>
      <c r="AO576" s="118"/>
      <c r="AP576" s="118"/>
      <c r="AQ576" s="118"/>
      <c r="AR576" s="118"/>
      <c r="AS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64"/>
      <c r="O577" s="161"/>
      <c r="P577" s="118"/>
      <c r="Q577" s="118"/>
      <c r="R577" s="117"/>
      <c r="S577" s="117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  <c r="AI577" s="118"/>
      <c r="AJ577" s="118"/>
      <c r="AK577" s="118"/>
      <c r="AL577" s="118"/>
      <c r="AM577" s="118"/>
      <c r="AN577" s="118"/>
      <c r="AO577" s="118"/>
      <c r="AP577" s="118"/>
      <c r="AQ577" s="118"/>
      <c r="AR577" s="118"/>
      <c r="AS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64"/>
      <c r="O578" s="161"/>
      <c r="P578" s="118"/>
      <c r="Q578" s="118"/>
      <c r="R578" s="117"/>
      <c r="S578" s="117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64"/>
      <c r="O579" s="161"/>
      <c r="P579" s="118"/>
      <c r="Q579" s="118"/>
      <c r="R579" s="117"/>
      <c r="S579" s="117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  <c r="AI579" s="118"/>
      <c r="AJ579" s="118"/>
      <c r="AK579" s="118"/>
      <c r="AL579" s="118"/>
      <c r="AM579" s="118"/>
      <c r="AN579" s="118"/>
      <c r="AO579" s="118"/>
      <c r="AP579" s="118"/>
      <c r="AQ579" s="118"/>
      <c r="AR579" s="118"/>
      <c r="AS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64"/>
      <c r="O580" s="161"/>
      <c r="P580" s="118"/>
      <c r="Q580" s="118"/>
      <c r="R580" s="117"/>
      <c r="S580" s="117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  <c r="AI580" s="118"/>
      <c r="AJ580" s="118"/>
      <c r="AK580" s="118"/>
      <c r="AL580" s="118"/>
      <c r="AM580" s="118"/>
      <c r="AN580" s="118"/>
      <c r="AO580" s="118"/>
      <c r="AP580" s="118"/>
      <c r="AQ580" s="118"/>
      <c r="AR580" s="118"/>
      <c r="AS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64"/>
      <c r="O581" s="161"/>
      <c r="P581" s="118"/>
      <c r="Q581" s="118"/>
      <c r="R581" s="117"/>
      <c r="S581" s="117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118"/>
      <c r="AN581" s="118"/>
      <c r="AO581" s="118"/>
      <c r="AP581" s="118"/>
      <c r="AQ581" s="118"/>
      <c r="AR581" s="118"/>
      <c r="AS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64"/>
      <c r="O582" s="161"/>
      <c r="P582" s="118"/>
      <c r="Q582" s="118"/>
      <c r="R582" s="117"/>
      <c r="S582" s="117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118"/>
      <c r="AN582" s="118"/>
      <c r="AO582" s="118"/>
      <c r="AP582" s="118"/>
      <c r="AQ582" s="118"/>
      <c r="AR582" s="118"/>
      <c r="AS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64"/>
      <c r="O583" s="161"/>
      <c r="P583" s="118"/>
      <c r="Q583" s="118"/>
      <c r="R583" s="117"/>
      <c r="S583" s="117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  <c r="AL583" s="118"/>
      <c r="AM583" s="118"/>
      <c r="AN583" s="118"/>
      <c r="AO583" s="118"/>
      <c r="AP583" s="118"/>
      <c r="AQ583" s="118"/>
      <c r="AR583" s="118"/>
      <c r="AS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64"/>
      <c r="O584" s="161"/>
      <c r="P584" s="118"/>
      <c r="Q584" s="118"/>
      <c r="R584" s="117"/>
      <c r="S584" s="117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  <c r="AL584" s="118"/>
      <c r="AM584" s="118"/>
      <c r="AN584" s="118"/>
      <c r="AO584" s="118"/>
      <c r="AP584" s="118"/>
      <c r="AQ584" s="118"/>
      <c r="AR584" s="118"/>
      <c r="AS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64"/>
      <c r="O585" s="161"/>
      <c r="P585" s="118"/>
      <c r="Q585" s="118"/>
      <c r="R585" s="117"/>
      <c r="S585" s="117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  <c r="AL585" s="118"/>
      <c r="AM585" s="118"/>
      <c r="AN585" s="118"/>
      <c r="AO585" s="118"/>
      <c r="AP585" s="118"/>
      <c r="AQ585" s="118"/>
      <c r="AR585" s="118"/>
      <c r="AS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64"/>
      <c r="O586" s="161"/>
      <c r="P586" s="118"/>
      <c r="Q586" s="118"/>
      <c r="R586" s="117"/>
      <c r="S586" s="117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64"/>
      <c r="O587" s="161"/>
      <c r="P587" s="118"/>
      <c r="Q587" s="118"/>
      <c r="R587" s="117"/>
      <c r="S587" s="117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  <c r="AL587" s="118"/>
      <c r="AM587" s="118"/>
      <c r="AN587" s="118"/>
      <c r="AO587" s="118"/>
      <c r="AP587" s="118"/>
      <c r="AQ587" s="118"/>
      <c r="AR587" s="118"/>
      <c r="AS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64"/>
      <c r="O588" s="161"/>
      <c r="P588" s="118"/>
      <c r="Q588" s="118"/>
      <c r="R588" s="117"/>
      <c r="S588" s="117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118"/>
      <c r="AN588" s="118"/>
      <c r="AO588" s="118"/>
      <c r="AP588" s="118"/>
      <c r="AQ588" s="118"/>
      <c r="AR588" s="118"/>
      <c r="AS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64"/>
      <c r="O589" s="161"/>
      <c r="P589" s="118"/>
      <c r="Q589" s="118"/>
      <c r="R589" s="117"/>
      <c r="S589" s="117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  <c r="AL589" s="118"/>
      <c r="AM589" s="118"/>
      <c r="AN589" s="118"/>
      <c r="AO589" s="118"/>
      <c r="AP589" s="118"/>
      <c r="AQ589" s="118"/>
      <c r="AR589" s="118"/>
      <c r="AS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64"/>
      <c r="O590" s="161"/>
      <c r="P590" s="118"/>
      <c r="Q590" s="118"/>
      <c r="R590" s="117"/>
      <c r="S590" s="117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  <c r="AL590" s="118"/>
      <c r="AM590" s="118"/>
      <c r="AN590" s="118"/>
      <c r="AO590" s="118"/>
      <c r="AP590" s="118"/>
      <c r="AQ590" s="118"/>
      <c r="AR590" s="118"/>
      <c r="AS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64"/>
      <c r="O591" s="161"/>
      <c r="P591" s="118"/>
      <c r="Q591" s="118"/>
      <c r="R591" s="117"/>
      <c r="S591" s="117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  <c r="AL591" s="118"/>
      <c r="AM591" s="118"/>
      <c r="AN591" s="118"/>
      <c r="AO591" s="118"/>
      <c r="AP591" s="118"/>
      <c r="AQ591" s="118"/>
      <c r="AR591" s="118"/>
      <c r="AS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64"/>
      <c r="O592" s="161"/>
      <c r="P592" s="118"/>
      <c r="Q592" s="118"/>
      <c r="R592" s="117"/>
      <c r="S592" s="117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  <c r="AL592" s="118"/>
      <c r="AM592" s="118"/>
      <c r="AN592" s="118"/>
      <c r="AO592" s="118"/>
      <c r="AP592" s="118"/>
      <c r="AQ592" s="118"/>
      <c r="AR592" s="118"/>
      <c r="AS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64"/>
      <c r="O593" s="161"/>
      <c r="P593" s="118"/>
      <c r="Q593" s="118"/>
      <c r="R593" s="117"/>
      <c r="S593" s="117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  <c r="AL593" s="118"/>
      <c r="AM593" s="118"/>
      <c r="AN593" s="118"/>
      <c r="AO593" s="118"/>
      <c r="AP593" s="118"/>
      <c r="AQ593" s="118"/>
      <c r="AR593" s="118"/>
      <c r="AS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64"/>
      <c r="O594" s="161"/>
      <c r="P594" s="118"/>
      <c r="Q594" s="118"/>
      <c r="R594" s="117"/>
      <c r="S594" s="117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8"/>
      <c r="AN594" s="118"/>
      <c r="AO594" s="118"/>
      <c r="AP594" s="118"/>
      <c r="AQ594" s="118"/>
      <c r="AR594" s="118"/>
      <c r="AS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64"/>
      <c r="O595" s="161"/>
      <c r="P595" s="118"/>
      <c r="Q595" s="118"/>
      <c r="R595" s="117"/>
      <c r="S595" s="117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  <c r="AL595" s="118"/>
      <c r="AM595" s="118"/>
      <c r="AN595" s="118"/>
      <c r="AO595" s="118"/>
      <c r="AP595" s="118"/>
      <c r="AQ595" s="118"/>
      <c r="AR595" s="118"/>
      <c r="AS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64"/>
      <c r="O596" s="161"/>
      <c r="P596" s="118"/>
      <c r="Q596" s="118"/>
      <c r="R596" s="117"/>
      <c r="S596" s="117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  <c r="AL596" s="118"/>
      <c r="AM596" s="118"/>
      <c r="AN596" s="118"/>
      <c r="AO596" s="118"/>
      <c r="AP596" s="118"/>
      <c r="AQ596" s="118"/>
      <c r="AR596" s="118"/>
      <c r="AS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64"/>
      <c r="O597" s="161"/>
      <c r="P597" s="118"/>
      <c r="Q597" s="118"/>
      <c r="R597" s="117"/>
      <c r="S597" s="117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  <c r="AL597" s="118"/>
      <c r="AM597" s="118"/>
      <c r="AN597" s="118"/>
      <c r="AO597" s="118"/>
      <c r="AP597" s="118"/>
      <c r="AQ597" s="118"/>
      <c r="AR597" s="118"/>
      <c r="AS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64"/>
      <c r="O598" s="161"/>
      <c r="P598" s="118"/>
      <c r="Q598" s="118"/>
      <c r="R598" s="117"/>
      <c r="S598" s="117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  <c r="AL598" s="118"/>
      <c r="AM598" s="118"/>
      <c r="AN598" s="118"/>
      <c r="AO598" s="118"/>
      <c r="AP598" s="118"/>
      <c r="AQ598" s="118"/>
      <c r="AR598" s="118"/>
      <c r="AS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64"/>
      <c r="O599" s="161"/>
      <c r="P599" s="118"/>
      <c r="Q599" s="118"/>
      <c r="R599" s="117"/>
      <c r="S599" s="117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18"/>
      <c r="AS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64"/>
      <c r="O600" s="161"/>
      <c r="P600" s="118"/>
      <c r="Q600" s="118"/>
      <c r="R600" s="117"/>
      <c r="S600" s="117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18"/>
      <c r="AS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64"/>
      <c r="O601" s="161"/>
      <c r="P601" s="118"/>
      <c r="Q601" s="118"/>
      <c r="R601" s="117"/>
      <c r="S601" s="117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18"/>
      <c r="AS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64"/>
      <c r="O602" s="161"/>
      <c r="P602" s="118"/>
      <c r="Q602" s="118"/>
      <c r="R602" s="117"/>
      <c r="S602" s="117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18"/>
      <c r="AS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64"/>
      <c r="O603" s="161"/>
      <c r="P603" s="118"/>
      <c r="Q603" s="118"/>
      <c r="R603" s="117"/>
      <c r="S603" s="117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18"/>
      <c r="AS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64"/>
      <c r="O604" s="161"/>
      <c r="P604" s="118"/>
      <c r="Q604" s="118"/>
      <c r="R604" s="117"/>
      <c r="S604" s="117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64"/>
      <c r="O605" s="161"/>
      <c r="P605" s="118"/>
      <c r="Q605" s="118"/>
      <c r="R605" s="117"/>
      <c r="S605" s="117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18"/>
      <c r="AS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64"/>
      <c r="O606" s="161"/>
      <c r="P606" s="118"/>
      <c r="Q606" s="118"/>
      <c r="R606" s="117"/>
      <c r="S606" s="117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18"/>
      <c r="AS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64"/>
      <c r="O607" s="161"/>
      <c r="P607" s="118"/>
      <c r="Q607" s="118"/>
      <c r="R607" s="117"/>
      <c r="S607" s="117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18"/>
      <c r="AS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64"/>
      <c r="O608" s="161"/>
      <c r="P608" s="118"/>
      <c r="Q608" s="118"/>
      <c r="R608" s="117"/>
      <c r="S608" s="117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  <c r="AI608" s="118"/>
      <c r="AJ608" s="118"/>
      <c r="AK608" s="118"/>
      <c r="AL608" s="118"/>
      <c r="AM608" s="118"/>
      <c r="AN608" s="118"/>
      <c r="AO608" s="118"/>
      <c r="AP608" s="118"/>
      <c r="AQ608" s="118"/>
      <c r="AR608" s="118"/>
      <c r="AS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64"/>
      <c r="O609" s="161"/>
      <c r="P609" s="118"/>
      <c r="Q609" s="118"/>
      <c r="R609" s="117"/>
      <c r="S609" s="117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  <c r="AI609" s="118"/>
      <c r="AJ609" s="118"/>
      <c r="AK609" s="118"/>
      <c r="AL609" s="118"/>
      <c r="AM609" s="118"/>
      <c r="AN609" s="118"/>
      <c r="AO609" s="118"/>
      <c r="AP609" s="118"/>
      <c r="AQ609" s="118"/>
      <c r="AR609" s="118"/>
      <c r="AS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64"/>
      <c r="O610" s="161"/>
      <c r="P610" s="118"/>
      <c r="Q610" s="118"/>
      <c r="R610" s="117"/>
      <c r="S610" s="117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  <c r="AI610" s="118"/>
      <c r="AJ610" s="118"/>
      <c r="AK610" s="118"/>
      <c r="AL610" s="118"/>
      <c r="AM610" s="118"/>
      <c r="AN610" s="118"/>
      <c r="AO610" s="118"/>
      <c r="AP610" s="118"/>
      <c r="AQ610" s="118"/>
      <c r="AR610" s="118"/>
      <c r="AS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64"/>
      <c r="O611" s="161"/>
      <c r="P611" s="118"/>
      <c r="Q611" s="118"/>
      <c r="R611" s="117"/>
      <c r="S611" s="117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  <c r="AI611" s="118"/>
      <c r="AJ611" s="118"/>
      <c r="AK611" s="118"/>
      <c r="AL611" s="118"/>
      <c r="AM611" s="118"/>
      <c r="AN611" s="118"/>
      <c r="AO611" s="118"/>
      <c r="AP611" s="118"/>
      <c r="AQ611" s="118"/>
      <c r="AR611" s="118"/>
      <c r="AS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64"/>
      <c r="O612" s="161"/>
      <c r="P612" s="118"/>
      <c r="Q612" s="118"/>
      <c r="R612" s="117"/>
      <c r="S612" s="117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  <c r="AI612" s="118"/>
      <c r="AJ612" s="118"/>
      <c r="AK612" s="118"/>
      <c r="AL612" s="118"/>
      <c r="AM612" s="118"/>
      <c r="AN612" s="118"/>
      <c r="AO612" s="118"/>
      <c r="AP612" s="118"/>
      <c r="AQ612" s="118"/>
      <c r="AR612" s="118"/>
      <c r="AS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64"/>
      <c r="O613" s="161"/>
      <c r="P613" s="118"/>
      <c r="Q613" s="118"/>
      <c r="R613" s="117"/>
      <c r="S613" s="117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  <c r="AI613" s="118"/>
      <c r="AJ613" s="118"/>
      <c r="AK613" s="118"/>
      <c r="AL613" s="118"/>
      <c r="AM613" s="118"/>
      <c r="AN613" s="118"/>
      <c r="AO613" s="118"/>
      <c r="AP613" s="118"/>
      <c r="AQ613" s="118"/>
      <c r="AR613" s="118"/>
      <c r="AS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64"/>
      <c r="O614" s="161"/>
      <c r="P614" s="118"/>
      <c r="Q614" s="118"/>
      <c r="R614" s="117"/>
      <c r="S614" s="117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  <c r="AI614" s="118"/>
      <c r="AJ614" s="118"/>
      <c r="AK614" s="118"/>
      <c r="AL614" s="118"/>
      <c r="AM614" s="118"/>
      <c r="AN614" s="118"/>
      <c r="AO614" s="118"/>
      <c r="AP614" s="118"/>
      <c r="AQ614" s="118"/>
      <c r="AR614" s="118"/>
      <c r="AS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64"/>
      <c r="O615" s="161"/>
      <c r="P615" s="118"/>
      <c r="Q615" s="118"/>
      <c r="R615" s="117"/>
      <c r="S615" s="117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  <c r="AI615" s="118"/>
      <c r="AJ615" s="118"/>
      <c r="AK615" s="118"/>
      <c r="AL615" s="118"/>
      <c r="AM615" s="118"/>
      <c r="AN615" s="118"/>
      <c r="AO615" s="118"/>
      <c r="AP615" s="118"/>
      <c r="AQ615" s="118"/>
      <c r="AR615" s="118"/>
      <c r="AS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64"/>
      <c r="O616" s="161"/>
      <c r="P616" s="118"/>
      <c r="Q616" s="118"/>
      <c r="R616" s="117"/>
      <c r="S616" s="117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  <c r="AI616" s="118"/>
      <c r="AJ616" s="118"/>
      <c r="AK616" s="118"/>
      <c r="AL616" s="118"/>
      <c r="AM616" s="118"/>
      <c r="AN616" s="118"/>
      <c r="AO616" s="118"/>
      <c r="AP616" s="118"/>
      <c r="AQ616" s="118"/>
      <c r="AR616" s="118"/>
      <c r="AS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64"/>
      <c r="O617" s="161"/>
      <c r="P617" s="118"/>
      <c r="Q617" s="118"/>
      <c r="R617" s="117"/>
      <c r="S617" s="117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  <c r="AI617" s="118"/>
      <c r="AJ617" s="118"/>
      <c r="AK617" s="118"/>
      <c r="AL617" s="118"/>
      <c r="AM617" s="118"/>
      <c r="AN617" s="118"/>
      <c r="AO617" s="118"/>
      <c r="AP617" s="118"/>
      <c r="AQ617" s="118"/>
      <c r="AR617" s="118"/>
      <c r="AS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64"/>
      <c r="O618" s="161"/>
      <c r="P618" s="118"/>
      <c r="Q618" s="118"/>
      <c r="R618" s="117"/>
      <c r="S618" s="117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  <c r="AI618" s="118"/>
      <c r="AJ618" s="118"/>
      <c r="AK618" s="118"/>
      <c r="AL618" s="118"/>
      <c r="AM618" s="118"/>
      <c r="AN618" s="118"/>
      <c r="AO618" s="118"/>
      <c r="AP618" s="118"/>
      <c r="AQ618" s="118"/>
      <c r="AR618" s="118"/>
      <c r="AS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64"/>
      <c r="O619" s="161"/>
      <c r="P619" s="118"/>
      <c r="Q619" s="118"/>
      <c r="R619" s="117"/>
      <c r="S619" s="117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  <c r="AI619" s="118"/>
      <c r="AJ619" s="118"/>
      <c r="AK619" s="118"/>
      <c r="AL619" s="118"/>
      <c r="AM619" s="118"/>
      <c r="AN619" s="118"/>
      <c r="AO619" s="118"/>
      <c r="AP619" s="118"/>
      <c r="AQ619" s="118"/>
      <c r="AR619" s="118"/>
      <c r="AS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64"/>
      <c r="O620" s="161"/>
      <c r="P620" s="118"/>
      <c r="Q620" s="118"/>
      <c r="R620" s="117"/>
      <c r="S620" s="117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  <c r="AI620" s="118"/>
      <c r="AJ620" s="118"/>
      <c r="AK620" s="118"/>
      <c r="AL620" s="118"/>
      <c r="AM620" s="118"/>
      <c r="AN620" s="118"/>
      <c r="AO620" s="118"/>
      <c r="AP620" s="118"/>
      <c r="AQ620" s="118"/>
      <c r="AR620" s="118"/>
      <c r="AS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64"/>
      <c r="O621" s="161"/>
      <c r="P621" s="118"/>
      <c r="Q621" s="118"/>
      <c r="R621" s="117"/>
      <c r="S621" s="117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  <c r="AI621" s="118"/>
      <c r="AJ621" s="118"/>
      <c r="AK621" s="118"/>
      <c r="AL621" s="118"/>
      <c r="AM621" s="118"/>
      <c r="AN621" s="118"/>
      <c r="AO621" s="118"/>
      <c r="AP621" s="118"/>
      <c r="AQ621" s="118"/>
      <c r="AR621" s="118"/>
      <c r="AS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64"/>
      <c r="O622" s="161"/>
      <c r="P622" s="118"/>
      <c r="Q622" s="118"/>
      <c r="R622" s="117"/>
      <c r="S622" s="117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64"/>
      <c r="O623" s="161"/>
      <c r="P623" s="118"/>
      <c r="Q623" s="118"/>
      <c r="R623" s="117"/>
      <c r="S623" s="117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  <c r="AL623" s="118"/>
      <c r="AM623" s="118"/>
      <c r="AN623" s="118"/>
      <c r="AO623" s="118"/>
      <c r="AP623" s="118"/>
      <c r="AQ623" s="118"/>
      <c r="AR623" s="118"/>
      <c r="AS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64"/>
      <c r="O624" s="161"/>
      <c r="P624" s="118"/>
      <c r="Q624" s="118"/>
      <c r="R624" s="117"/>
      <c r="S624" s="117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  <c r="AL624" s="118"/>
      <c r="AM624" s="118"/>
      <c r="AN624" s="118"/>
      <c r="AO624" s="118"/>
      <c r="AP624" s="118"/>
      <c r="AQ624" s="118"/>
      <c r="AR624" s="118"/>
      <c r="AS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64"/>
      <c r="O625" s="161"/>
      <c r="P625" s="118"/>
      <c r="Q625" s="118"/>
      <c r="R625" s="117"/>
      <c r="S625" s="117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  <c r="AI625" s="118"/>
      <c r="AJ625" s="118"/>
      <c r="AK625" s="118"/>
      <c r="AL625" s="118"/>
      <c r="AM625" s="118"/>
      <c r="AN625" s="118"/>
      <c r="AO625" s="118"/>
      <c r="AP625" s="118"/>
      <c r="AQ625" s="118"/>
      <c r="AR625" s="118"/>
      <c r="AS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64"/>
      <c r="O626" s="161"/>
      <c r="P626" s="118"/>
      <c r="Q626" s="118"/>
      <c r="R626" s="117"/>
      <c r="S626" s="117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64"/>
      <c r="O627" s="161"/>
      <c r="P627" s="118"/>
      <c r="Q627" s="118"/>
      <c r="R627" s="117"/>
      <c r="S627" s="117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  <c r="AI627" s="118"/>
      <c r="AJ627" s="118"/>
      <c r="AK627" s="118"/>
      <c r="AL627" s="118"/>
      <c r="AM627" s="118"/>
      <c r="AN627" s="118"/>
      <c r="AO627" s="118"/>
      <c r="AP627" s="118"/>
      <c r="AQ627" s="118"/>
      <c r="AR627" s="118"/>
      <c r="AS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64"/>
      <c r="O628" s="161"/>
      <c r="P628" s="118"/>
      <c r="Q628" s="118"/>
      <c r="R628" s="117"/>
      <c r="S628" s="117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  <c r="AI628" s="118"/>
      <c r="AJ628" s="118"/>
      <c r="AK628" s="118"/>
      <c r="AL628" s="118"/>
      <c r="AM628" s="118"/>
      <c r="AN628" s="118"/>
      <c r="AO628" s="118"/>
      <c r="AP628" s="118"/>
      <c r="AQ628" s="118"/>
      <c r="AR628" s="118"/>
      <c r="AS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64"/>
      <c r="O629" s="161"/>
      <c r="P629" s="118"/>
      <c r="Q629" s="118"/>
      <c r="R629" s="117"/>
      <c r="S629" s="117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  <c r="AI629" s="118"/>
      <c r="AJ629" s="118"/>
      <c r="AK629" s="118"/>
      <c r="AL629" s="118"/>
      <c r="AM629" s="118"/>
      <c r="AN629" s="118"/>
      <c r="AO629" s="118"/>
      <c r="AP629" s="118"/>
      <c r="AQ629" s="118"/>
      <c r="AR629" s="118"/>
      <c r="AS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64"/>
      <c r="O630" s="161"/>
      <c r="P630" s="118"/>
      <c r="Q630" s="118"/>
      <c r="R630" s="117"/>
      <c r="S630" s="117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  <c r="AL630" s="118"/>
      <c r="AM630" s="118"/>
      <c r="AN630" s="118"/>
      <c r="AO630" s="118"/>
      <c r="AP630" s="118"/>
      <c r="AQ630" s="118"/>
      <c r="AR630" s="118"/>
      <c r="AS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64"/>
      <c r="O631" s="161"/>
      <c r="P631" s="118"/>
      <c r="Q631" s="118"/>
      <c r="R631" s="117"/>
      <c r="S631" s="117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  <c r="AL631" s="118"/>
      <c r="AM631" s="118"/>
      <c r="AN631" s="118"/>
      <c r="AO631" s="118"/>
      <c r="AP631" s="118"/>
      <c r="AQ631" s="118"/>
      <c r="AR631" s="118"/>
      <c r="AS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64"/>
      <c r="O632" s="161"/>
      <c r="P632" s="118"/>
      <c r="Q632" s="118"/>
      <c r="R632" s="117"/>
      <c r="S632" s="117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8"/>
      <c r="AN632" s="118"/>
      <c r="AO632" s="118"/>
      <c r="AP632" s="118"/>
      <c r="AQ632" s="118"/>
      <c r="AR632" s="118"/>
      <c r="AS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64"/>
      <c r="O633" s="161"/>
      <c r="P633" s="118"/>
      <c r="Q633" s="118"/>
      <c r="R633" s="117"/>
      <c r="S633" s="117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  <c r="AL633" s="118"/>
      <c r="AM633" s="118"/>
      <c r="AN633" s="118"/>
      <c r="AO633" s="118"/>
      <c r="AP633" s="118"/>
      <c r="AQ633" s="118"/>
      <c r="AR633" s="118"/>
      <c r="AS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64"/>
      <c r="O634" s="161"/>
      <c r="P634" s="118"/>
      <c r="Q634" s="118"/>
      <c r="R634" s="117"/>
      <c r="S634" s="117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  <c r="AL634" s="118"/>
      <c r="AM634" s="118"/>
      <c r="AN634" s="118"/>
      <c r="AO634" s="118"/>
      <c r="AP634" s="118"/>
      <c r="AQ634" s="118"/>
      <c r="AR634" s="118"/>
      <c r="AS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64"/>
      <c r="O635" s="161"/>
      <c r="P635" s="118"/>
      <c r="Q635" s="118"/>
      <c r="R635" s="117"/>
      <c r="S635" s="117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  <c r="AL635" s="118"/>
      <c r="AM635" s="118"/>
      <c r="AN635" s="118"/>
      <c r="AO635" s="118"/>
      <c r="AP635" s="118"/>
      <c r="AQ635" s="118"/>
      <c r="AR635" s="118"/>
      <c r="AS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64"/>
      <c r="O636" s="161"/>
      <c r="P636" s="118"/>
      <c r="Q636" s="118"/>
      <c r="R636" s="117"/>
      <c r="S636" s="117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  <c r="AL636" s="118"/>
      <c r="AM636" s="118"/>
      <c r="AN636" s="118"/>
      <c r="AO636" s="118"/>
      <c r="AP636" s="118"/>
      <c r="AQ636" s="118"/>
      <c r="AR636" s="118"/>
      <c r="AS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64"/>
      <c r="O637" s="161"/>
      <c r="P637" s="118"/>
      <c r="Q637" s="118"/>
      <c r="R637" s="117"/>
      <c r="S637" s="117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  <c r="AL637" s="118"/>
      <c r="AM637" s="118"/>
      <c r="AN637" s="118"/>
      <c r="AO637" s="118"/>
      <c r="AP637" s="118"/>
      <c r="AQ637" s="118"/>
      <c r="AR637" s="118"/>
      <c r="AS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64"/>
      <c r="O638" s="161"/>
      <c r="P638" s="118"/>
      <c r="Q638" s="118"/>
      <c r="R638" s="117"/>
      <c r="S638" s="117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  <c r="AL638" s="118"/>
      <c r="AM638" s="118"/>
      <c r="AN638" s="118"/>
      <c r="AO638" s="118"/>
      <c r="AP638" s="118"/>
      <c r="AQ638" s="118"/>
      <c r="AR638" s="118"/>
      <c r="AS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64"/>
      <c r="O639" s="161"/>
      <c r="P639" s="118"/>
      <c r="Q639" s="118"/>
      <c r="R639" s="117"/>
      <c r="S639" s="117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  <c r="AL639" s="118"/>
      <c r="AM639" s="118"/>
      <c r="AN639" s="118"/>
      <c r="AO639" s="118"/>
      <c r="AP639" s="118"/>
      <c r="AQ639" s="118"/>
      <c r="AR639" s="118"/>
      <c r="AS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64"/>
      <c r="O640" s="161"/>
      <c r="P640" s="118"/>
      <c r="Q640" s="118"/>
      <c r="R640" s="117"/>
      <c r="S640" s="117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64"/>
      <c r="O641" s="161"/>
      <c r="P641" s="118"/>
      <c r="Q641" s="118"/>
      <c r="R641" s="117"/>
      <c r="S641" s="117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  <c r="AL641" s="118"/>
      <c r="AM641" s="118"/>
      <c r="AN641" s="118"/>
      <c r="AO641" s="118"/>
      <c r="AP641" s="118"/>
      <c r="AQ641" s="118"/>
      <c r="AR641" s="118"/>
      <c r="AS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64"/>
      <c r="O642" s="161"/>
      <c r="P642" s="118"/>
      <c r="Q642" s="118"/>
      <c r="R642" s="117"/>
      <c r="S642" s="117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  <c r="AL642" s="118"/>
      <c r="AM642" s="118"/>
      <c r="AN642" s="118"/>
      <c r="AO642" s="118"/>
      <c r="AP642" s="118"/>
      <c r="AQ642" s="118"/>
      <c r="AR642" s="118"/>
      <c r="AS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64"/>
      <c r="O643" s="161"/>
      <c r="P643" s="118"/>
      <c r="Q643" s="118"/>
      <c r="R643" s="117"/>
      <c r="S643" s="117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  <c r="AL643" s="118"/>
      <c r="AM643" s="118"/>
      <c r="AN643" s="118"/>
      <c r="AO643" s="118"/>
      <c r="AP643" s="118"/>
      <c r="AQ643" s="118"/>
      <c r="AR643" s="118"/>
      <c r="AS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64"/>
      <c r="O644" s="161"/>
      <c r="P644" s="118"/>
      <c r="Q644" s="118"/>
      <c r="R644" s="117"/>
      <c r="S644" s="117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  <c r="AL644" s="118"/>
      <c r="AM644" s="118"/>
      <c r="AN644" s="118"/>
      <c r="AO644" s="118"/>
      <c r="AP644" s="118"/>
      <c r="AQ644" s="118"/>
      <c r="AR644" s="118"/>
      <c r="AS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64"/>
      <c r="O645" s="161"/>
      <c r="P645" s="118"/>
      <c r="Q645" s="118"/>
      <c r="R645" s="117"/>
      <c r="S645" s="117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  <c r="AL645" s="118"/>
      <c r="AM645" s="118"/>
      <c r="AN645" s="118"/>
      <c r="AO645" s="118"/>
      <c r="AP645" s="118"/>
      <c r="AQ645" s="118"/>
      <c r="AR645" s="118"/>
      <c r="AS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64"/>
      <c r="O646" s="161"/>
      <c r="P646" s="118"/>
      <c r="Q646" s="118"/>
      <c r="R646" s="117"/>
      <c r="S646" s="117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64"/>
      <c r="O647" s="161"/>
      <c r="P647" s="118"/>
      <c r="Q647" s="118"/>
      <c r="R647" s="117"/>
      <c r="S647" s="117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64"/>
      <c r="O648" s="161"/>
      <c r="P648" s="118"/>
      <c r="Q648" s="118"/>
      <c r="R648" s="117"/>
      <c r="S648" s="117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64"/>
      <c r="O649" s="161"/>
      <c r="P649" s="118"/>
      <c r="Q649" s="118"/>
      <c r="R649" s="117"/>
      <c r="S649" s="117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64"/>
      <c r="O650" s="161"/>
      <c r="P650" s="118"/>
      <c r="Q650" s="118"/>
      <c r="R650" s="117"/>
      <c r="S650" s="117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  <c r="AL650" s="118"/>
      <c r="AM650" s="118"/>
      <c r="AN650" s="118"/>
      <c r="AO650" s="118"/>
      <c r="AP650" s="118"/>
      <c r="AQ650" s="118"/>
      <c r="AR650" s="118"/>
      <c r="AS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64"/>
      <c r="O651" s="161"/>
      <c r="P651" s="118"/>
      <c r="Q651" s="118"/>
      <c r="R651" s="117"/>
      <c r="S651" s="117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  <c r="AL651" s="118"/>
      <c r="AM651" s="118"/>
      <c r="AN651" s="118"/>
      <c r="AO651" s="118"/>
      <c r="AP651" s="118"/>
      <c r="AQ651" s="118"/>
      <c r="AR651" s="118"/>
      <c r="AS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64"/>
      <c r="O652" s="161"/>
      <c r="P652" s="118"/>
      <c r="Q652" s="118"/>
      <c r="R652" s="117"/>
      <c r="S652" s="117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  <c r="AL652" s="118"/>
      <c r="AM652" s="118"/>
      <c r="AN652" s="118"/>
      <c r="AO652" s="118"/>
      <c r="AP652" s="118"/>
      <c r="AQ652" s="118"/>
      <c r="AR652" s="118"/>
      <c r="AS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64"/>
      <c r="O653" s="161"/>
      <c r="P653" s="118"/>
      <c r="Q653" s="118"/>
      <c r="R653" s="117"/>
      <c r="S653" s="117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  <c r="AL653" s="118"/>
      <c r="AM653" s="118"/>
      <c r="AN653" s="118"/>
      <c r="AO653" s="118"/>
      <c r="AP653" s="118"/>
      <c r="AQ653" s="118"/>
      <c r="AR653" s="118"/>
      <c r="AS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64"/>
      <c r="O654" s="161"/>
      <c r="P654" s="118"/>
      <c r="Q654" s="118"/>
      <c r="R654" s="117"/>
      <c r="S654" s="117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  <c r="AL654" s="118"/>
      <c r="AM654" s="118"/>
      <c r="AN654" s="118"/>
      <c r="AO654" s="118"/>
      <c r="AP654" s="118"/>
      <c r="AQ654" s="118"/>
      <c r="AR654" s="118"/>
      <c r="AS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64"/>
      <c r="O655" s="161"/>
      <c r="P655" s="118"/>
      <c r="Q655" s="118"/>
      <c r="R655" s="117"/>
      <c r="S655" s="117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  <c r="AL655" s="118"/>
      <c r="AM655" s="118"/>
      <c r="AN655" s="118"/>
      <c r="AO655" s="118"/>
      <c r="AP655" s="118"/>
      <c r="AQ655" s="118"/>
      <c r="AR655" s="118"/>
      <c r="AS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64"/>
      <c r="O656" s="161"/>
      <c r="P656" s="118"/>
      <c r="Q656" s="118"/>
      <c r="R656" s="117"/>
      <c r="S656" s="117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  <c r="AI656" s="118"/>
      <c r="AJ656" s="118"/>
      <c r="AK656" s="118"/>
      <c r="AL656" s="118"/>
      <c r="AM656" s="118"/>
      <c r="AN656" s="118"/>
      <c r="AO656" s="118"/>
      <c r="AP656" s="118"/>
      <c r="AQ656" s="118"/>
      <c r="AR656" s="118"/>
      <c r="AS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64"/>
      <c r="O657" s="161"/>
      <c r="P657" s="118"/>
      <c r="Q657" s="118"/>
      <c r="R657" s="117"/>
      <c r="S657" s="117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64"/>
      <c r="O658" s="161"/>
      <c r="P658" s="118"/>
      <c r="Q658" s="118"/>
      <c r="R658" s="117"/>
      <c r="S658" s="117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  <c r="AI658" s="118"/>
      <c r="AJ658" s="118"/>
      <c r="AK658" s="118"/>
      <c r="AL658" s="118"/>
      <c r="AM658" s="118"/>
      <c r="AN658" s="118"/>
      <c r="AO658" s="118"/>
      <c r="AP658" s="118"/>
      <c r="AQ658" s="118"/>
      <c r="AR658" s="118"/>
      <c r="AS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64"/>
      <c r="O659" s="161"/>
      <c r="P659" s="118"/>
      <c r="Q659" s="118"/>
      <c r="R659" s="117"/>
      <c r="S659" s="117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  <c r="AL659" s="118"/>
      <c r="AM659" s="118"/>
      <c r="AN659" s="118"/>
      <c r="AO659" s="118"/>
      <c r="AP659" s="118"/>
      <c r="AQ659" s="118"/>
      <c r="AR659" s="118"/>
      <c r="AS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64"/>
      <c r="O660" s="161"/>
      <c r="P660" s="118"/>
      <c r="Q660" s="118"/>
      <c r="R660" s="117"/>
      <c r="S660" s="117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  <c r="AL660" s="118"/>
      <c r="AM660" s="118"/>
      <c r="AN660" s="118"/>
      <c r="AO660" s="118"/>
      <c r="AP660" s="118"/>
      <c r="AQ660" s="118"/>
      <c r="AR660" s="118"/>
      <c r="AS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64"/>
      <c r="O661" s="161"/>
      <c r="P661" s="118"/>
      <c r="Q661" s="118"/>
      <c r="R661" s="117"/>
      <c r="S661" s="117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  <c r="AL661" s="118"/>
      <c r="AM661" s="118"/>
      <c r="AN661" s="118"/>
      <c r="AO661" s="118"/>
      <c r="AP661" s="118"/>
      <c r="AQ661" s="118"/>
      <c r="AR661" s="118"/>
      <c r="AS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64"/>
      <c r="O662" s="161"/>
      <c r="P662" s="118"/>
      <c r="Q662" s="118"/>
      <c r="R662" s="117"/>
      <c r="S662" s="117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  <c r="AL662" s="118"/>
      <c r="AM662" s="118"/>
      <c r="AN662" s="118"/>
      <c r="AO662" s="118"/>
      <c r="AP662" s="118"/>
      <c r="AQ662" s="118"/>
      <c r="AR662" s="118"/>
      <c r="AS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64"/>
      <c r="O663" s="161"/>
      <c r="P663" s="118"/>
      <c r="Q663" s="118"/>
      <c r="R663" s="117"/>
      <c r="S663" s="117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  <c r="AL663" s="118"/>
      <c r="AM663" s="118"/>
      <c r="AN663" s="118"/>
      <c r="AO663" s="118"/>
      <c r="AP663" s="118"/>
      <c r="AQ663" s="118"/>
      <c r="AR663" s="118"/>
      <c r="AS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64"/>
      <c r="O664" s="161"/>
      <c r="P664" s="118"/>
      <c r="Q664" s="118"/>
      <c r="R664" s="117"/>
      <c r="S664" s="117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  <c r="AL664" s="118"/>
      <c r="AM664" s="118"/>
      <c r="AN664" s="118"/>
      <c r="AO664" s="118"/>
      <c r="AP664" s="118"/>
      <c r="AQ664" s="118"/>
      <c r="AR664" s="118"/>
      <c r="AS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64"/>
      <c r="O665" s="161"/>
      <c r="P665" s="118"/>
      <c r="Q665" s="118"/>
      <c r="R665" s="117"/>
      <c r="S665" s="117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  <c r="AL665" s="118"/>
      <c r="AM665" s="118"/>
      <c r="AN665" s="118"/>
      <c r="AO665" s="118"/>
      <c r="AP665" s="118"/>
      <c r="AQ665" s="118"/>
      <c r="AR665" s="118"/>
      <c r="AS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64"/>
      <c r="O666" s="161"/>
      <c r="P666" s="118"/>
      <c r="Q666" s="118"/>
      <c r="R666" s="117"/>
      <c r="S666" s="117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  <c r="AL666" s="118"/>
      <c r="AM666" s="118"/>
      <c r="AN666" s="118"/>
      <c r="AO666" s="118"/>
      <c r="AP666" s="118"/>
      <c r="AQ666" s="118"/>
      <c r="AR666" s="118"/>
      <c r="AS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64"/>
      <c r="O667" s="161"/>
      <c r="P667" s="118"/>
      <c r="Q667" s="118"/>
      <c r="R667" s="117"/>
      <c r="S667" s="117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  <c r="AL667" s="118"/>
      <c r="AM667" s="118"/>
      <c r="AN667" s="118"/>
      <c r="AO667" s="118"/>
      <c r="AP667" s="118"/>
      <c r="AQ667" s="118"/>
      <c r="AR667" s="118"/>
      <c r="AS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64"/>
      <c r="O668" s="161"/>
      <c r="P668" s="118"/>
      <c r="Q668" s="118"/>
      <c r="R668" s="117"/>
      <c r="S668" s="117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  <c r="AL668" s="118"/>
      <c r="AM668" s="118"/>
      <c r="AN668" s="118"/>
      <c r="AO668" s="118"/>
      <c r="AP668" s="118"/>
      <c r="AQ668" s="118"/>
      <c r="AR668" s="118"/>
      <c r="AS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64"/>
      <c r="O669" s="161"/>
      <c r="P669" s="118"/>
      <c r="Q669" s="118"/>
      <c r="R669" s="117"/>
      <c r="S669" s="117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  <c r="AL669" s="118"/>
      <c r="AM669" s="118"/>
      <c r="AN669" s="118"/>
      <c r="AO669" s="118"/>
      <c r="AP669" s="118"/>
      <c r="AQ669" s="118"/>
      <c r="AR669" s="118"/>
      <c r="AS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64"/>
      <c r="O670" s="161"/>
      <c r="P670" s="118"/>
      <c r="Q670" s="118"/>
      <c r="R670" s="117"/>
      <c r="S670" s="117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8"/>
      <c r="AN670" s="118"/>
      <c r="AO670" s="118"/>
      <c r="AP670" s="118"/>
      <c r="AQ670" s="118"/>
      <c r="AR670" s="118"/>
      <c r="AS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64"/>
      <c r="O671" s="161"/>
      <c r="P671" s="118"/>
      <c r="Q671" s="118"/>
      <c r="R671" s="117"/>
      <c r="S671" s="117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  <c r="AL671" s="118"/>
      <c r="AM671" s="118"/>
      <c r="AN671" s="118"/>
      <c r="AO671" s="118"/>
      <c r="AP671" s="118"/>
      <c r="AQ671" s="118"/>
      <c r="AR671" s="118"/>
      <c r="AS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64"/>
      <c r="O672" s="161"/>
      <c r="P672" s="118"/>
      <c r="Q672" s="118"/>
      <c r="R672" s="117"/>
      <c r="S672" s="117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  <c r="AL672" s="118"/>
      <c r="AM672" s="118"/>
      <c r="AN672" s="118"/>
      <c r="AO672" s="118"/>
      <c r="AP672" s="118"/>
      <c r="AQ672" s="118"/>
      <c r="AR672" s="118"/>
      <c r="AS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64"/>
      <c r="O673" s="161"/>
      <c r="P673" s="118"/>
      <c r="Q673" s="118"/>
      <c r="R673" s="117"/>
      <c r="S673" s="117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  <c r="AL673" s="118"/>
      <c r="AM673" s="118"/>
      <c r="AN673" s="118"/>
      <c r="AO673" s="118"/>
      <c r="AP673" s="118"/>
      <c r="AQ673" s="118"/>
      <c r="AR673" s="118"/>
      <c r="AS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64"/>
      <c r="O674" s="161"/>
      <c r="P674" s="118"/>
      <c r="Q674" s="118"/>
      <c r="R674" s="117"/>
      <c r="S674" s="117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  <c r="AL674" s="118"/>
      <c r="AM674" s="118"/>
      <c r="AN674" s="118"/>
      <c r="AO674" s="118"/>
      <c r="AP674" s="118"/>
      <c r="AQ674" s="118"/>
      <c r="AR674" s="118"/>
      <c r="AS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64"/>
      <c r="O675" s="161"/>
      <c r="P675" s="118"/>
      <c r="Q675" s="118"/>
      <c r="R675" s="117"/>
      <c r="S675" s="117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  <c r="AL675" s="118"/>
      <c r="AM675" s="118"/>
      <c r="AN675" s="118"/>
      <c r="AO675" s="118"/>
      <c r="AP675" s="118"/>
      <c r="AQ675" s="118"/>
      <c r="AR675" s="118"/>
      <c r="AS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64"/>
      <c r="O676" s="161"/>
      <c r="P676" s="118"/>
      <c r="Q676" s="118"/>
      <c r="R676" s="117"/>
      <c r="S676" s="117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  <c r="AL676" s="118"/>
      <c r="AM676" s="118"/>
      <c r="AN676" s="118"/>
      <c r="AO676" s="118"/>
      <c r="AP676" s="118"/>
      <c r="AQ676" s="118"/>
      <c r="AR676" s="118"/>
      <c r="AS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64"/>
      <c r="O677" s="161"/>
      <c r="P677" s="118"/>
      <c r="Q677" s="118"/>
      <c r="R677" s="117"/>
      <c r="S677" s="117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  <c r="AL677" s="118"/>
      <c r="AM677" s="118"/>
      <c r="AN677" s="118"/>
      <c r="AO677" s="118"/>
      <c r="AP677" s="118"/>
      <c r="AQ677" s="118"/>
      <c r="AR677" s="118"/>
      <c r="AS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64"/>
      <c r="O678" s="161"/>
      <c r="P678" s="118"/>
      <c r="Q678" s="118"/>
      <c r="R678" s="117"/>
      <c r="S678" s="117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  <c r="AL678" s="118"/>
      <c r="AM678" s="118"/>
      <c r="AN678" s="118"/>
      <c r="AO678" s="118"/>
      <c r="AP678" s="118"/>
      <c r="AQ678" s="118"/>
      <c r="AR678" s="118"/>
      <c r="AS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64"/>
      <c r="O679" s="161"/>
      <c r="P679" s="118"/>
      <c r="Q679" s="118"/>
      <c r="R679" s="117"/>
      <c r="S679" s="117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  <c r="AL679" s="118"/>
      <c r="AM679" s="118"/>
      <c r="AN679" s="118"/>
      <c r="AO679" s="118"/>
      <c r="AP679" s="118"/>
      <c r="AQ679" s="118"/>
      <c r="AR679" s="118"/>
      <c r="AS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64"/>
      <c r="O680" s="161"/>
      <c r="P680" s="118"/>
      <c r="Q680" s="118"/>
      <c r="R680" s="117"/>
      <c r="S680" s="117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  <c r="AL680" s="118"/>
      <c r="AM680" s="118"/>
      <c r="AN680" s="118"/>
      <c r="AO680" s="118"/>
      <c r="AP680" s="118"/>
      <c r="AQ680" s="118"/>
      <c r="AR680" s="118"/>
      <c r="AS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64"/>
      <c r="O681" s="161"/>
      <c r="P681" s="118"/>
      <c r="Q681" s="118"/>
      <c r="R681" s="117"/>
      <c r="S681" s="117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  <c r="AL681" s="118"/>
      <c r="AM681" s="118"/>
      <c r="AN681" s="118"/>
      <c r="AO681" s="118"/>
      <c r="AP681" s="118"/>
      <c r="AQ681" s="118"/>
      <c r="AR681" s="118"/>
      <c r="AS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64"/>
      <c r="O682" s="161"/>
      <c r="P682" s="118"/>
      <c r="Q682" s="118"/>
      <c r="R682" s="117"/>
      <c r="S682" s="117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  <c r="AL682" s="118"/>
      <c r="AM682" s="118"/>
      <c r="AN682" s="118"/>
      <c r="AO682" s="118"/>
      <c r="AP682" s="118"/>
      <c r="AQ682" s="118"/>
      <c r="AR682" s="118"/>
      <c r="AS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64"/>
      <c r="O683" s="161"/>
      <c r="P683" s="118"/>
      <c r="Q683" s="118"/>
      <c r="R683" s="117"/>
      <c r="S683" s="117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  <c r="AL683" s="118"/>
      <c r="AM683" s="118"/>
      <c r="AN683" s="118"/>
      <c r="AO683" s="118"/>
      <c r="AP683" s="118"/>
      <c r="AQ683" s="118"/>
      <c r="AR683" s="118"/>
      <c r="AS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64"/>
      <c r="O684" s="161"/>
      <c r="P684" s="118"/>
      <c r="Q684" s="118"/>
      <c r="R684" s="117"/>
      <c r="S684" s="117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  <c r="AL684" s="118"/>
      <c r="AM684" s="118"/>
      <c r="AN684" s="118"/>
      <c r="AO684" s="118"/>
      <c r="AP684" s="118"/>
      <c r="AQ684" s="118"/>
      <c r="AR684" s="118"/>
      <c r="AS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64"/>
      <c r="O685" s="161"/>
      <c r="P685" s="118"/>
      <c r="Q685" s="118"/>
      <c r="R685" s="117"/>
      <c r="S685" s="117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  <c r="AL685" s="118"/>
      <c r="AM685" s="118"/>
      <c r="AN685" s="118"/>
      <c r="AO685" s="118"/>
      <c r="AP685" s="118"/>
      <c r="AQ685" s="118"/>
      <c r="AR685" s="118"/>
      <c r="AS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64"/>
      <c r="O686" s="161"/>
      <c r="P686" s="118"/>
      <c r="Q686" s="118"/>
      <c r="R686" s="117"/>
      <c r="S686" s="117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  <c r="AL686" s="118"/>
      <c r="AM686" s="118"/>
      <c r="AN686" s="118"/>
      <c r="AO686" s="118"/>
      <c r="AP686" s="118"/>
      <c r="AQ686" s="118"/>
      <c r="AR686" s="118"/>
      <c r="AS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64"/>
      <c r="O687" s="161"/>
      <c r="P687" s="118"/>
      <c r="Q687" s="118"/>
      <c r="R687" s="117"/>
      <c r="S687" s="117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  <c r="AL687" s="118"/>
      <c r="AM687" s="118"/>
      <c r="AN687" s="118"/>
      <c r="AO687" s="118"/>
      <c r="AP687" s="118"/>
      <c r="AQ687" s="118"/>
      <c r="AR687" s="118"/>
      <c r="AS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64"/>
      <c r="O688" s="161"/>
      <c r="P688" s="118"/>
      <c r="Q688" s="118"/>
      <c r="R688" s="117"/>
      <c r="S688" s="117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  <c r="AL688" s="118"/>
      <c r="AM688" s="118"/>
      <c r="AN688" s="118"/>
      <c r="AO688" s="118"/>
      <c r="AP688" s="118"/>
      <c r="AQ688" s="118"/>
      <c r="AR688" s="118"/>
      <c r="AS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64"/>
      <c r="O689" s="161"/>
      <c r="P689" s="118"/>
      <c r="Q689" s="118"/>
      <c r="R689" s="117"/>
      <c r="S689" s="117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  <c r="AL689" s="118"/>
      <c r="AM689" s="118"/>
      <c r="AN689" s="118"/>
      <c r="AO689" s="118"/>
      <c r="AP689" s="118"/>
      <c r="AQ689" s="118"/>
      <c r="AR689" s="118"/>
      <c r="AS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64"/>
      <c r="O690" s="161"/>
      <c r="P690" s="118"/>
      <c r="Q690" s="118"/>
      <c r="R690" s="117"/>
      <c r="S690" s="117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  <c r="AL690" s="118"/>
      <c r="AM690" s="118"/>
      <c r="AN690" s="118"/>
      <c r="AO690" s="118"/>
      <c r="AP690" s="118"/>
      <c r="AQ690" s="118"/>
      <c r="AR690" s="118"/>
      <c r="AS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64"/>
      <c r="O691" s="161"/>
      <c r="P691" s="118"/>
      <c r="Q691" s="118"/>
      <c r="R691" s="117"/>
      <c r="S691" s="117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  <c r="AL691" s="118"/>
      <c r="AM691" s="118"/>
      <c r="AN691" s="118"/>
      <c r="AO691" s="118"/>
      <c r="AP691" s="118"/>
      <c r="AQ691" s="118"/>
      <c r="AR691" s="118"/>
      <c r="AS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64"/>
      <c r="O692" s="161"/>
      <c r="P692" s="118"/>
      <c r="Q692" s="118"/>
      <c r="R692" s="117"/>
      <c r="S692" s="117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  <c r="AL692" s="118"/>
      <c r="AM692" s="118"/>
      <c r="AN692" s="118"/>
      <c r="AO692" s="118"/>
      <c r="AP692" s="118"/>
      <c r="AQ692" s="118"/>
      <c r="AR692" s="118"/>
      <c r="AS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64"/>
      <c r="O693" s="161"/>
      <c r="P693" s="118"/>
      <c r="Q693" s="118"/>
      <c r="R693" s="117"/>
      <c r="S693" s="117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  <c r="AL693" s="118"/>
      <c r="AM693" s="118"/>
      <c r="AN693" s="118"/>
      <c r="AO693" s="118"/>
      <c r="AP693" s="118"/>
      <c r="AQ693" s="118"/>
      <c r="AR693" s="118"/>
      <c r="AS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64"/>
      <c r="O694" s="161"/>
      <c r="P694" s="118"/>
      <c r="Q694" s="118"/>
      <c r="R694" s="117"/>
      <c r="S694" s="117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  <c r="AL694" s="118"/>
      <c r="AM694" s="118"/>
      <c r="AN694" s="118"/>
      <c r="AO694" s="118"/>
      <c r="AP694" s="118"/>
      <c r="AQ694" s="118"/>
      <c r="AR694" s="118"/>
      <c r="AS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64"/>
      <c r="O695" s="161"/>
      <c r="P695" s="118"/>
      <c r="Q695" s="118"/>
      <c r="R695" s="117"/>
      <c r="S695" s="117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  <c r="AI695" s="118"/>
      <c r="AJ695" s="118"/>
      <c r="AK695" s="118"/>
      <c r="AL695" s="118"/>
      <c r="AM695" s="118"/>
      <c r="AN695" s="118"/>
      <c r="AO695" s="118"/>
      <c r="AP695" s="118"/>
      <c r="AQ695" s="118"/>
      <c r="AR695" s="118"/>
      <c r="AS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64"/>
      <c r="O696" s="161"/>
      <c r="P696" s="118"/>
      <c r="Q696" s="118"/>
      <c r="R696" s="117"/>
      <c r="S696" s="117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  <c r="AI696" s="118"/>
      <c r="AJ696" s="118"/>
      <c r="AK696" s="118"/>
      <c r="AL696" s="118"/>
      <c r="AM696" s="118"/>
      <c r="AN696" s="118"/>
      <c r="AO696" s="118"/>
      <c r="AP696" s="118"/>
      <c r="AQ696" s="118"/>
      <c r="AR696" s="118"/>
      <c r="AS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64"/>
      <c r="O697" s="161"/>
      <c r="P697" s="118"/>
      <c r="Q697" s="118"/>
      <c r="R697" s="117"/>
      <c r="S697" s="117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  <c r="AI697" s="118"/>
      <c r="AJ697" s="118"/>
      <c r="AK697" s="118"/>
      <c r="AL697" s="118"/>
      <c r="AM697" s="118"/>
      <c r="AN697" s="118"/>
      <c r="AO697" s="118"/>
      <c r="AP697" s="118"/>
      <c r="AQ697" s="118"/>
      <c r="AR697" s="118"/>
      <c r="AS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64"/>
      <c r="O698" s="161"/>
      <c r="P698" s="118"/>
      <c r="Q698" s="118"/>
      <c r="R698" s="117"/>
      <c r="S698" s="117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  <c r="AI698" s="118"/>
      <c r="AJ698" s="118"/>
      <c r="AK698" s="118"/>
      <c r="AL698" s="118"/>
      <c r="AM698" s="118"/>
      <c r="AN698" s="118"/>
      <c r="AO698" s="118"/>
      <c r="AP698" s="118"/>
      <c r="AQ698" s="118"/>
      <c r="AR698" s="118"/>
      <c r="AS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64"/>
      <c r="O699" s="161"/>
      <c r="P699" s="118"/>
      <c r="Q699" s="118"/>
      <c r="R699" s="117"/>
      <c r="S699" s="117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  <c r="AI699" s="118"/>
      <c r="AJ699" s="118"/>
      <c r="AK699" s="118"/>
      <c r="AL699" s="118"/>
      <c r="AM699" s="118"/>
      <c r="AN699" s="118"/>
      <c r="AO699" s="118"/>
      <c r="AP699" s="118"/>
      <c r="AQ699" s="118"/>
      <c r="AR699" s="118"/>
      <c r="AS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64"/>
      <c r="O700" s="161"/>
      <c r="P700" s="118"/>
      <c r="Q700" s="118"/>
      <c r="R700" s="117"/>
      <c r="S700" s="117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  <c r="AI700" s="118"/>
      <c r="AJ700" s="118"/>
      <c r="AK700" s="118"/>
      <c r="AL700" s="118"/>
      <c r="AM700" s="118"/>
      <c r="AN700" s="118"/>
      <c r="AO700" s="118"/>
      <c r="AP700" s="118"/>
      <c r="AQ700" s="118"/>
      <c r="AR700" s="118"/>
      <c r="AS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64"/>
      <c r="O701" s="161"/>
      <c r="P701" s="118"/>
      <c r="Q701" s="118"/>
      <c r="R701" s="117"/>
      <c r="S701" s="117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  <c r="AI701" s="118"/>
      <c r="AJ701" s="118"/>
      <c r="AK701" s="118"/>
      <c r="AL701" s="118"/>
      <c r="AM701" s="118"/>
      <c r="AN701" s="118"/>
      <c r="AO701" s="118"/>
      <c r="AP701" s="118"/>
      <c r="AQ701" s="118"/>
      <c r="AR701" s="118"/>
      <c r="AS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64"/>
      <c r="O702" s="161"/>
      <c r="P702" s="118"/>
      <c r="Q702" s="118"/>
      <c r="R702" s="117"/>
      <c r="S702" s="117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  <c r="AI702" s="118"/>
      <c r="AJ702" s="118"/>
      <c r="AK702" s="118"/>
      <c r="AL702" s="118"/>
      <c r="AM702" s="118"/>
      <c r="AN702" s="118"/>
      <c r="AO702" s="118"/>
      <c r="AP702" s="118"/>
      <c r="AQ702" s="118"/>
      <c r="AR702" s="118"/>
      <c r="AS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64"/>
      <c r="O703" s="161"/>
      <c r="P703" s="118"/>
      <c r="Q703" s="118"/>
      <c r="R703" s="117"/>
      <c r="S703" s="117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  <c r="AI703" s="118"/>
      <c r="AJ703" s="118"/>
      <c r="AK703" s="118"/>
      <c r="AL703" s="118"/>
      <c r="AM703" s="118"/>
      <c r="AN703" s="118"/>
      <c r="AO703" s="118"/>
      <c r="AP703" s="118"/>
      <c r="AQ703" s="118"/>
      <c r="AR703" s="118"/>
      <c r="AS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64"/>
      <c r="O704" s="161"/>
      <c r="P704" s="118"/>
      <c r="Q704" s="118"/>
      <c r="R704" s="117"/>
      <c r="S704" s="117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  <c r="AI704" s="118"/>
      <c r="AJ704" s="118"/>
      <c r="AK704" s="118"/>
      <c r="AL704" s="118"/>
      <c r="AM704" s="118"/>
      <c r="AN704" s="118"/>
      <c r="AO704" s="118"/>
      <c r="AP704" s="118"/>
      <c r="AQ704" s="118"/>
      <c r="AR704" s="118"/>
      <c r="AS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64"/>
      <c r="O705" s="161"/>
      <c r="P705" s="118"/>
      <c r="Q705" s="118"/>
      <c r="R705" s="117"/>
      <c r="S705" s="117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  <c r="AI705" s="118"/>
      <c r="AJ705" s="118"/>
      <c r="AK705" s="118"/>
      <c r="AL705" s="118"/>
      <c r="AM705" s="118"/>
      <c r="AN705" s="118"/>
      <c r="AO705" s="118"/>
      <c r="AP705" s="118"/>
      <c r="AQ705" s="118"/>
      <c r="AR705" s="118"/>
      <c r="AS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64"/>
      <c r="O706" s="161"/>
      <c r="P706" s="118"/>
      <c r="Q706" s="118"/>
      <c r="R706" s="117"/>
      <c r="S706" s="117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  <c r="AI706" s="118"/>
      <c r="AJ706" s="118"/>
      <c r="AK706" s="118"/>
      <c r="AL706" s="118"/>
      <c r="AM706" s="118"/>
      <c r="AN706" s="118"/>
      <c r="AO706" s="118"/>
      <c r="AP706" s="118"/>
      <c r="AQ706" s="118"/>
      <c r="AR706" s="118"/>
      <c r="AS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64"/>
      <c r="O707" s="161"/>
      <c r="P707" s="118"/>
      <c r="Q707" s="118"/>
      <c r="R707" s="117"/>
      <c r="S707" s="117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  <c r="AI707" s="118"/>
      <c r="AJ707" s="118"/>
      <c r="AK707" s="118"/>
      <c r="AL707" s="118"/>
      <c r="AM707" s="118"/>
      <c r="AN707" s="118"/>
      <c r="AO707" s="118"/>
      <c r="AP707" s="118"/>
      <c r="AQ707" s="118"/>
      <c r="AR707" s="118"/>
      <c r="AS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64"/>
      <c r="O708" s="161"/>
      <c r="P708" s="118"/>
      <c r="Q708" s="118"/>
      <c r="R708" s="117"/>
      <c r="S708" s="117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8"/>
      <c r="AN708" s="118"/>
      <c r="AO708" s="118"/>
      <c r="AP708" s="118"/>
      <c r="AQ708" s="118"/>
      <c r="AR708" s="118"/>
      <c r="AS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64"/>
      <c r="O709" s="161"/>
      <c r="P709" s="118"/>
      <c r="Q709" s="118"/>
      <c r="R709" s="117"/>
      <c r="S709" s="117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  <c r="AI709" s="118"/>
      <c r="AJ709" s="118"/>
      <c r="AK709" s="118"/>
      <c r="AL709" s="118"/>
      <c r="AM709" s="118"/>
      <c r="AN709" s="118"/>
      <c r="AO709" s="118"/>
      <c r="AP709" s="118"/>
      <c r="AQ709" s="118"/>
      <c r="AR709" s="118"/>
      <c r="AS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64"/>
      <c r="O710" s="161"/>
      <c r="P710" s="118"/>
      <c r="Q710" s="118"/>
      <c r="R710" s="117"/>
      <c r="S710" s="117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64"/>
      <c r="O711" s="161"/>
      <c r="P711" s="118"/>
      <c r="Q711" s="118"/>
      <c r="R711" s="117"/>
      <c r="S711" s="117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  <c r="AI711" s="118"/>
      <c r="AJ711" s="118"/>
      <c r="AK711" s="118"/>
      <c r="AL711" s="118"/>
      <c r="AM711" s="118"/>
      <c r="AN711" s="118"/>
      <c r="AO711" s="118"/>
      <c r="AP711" s="118"/>
      <c r="AQ711" s="118"/>
      <c r="AR711" s="118"/>
      <c r="AS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64"/>
      <c r="O712" s="161"/>
      <c r="P712" s="118"/>
      <c r="Q712" s="118"/>
      <c r="R712" s="117"/>
      <c r="S712" s="117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  <c r="AI712" s="118"/>
      <c r="AJ712" s="118"/>
      <c r="AK712" s="118"/>
      <c r="AL712" s="118"/>
      <c r="AM712" s="118"/>
      <c r="AN712" s="118"/>
      <c r="AO712" s="118"/>
      <c r="AP712" s="118"/>
      <c r="AQ712" s="118"/>
      <c r="AR712" s="118"/>
      <c r="AS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64"/>
      <c r="O713" s="161"/>
      <c r="P713" s="118"/>
      <c r="Q713" s="118"/>
      <c r="R713" s="117"/>
      <c r="S713" s="117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  <c r="AI713" s="118"/>
      <c r="AJ713" s="118"/>
      <c r="AK713" s="118"/>
      <c r="AL713" s="118"/>
      <c r="AM713" s="118"/>
      <c r="AN713" s="118"/>
      <c r="AO713" s="118"/>
      <c r="AP713" s="118"/>
      <c r="AQ713" s="118"/>
      <c r="AR713" s="118"/>
      <c r="AS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64"/>
      <c r="O714" s="161"/>
      <c r="P714" s="118"/>
      <c r="Q714" s="118"/>
      <c r="R714" s="117"/>
      <c r="S714" s="117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/>
      <c r="AK714" s="118"/>
      <c r="AL714" s="118"/>
      <c r="AM714" s="118"/>
      <c r="AN714" s="118"/>
      <c r="AO714" s="118"/>
      <c r="AP714" s="118"/>
      <c r="AQ714" s="118"/>
      <c r="AR714" s="118"/>
      <c r="AS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64"/>
      <c r="O715" s="161"/>
      <c r="P715" s="118"/>
      <c r="Q715" s="118"/>
      <c r="R715" s="117"/>
      <c r="S715" s="117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  <c r="AI715" s="118"/>
      <c r="AJ715" s="118"/>
      <c r="AK715" s="118"/>
      <c r="AL715" s="118"/>
      <c r="AM715" s="118"/>
      <c r="AN715" s="118"/>
      <c r="AO715" s="118"/>
      <c r="AP715" s="118"/>
      <c r="AQ715" s="118"/>
      <c r="AR715" s="118"/>
      <c r="AS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64"/>
      <c r="O716" s="161"/>
      <c r="P716" s="118"/>
      <c r="Q716" s="118"/>
      <c r="R716" s="117"/>
      <c r="S716" s="117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  <c r="AI716" s="118"/>
      <c r="AJ716" s="118"/>
      <c r="AK716" s="118"/>
      <c r="AL716" s="118"/>
      <c r="AM716" s="118"/>
      <c r="AN716" s="118"/>
      <c r="AO716" s="118"/>
      <c r="AP716" s="118"/>
      <c r="AQ716" s="118"/>
      <c r="AR716" s="118"/>
      <c r="AS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64"/>
      <c r="O717" s="161"/>
      <c r="P717" s="118"/>
      <c r="Q717" s="118"/>
      <c r="R717" s="117"/>
      <c r="S717" s="117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  <c r="AI717" s="118"/>
      <c r="AJ717" s="118"/>
      <c r="AK717" s="118"/>
      <c r="AL717" s="118"/>
      <c r="AM717" s="118"/>
      <c r="AN717" s="118"/>
      <c r="AO717" s="118"/>
      <c r="AP717" s="118"/>
      <c r="AQ717" s="118"/>
      <c r="AR717" s="118"/>
      <c r="AS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64"/>
      <c r="O718" s="161"/>
      <c r="P718" s="118"/>
      <c r="Q718" s="118"/>
      <c r="R718" s="117"/>
      <c r="S718" s="117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  <c r="AI718" s="118"/>
      <c r="AJ718" s="118"/>
      <c r="AK718" s="118"/>
      <c r="AL718" s="118"/>
      <c r="AM718" s="118"/>
      <c r="AN718" s="118"/>
      <c r="AO718" s="118"/>
      <c r="AP718" s="118"/>
      <c r="AQ718" s="118"/>
      <c r="AR718" s="118"/>
      <c r="AS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64"/>
      <c r="O719" s="161"/>
      <c r="P719" s="118"/>
      <c r="Q719" s="118"/>
      <c r="R719" s="117"/>
      <c r="S719" s="117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  <c r="AI719" s="118"/>
      <c r="AJ719" s="118"/>
      <c r="AK719" s="118"/>
      <c r="AL719" s="118"/>
      <c r="AM719" s="118"/>
      <c r="AN719" s="118"/>
      <c r="AO719" s="118"/>
      <c r="AP719" s="118"/>
      <c r="AQ719" s="118"/>
      <c r="AR719" s="118"/>
      <c r="AS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64"/>
      <c r="O720" s="161"/>
      <c r="P720" s="118"/>
      <c r="Q720" s="118"/>
      <c r="R720" s="117"/>
      <c r="S720" s="117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  <c r="AI720" s="118"/>
      <c r="AJ720" s="118"/>
      <c r="AK720" s="118"/>
      <c r="AL720" s="118"/>
      <c r="AM720" s="118"/>
      <c r="AN720" s="118"/>
      <c r="AO720" s="118"/>
      <c r="AP720" s="118"/>
      <c r="AQ720" s="118"/>
      <c r="AR720" s="118"/>
      <c r="AS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64"/>
      <c r="O721" s="161"/>
      <c r="P721" s="118"/>
      <c r="Q721" s="118"/>
      <c r="R721" s="117"/>
      <c r="S721" s="117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  <c r="AI721" s="118"/>
      <c r="AJ721" s="118"/>
      <c r="AK721" s="118"/>
      <c r="AL721" s="118"/>
      <c r="AM721" s="118"/>
      <c r="AN721" s="118"/>
      <c r="AO721" s="118"/>
      <c r="AP721" s="118"/>
      <c r="AQ721" s="118"/>
      <c r="AR721" s="118"/>
      <c r="AS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64"/>
      <c r="O722" s="161"/>
      <c r="P722" s="118"/>
      <c r="Q722" s="118"/>
      <c r="R722" s="117"/>
      <c r="S722" s="117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  <c r="AI722" s="118"/>
      <c r="AJ722" s="118"/>
      <c r="AK722" s="118"/>
      <c r="AL722" s="118"/>
      <c r="AM722" s="118"/>
      <c r="AN722" s="118"/>
      <c r="AO722" s="118"/>
      <c r="AP722" s="118"/>
      <c r="AQ722" s="118"/>
      <c r="AR722" s="118"/>
      <c r="AS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64"/>
      <c r="O723" s="161"/>
      <c r="P723" s="118"/>
      <c r="Q723" s="118"/>
      <c r="R723" s="117"/>
      <c r="S723" s="117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/>
      <c r="AK723" s="118"/>
      <c r="AL723" s="118"/>
      <c r="AM723" s="118"/>
      <c r="AN723" s="118"/>
      <c r="AO723" s="118"/>
      <c r="AP723" s="118"/>
      <c r="AQ723" s="118"/>
      <c r="AR723" s="118"/>
      <c r="AS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64"/>
      <c r="O724" s="161"/>
      <c r="P724" s="118"/>
      <c r="Q724" s="118"/>
      <c r="R724" s="117"/>
      <c r="S724" s="117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  <c r="AI724" s="118"/>
      <c r="AJ724" s="118"/>
      <c r="AK724" s="118"/>
      <c r="AL724" s="118"/>
      <c r="AM724" s="118"/>
      <c r="AN724" s="118"/>
      <c r="AO724" s="118"/>
      <c r="AP724" s="118"/>
      <c r="AQ724" s="118"/>
      <c r="AR724" s="118"/>
      <c r="AS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64"/>
      <c r="O725" s="161"/>
      <c r="P725" s="118"/>
      <c r="Q725" s="118"/>
      <c r="R725" s="117"/>
      <c r="S725" s="117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  <c r="AI725" s="118"/>
      <c r="AJ725" s="118"/>
      <c r="AK725" s="118"/>
      <c r="AL725" s="118"/>
      <c r="AM725" s="118"/>
      <c r="AN725" s="118"/>
      <c r="AO725" s="118"/>
      <c r="AP725" s="118"/>
      <c r="AQ725" s="118"/>
      <c r="AR725" s="118"/>
      <c r="AS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64"/>
      <c r="O726" s="161"/>
      <c r="P726" s="118"/>
      <c r="Q726" s="118"/>
      <c r="R726" s="117"/>
      <c r="S726" s="117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  <c r="AI726" s="118"/>
      <c r="AJ726" s="118"/>
      <c r="AK726" s="118"/>
      <c r="AL726" s="118"/>
      <c r="AM726" s="118"/>
      <c r="AN726" s="118"/>
      <c r="AO726" s="118"/>
      <c r="AP726" s="118"/>
      <c r="AQ726" s="118"/>
      <c r="AR726" s="118"/>
      <c r="AS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64"/>
      <c r="O727" s="161"/>
      <c r="P727" s="118"/>
      <c r="Q727" s="118"/>
      <c r="R727" s="117"/>
      <c r="S727" s="117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  <c r="AI727" s="118"/>
      <c r="AJ727" s="118"/>
      <c r="AK727" s="118"/>
      <c r="AL727" s="118"/>
      <c r="AM727" s="118"/>
      <c r="AN727" s="118"/>
      <c r="AO727" s="118"/>
      <c r="AP727" s="118"/>
      <c r="AQ727" s="118"/>
      <c r="AR727" s="118"/>
      <c r="AS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64"/>
      <c r="O728" s="161"/>
      <c r="P728" s="118"/>
      <c r="Q728" s="118"/>
      <c r="R728" s="117"/>
      <c r="S728" s="117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  <c r="AI728" s="118"/>
      <c r="AJ728" s="118"/>
      <c r="AK728" s="118"/>
      <c r="AL728" s="118"/>
      <c r="AM728" s="118"/>
      <c r="AN728" s="118"/>
      <c r="AO728" s="118"/>
      <c r="AP728" s="118"/>
      <c r="AQ728" s="118"/>
      <c r="AR728" s="118"/>
      <c r="AS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64"/>
      <c r="O729" s="161"/>
      <c r="P729" s="118"/>
      <c r="Q729" s="118"/>
      <c r="R729" s="117"/>
      <c r="S729" s="117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  <c r="AI729" s="118"/>
      <c r="AJ729" s="118"/>
      <c r="AK729" s="118"/>
      <c r="AL729" s="118"/>
      <c r="AM729" s="118"/>
      <c r="AN729" s="118"/>
      <c r="AO729" s="118"/>
      <c r="AP729" s="118"/>
      <c r="AQ729" s="118"/>
      <c r="AR729" s="118"/>
      <c r="AS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64"/>
      <c r="O730" s="161"/>
      <c r="P730" s="118"/>
      <c r="Q730" s="118"/>
      <c r="R730" s="117"/>
      <c r="S730" s="117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/>
      <c r="AK730" s="118"/>
      <c r="AL730" s="118"/>
      <c r="AM730" s="118"/>
      <c r="AN730" s="118"/>
      <c r="AO730" s="118"/>
      <c r="AP730" s="118"/>
      <c r="AQ730" s="118"/>
      <c r="AR730" s="118"/>
      <c r="AS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64"/>
      <c r="O731" s="161"/>
      <c r="P731" s="118"/>
      <c r="Q731" s="118"/>
      <c r="R731" s="117"/>
      <c r="S731" s="117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/>
      <c r="AK731" s="118"/>
      <c r="AL731" s="118"/>
      <c r="AM731" s="118"/>
      <c r="AN731" s="118"/>
      <c r="AO731" s="118"/>
      <c r="AP731" s="118"/>
      <c r="AQ731" s="118"/>
      <c r="AR731" s="118"/>
      <c r="AS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64"/>
      <c r="O732" s="161"/>
      <c r="P732" s="118"/>
      <c r="Q732" s="118"/>
      <c r="R732" s="117"/>
      <c r="S732" s="117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  <c r="AI732" s="118"/>
      <c r="AJ732" s="118"/>
      <c r="AK732" s="118"/>
      <c r="AL732" s="118"/>
      <c r="AM732" s="118"/>
      <c r="AN732" s="118"/>
      <c r="AO732" s="118"/>
      <c r="AP732" s="118"/>
      <c r="AQ732" s="118"/>
      <c r="AR732" s="118"/>
      <c r="AS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64"/>
      <c r="O733" s="161"/>
      <c r="P733" s="118"/>
      <c r="Q733" s="118"/>
      <c r="R733" s="117"/>
      <c r="S733" s="117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  <c r="AI733" s="118"/>
      <c r="AJ733" s="118"/>
      <c r="AK733" s="118"/>
      <c r="AL733" s="118"/>
      <c r="AM733" s="118"/>
      <c r="AN733" s="118"/>
      <c r="AO733" s="118"/>
      <c r="AP733" s="118"/>
      <c r="AQ733" s="118"/>
      <c r="AR733" s="118"/>
      <c r="AS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64"/>
      <c r="O734" s="161"/>
      <c r="P734" s="118"/>
      <c r="Q734" s="118"/>
      <c r="R734" s="117"/>
      <c r="S734" s="117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  <c r="AI734" s="118"/>
      <c r="AJ734" s="118"/>
      <c r="AK734" s="118"/>
      <c r="AL734" s="118"/>
      <c r="AM734" s="118"/>
      <c r="AN734" s="118"/>
      <c r="AO734" s="118"/>
      <c r="AP734" s="118"/>
      <c r="AQ734" s="118"/>
      <c r="AR734" s="118"/>
      <c r="AS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64"/>
      <c r="O735" s="161"/>
      <c r="P735" s="118"/>
      <c r="Q735" s="118"/>
      <c r="R735" s="117"/>
      <c r="S735" s="117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  <c r="AI735" s="118"/>
      <c r="AJ735" s="118"/>
      <c r="AK735" s="118"/>
      <c r="AL735" s="118"/>
      <c r="AM735" s="118"/>
      <c r="AN735" s="118"/>
      <c r="AO735" s="118"/>
      <c r="AP735" s="118"/>
      <c r="AQ735" s="118"/>
      <c r="AR735" s="118"/>
      <c r="AS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64"/>
      <c r="O736" s="161"/>
      <c r="P736" s="118"/>
      <c r="Q736" s="118"/>
      <c r="R736" s="117"/>
      <c r="S736" s="117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  <c r="AI736" s="118"/>
      <c r="AJ736" s="118"/>
      <c r="AK736" s="118"/>
      <c r="AL736" s="118"/>
      <c r="AM736" s="118"/>
      <c r="AN736" s="118"/>
      <c r="AO736" s="118"/>
      <c r="AP736" s="118"/>
      <c r="AQ736" s="118"/>
      <c r="AR736" s="118"/>
      <c r="AS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64"/>
      <c r="O737" s="161"/>
      <c r="P737" s="118"/>
      <c r="Q737" s="118"/>
      <c r="R737" s="117"/>
      <c r="S737" s="117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  <c r="AI737" s="118"/>
      <c r="AJ737" s="118"/>
      <c r="AK737" s="118"/>
      <c r="AL737" s="118"/>
      <c r="AM737" s="118"/>
      <c r="AN737" s="118"/>
      <c r="AO737" s="118"/>
      <c r="AP737" s="118"/>
      <c r="AQ737" s="118"/>
      <c r="AR737" s="118"/>
      <c r="AS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64"/>
      <c r="O738" s="161"/>
      <c r="P738" s="118"/>
      <c r="Q738" s="118"/>
      <c r="R738" s="117"/>
      <c r="S738" s="117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  <c r="AI738" s="118"/>
      <c r="AJ738" s="118"/>
      <c r="AK738" s="118"/>
      <c r="AL738" s="118"/>
      <c r="AM738" s="118"/>
      <c r="AN738" s="118"/>
      <c r="AO738" s="118"/>
      <c r="AP738" s="118"/>
      <c r="AQ738" s="118"/>
      <c r="AR738" s="118"/>
      <c r="AS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64"/>
      <c r="O739" s="161"/>
      <c r="P739" s="118"/>
      <c r="Q739" s="118"/>
      <c r="R739" s="117"/>
      <c r="S739" s="117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  <c r="AI739" s="118"/>
      <c r="AJ739" s="118"/>
      <c r="AK739" s="118"/>
      <c r="AL739" s="118"/>
      <c r="AM739" s="118"/>
      <c r="AN739" s="118"/>
      <c r="AO739" s="118"/>
      <c r="AP739" s="118"/>
      <c r="AQ739" s="118"/>
      <c r="AR739" s="118"/>
      <c r="AS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64"/>
      <c r="O740" s="161"/>
      <c r="P740" s="118"/>
      <c r="Q740" s="118"/>
      <c r="R740" s="117"/>
      <c r="S740" s="117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  <c r="AI740" s="118"/>
      <c r="AJ740" s="118"/>
      <c r="AK740" s="118"/>
      <c r="AL740" s="118"/>
      <c r="AM740" s="118"/>
      <c r="AN740" s="118"/>
      <c r="AO740" s="118"/>
      <c r="AP740" s="118"/>
      <c r="AQ740" s="118"/>
      <c r="AR740" s="118"/>
      <c r="AS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64"/>
      <c r="O741" s="161"/>
      <c r="P741" s="118"/>
      <c r="Q741" s="118"/>
      <c r="R741" s="117"/>
      <c r="S741" s="117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  <c r="AI741" s="118"/>
      <c r="AJ741" s="118"/>
      <c r="AK741" s="118"/>
      <c r="AL741" s="118"/>
      <c r="AM741" s="118"/>
      <c r="AN741" s="118"/>
      <c r="AO741" s="118"/>
      <c r="AP741" s="118"/>
      <c r="AQ741" s="118"/>
      <c r="AR741" s="118"/>
      <c r="AS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64"/>
      <c r="O742" s="161"/>
      <c r="P742" s="118"/>
      <c r="Q742" s="118"/>
      <c r="R742" s="117"/>
      <c r="S742" s="117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  <c r="AI742" s="118"/>
      <c r="AJ742" s="118"/>
      <c r="AK742" s="118"/>
      <c r="AL742" s="118"/>
      <c r="AM742" s="118"/>
      <c r="AN742" s="118"/>
      <c r="AO742" s="118"/>
      <c r="AP742" s="118"/>
      <c r="AQ742" s="118"/>
      <c r="AR742" s="118"/>
      <c r="AS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64"/>
      <c r="O743" s="161"/>
      <c r="P743" s="118"/>
      <c r="Q743" s="118"/>
      <c r="R743" s="117"/>
      <c r="S743" s="117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  <c r="AI743" s="118"/>
      <c r="AJ743" s="118"/>
      <c r="AK743" s="118"/>
      <c r="AL743" s="118"/>
      <c r="AM743" s="118"/>
      <c r="AN743" s="118"/>
      <c r="AO743" s="118"/>
      <c r="AP743" s="118"/>
      <c r="AQ743" s="118"/>
      <c r="AR743" s="118"/>
      <c r="AS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64"/>
      <c r="O744" s="161"/>
      <c r="P744" s="118"/>
      <c r="Q744" s="118"/>
      <c r="R744" s="117"/>
      <c r="S744" s="117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  <c r="AI744" s="118"/>
      <c r="AJ744" s="118"/>
      <c r="AK744" s="118"/>
      <c r="AL744" s="118"/>
      <c r="AM744" s="118"/>
      <c r="AN744" s="118"/>
      <c r="AO744" s="118"/>
      <c r="AP744" s="118"/>
      <c r="AQ744" s="118"/>
      <c r="AR744" s="118"/>
      <c r="AS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64"/>
      <c r="O745" s="161"/>
      <c r="P745" s="118"/>
      <c r="Q745" s="118"/>
      <c r="R745" s="117"/>
      <c r="S745" s="117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  <c r="AI745" s="118"/>
      <c r="AJ745" s="118"/>
      <c r="AK745" s="118"/>
      <c r="AL745" s="118"/>
      <c r="AM745" s="118"/>
      <c r="AN745" s="118"/>
      <c r="AO745" s="118"/>
      <c r="AP745" s="118"/>
      <c r="AQ745" s="118"/>
      <c r="AR745" s="118"/>
      <c r="AS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64"/>
      <c r="O746" s="161"/>
      <c r="P746" s="118"/>
      <c r="Q746" s="118"/>
      <c r="R746" s="117"/>
      <c r="S746" s="117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8"/>
      <c r="AN746" s="118"/>
      <c r="AO746" s="118"/>
      <c r="AP746" s="118"/>
      <c r="AQ746" s="118"/>
      <c r="AR746" s="118"/>
      <c r="AS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64"/>
      <c r="O747" s="161"/>
      <c r="P747" s="118"/>
      <c r="Q747" s="118"/>
      <c r="R747" s="117"/>
      <c r="S747" s="117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  <c r="AI747" s="118"/>
      <c r="AJ747" s="118"/>
      <c r="AK747" s="118"/>
      <c r="AL747" s="118"/>
      <c r="AM747" s="118"/>
      <c r="AN747" s="118"/>
      <c r="AO747" s="118"/>
      <c r="AP747" s="118"/>
      <c r="AQ747" s="118"/>
      <c r="AR747" s="118"/>
      <c r="AS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64"/>
      <c r="O748" s="161"/>
      <c r="P748" s="118"/>
      <c r="Q748" s="118"/>
      <c r="R748" s="117"/>
      <c r="S748" s="117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  <c r="AI748" s="118"/>
      <c r="AJ748" s="118"/>
      <c r="AK748" s="118"/>
      <c r="AL748" s="118"/>
      <c r="AM748" s="118"/>
      <c r="AN748" s="118"/>
      <c r="AO748" s="118"/>
      <c r="AP748" s="118"/>
      <c r="AQ748" s="118"/>
      <c r="AR748" s="118"/>
      <c r="AS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64"/>
      <c r="O749" s="161"/>
      <c r="P749" s="118"/>
      <c r="Q749" s="118"/>
      <c r="R749" s="117"/>
      <c r="S749" s="117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  <c r="AI749" s="118"/>
      <c r="AJ749" s="118"/>
      <c r="AK749" s="118"/>
      <c r="AL749" s="118"/>
      <c r="AM749" s="118"/>
      <c r="AN749" s="118"/>
      <c r="AO749" s="118"/>
      <c r="AP749" s="118"/>
      <c r="AQ749" s="118"/>
      <c r="AR749" s="118"/>
      <c r="AS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64"/>
      <c r="O750" s="161"/>
      <c r="P750" s="118"/>
      <c r="Q750" s="118"/>
      <c r="R750" s="117"/>
      <c r="S750" s="117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  <c r="AI750" s="118"/>
      <c r="AJ750" s="118"/>
      <c r="AK750" s="118"/>
      <c r="AL750" s="118"/>
      <c r="AM750" s="118"/>
      <c r="AN750" s="118"/>
      <c r="AO750" s="118"/>
      <c r="AP750" s="118"/>
      <c r="AQ750" s="118"/>
      <c r="AR750" s="118"/>
      <c r="AS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64"/>
      <c r="O751" s="161"/>
      <c r="P751" s="118"/>
      <c r="Q751" s="118"/>
      <c r="R751" s="117"/>
      <c r="S751" s="117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  <c r="AI751" s="118"/>
      <c r="AJ751" s="118"/>
      <c r="AK751" s="118"/>
      <c r="AL751" s="118"/>
      <c r="AM751" s="118"/>
      <c r="AN751" s="118"/>
      <c r="AO751" s="118"/>
      <c r="AP751" s="118"/>
      <c r="AQ751" s="118"/>
      <c r="AR751" s="118"/>
      <c r="AS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64"/>
      <c r="O752" s="161"/>
      <c r="P752" s="118"/>
      <c r="Q752" s="118"/>
      <c r="R752" s="117"/>
      <c r="S752" s="117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  <c r="AI752" s="118"/>
      <c r="AJ752" s="118"/>
      <c r="AK752" s="118"/>
      <c r="AL752" s="118"/>
      <c r="AM752" s="118"/>
      <c r="AN752" s="118"/>
      <c r="AO752" s="118"/>
      <c r="AP752" s="118"/>
      <c r="AQ752" s="118"/>
      <c r="AR752" s="118"/>
      <c r="AS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64"/>
      <c r="O753" s="161"/>
      <c r="P753" s="118"/>
      <c r="Q753" s="118"/>
      <c r="R753" s="117"/>
      <c r="S753" s="117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  <c r="AI753" s="118"/>
      <c r="AJ753" s="118"/>
      <c r="AK753" s="118"/>
      <c r="AL753" s="118"/>
      <c r="AM753" s="118"/>
      <c r="AN753" s="118"/>
      <c r="AO753" s="118"/>
      <c r="AP753" s="118"/>
      <c r="AQ753" s="118"/>
      <c r="AR753" s="118"/>
      <c r="AS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64"/>
      <c r="O754" s="161"/>
      <c r="P754" s="118"/>
      <c r="Q754" s="118"/>
      <c r="R754" s="117"/>
      <c r="S754" s="117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  <c r="AI754" s="118"/>
      <c r="AJ754" s="118"/>
      <c r="AK754" s="118"/>
      <c r="AL754" s="118"/>
      <c r="AM754" s="118"/>
      <c r="AN754" s="118"/>
      <c r="AO754" s="118"/>
      <c r="AP754" s="118"/>
      <c r="AQ754" s="118"/>
      <c r="AR754" s="118"/>
      <c r="AS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64"/>
      <c r="O755" s="161"/>
      <c r="P755" s="118"/>
      <c r="Q755" s="118"/>
      <c r="R755" s="117"/>
      <c r="S755" s="117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  <c r="AI755" s="118"/>
      <c r="AJ755" s="118"/>
      <c r="AK755" s="118"/>
      <c r="AL755" s="118"/>
      <c r="AM755" s="118"/>
      <c r="AN755" s="118"/>
      <c r="AO755" s="118"/>
      <c r="AP755" s="118"/>
      <c r="AQ755" s="118"/>
      <c r="AR755" s="118"/>
      <c r="AS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64"/>
      <c r="O756" s="161"/>
      <c r="P756" s="118"/>
      <c r="Q756" s="118"/>
      <c r="R756" s="117"/>
      <c r="S756" s="117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  <c r="AI756" s="118"/>
      <c r="AJ756" s="118"/>
      <c r="AK756" s="118"/>
      <c r="AL756" s="118"/>
      <c r="AM756" s="118"/>
      <c r="AN756" s="118"/>
      <c r="AO756" s="118"/>
      <c r="AP756" s="118"/>
      <c r="AQ756" s="118"/>
      <c r="AR756" s="118"/>
      <c r="AS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64"/>
      <c r="O757" s="161"/>
      <c r="P757" s="118"/>
      <c r="Q757" s="118"/>
      <c r="R757" s="117"/>
      <c r="S757" s="117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  <c r="AI757" s="118"/>
      <c r="AJ757" s="118"/>
      <c r="AK757" s="118"/>
      <c r="AL757" s="118"/>
      <c r="AM757" s="118"/>
      <c r="AN757" s="118"/>
      <c r="AO757" s="118"/>
      <c r="AP757" s="118"/>
      <c r="AQ757" s="118"/>
      <c r="AR757" s="118"/>
      <c r="AS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64"/>
      <c r="O758" s="161"/>
      <c r="P758" s="118"/>
      <c r="Q758" s="118"/>
      <c r="R758" s="117"/>
      <c r="S758" s="117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  <c r="AI758" s="118"/>
      <c r="AJ758" s="118"/>
      <c r="AK758" s="118"/>
      <c r="AL758" s="118"/>
      <c r="AM758" s="118"/>
      <c r="AN758" s="118"/>
      <c r="AO758" s="118"/>
      <c r="AP758" s="118"/>
      <c r="AQ758" s="118"/>
      <c r="AR758" s="118"/>
      <c r="AS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64"/>
      <c r="O759" s="161"/>
      <c r="P759" s="118"/>
      <c r="Q759" s="118"/>
      <c r="R759" s="117"/>
      <c r="S759" s="117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  <c r="AI759" s="118"/>
      <c r="AJ759" s="118"/>
      <c r="AK759" s="118"/>
      <c r="AL759" s="118"/>
      <c r="AM759" s="118"/>
      <c r="AN759" s="118"/>
      <c r="AO759" s="118"/>
      <c r="AP759" s="118"/>
      <c r="AQ759" s="118"/>
      <c r="AR759" s="118"/>
      <c r="AS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64"/>
      <c r="O760" s="161"/>
      <c r="P760" s="118"/>
      <c r="Q760" s="118"/>
      <c r="R760" s="117"/>
      <c r="S760" s="117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  <c r="AI760" s="118"/>
      <c r="AJ760" s="118"/>
      <c r="AK760" s="118"/>
      <c r="AL760" s="118"/>
      <c r="AM760" s="118"/>
      <c r="AN760" s="118"/>
      <c r="AO760" s="118"/>
      <c r="AP760" s="118"/>
      <c r="AQ760" s="118"/>
      <c r="AR760" s="118"/>
      <c r="AS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64"/>
      <c r="O761" s="161"/>
      <c r="P761" s="118"/>
      <c r="Q761" s="118"/>
      <c r="R761" s="117"/>
      <c r="S761" s="117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  <c r="AI761" s="118"/>
      <c r="AJ761" s="118"/>
      <c r="AK761" s="118"/>
      <c r="AL761" s="118"/>
      <c r="AM761" s="118"/>
      <c r="AN761" s="118"/>
      <c r="AO761" s="118"/>
      <c r="AP761" s="118"/>
      <c r="AQ761" s="118"/>
      <c r="AR761" s="118"/>
      <c r="AS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64"/>
      <c r="O762" s="161"/>
      <c r="P762" s="118"/>
      <c r="Q762" s="118"/>
      <c r="R762" s="117"/>
      <c r="S762" s="117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  <c r="AI762" s="118"/>
      <c r="AJ762" s="118"/>
      <c r="AK762" s="118"/>
      <c r="AL762" s="118"/>
      <c r="AM762" s="118"/>
      <c r="AN762" s="118"/>
      <c r="AO762" s="118"/>
      <c r="AP762" s="118"/>
      <c r="AQ762" s="118"/>
      <c r="AR762" s="118"/>
      <c r="AS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64"/>
      <c r="O763" s="161"/>
      <c r="P763" s="118"/>
      <c r="Q763" s="118"/>
      <c r="R763" s="117"/>
      <c r="S763" s="117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64"/>
      <c r="O764" s="161"/>
      <c r="P764" s="118"/>
      <c r="Q764" s="118"/>
      <c r="R764" s="117"/>
      <c r="S764" s="117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  <c r="AI764" s="118"/>
      <c r="AJ764" s="118"/>
      <c r="AK764" s="118"/>
      <c r="AL764" s="118"/>
      <c r="AM764" s="118"/>
      <c r="AN764" s="118"/>
      <c r="AO764" s="118"/>
      <c r="AP764" s="118"/>
      <c r="AQ764" s="118"/>
      <c r="AR764" s="118"/>
      <c r="AS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64"/>
      <c r="O765" s="161"/>
      <c r="P765" s="118"/>
      <c r="Q765" s="118"/>
      <c r="R765" s="117"/>
      <c r="S765" s="117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  <c r="AI765" s="118"/>
      <c r="AJ765" s="118"/>
      <c r="AK765" s="118"/>
      <c r="AL765" s="118"/>
      <c r="AM765" s="118"/>
      <c r="AN765" s="118"/>
      <c r="AO765" s="118"/>
      <c r="AP765" s="118"/>
      <c r="AQ765" s="118"/>
      <c r="AR765" s="118"/>
      <c r="AS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64"/>
      <c r="O766" s="161"/>
      <c r="P766" s="118"/>
      <c r="Q766" s="118"/>
      <c r="R766" s="117"/>
      <c r="S766" s="117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  <c r="AI766" s="118"/>
      <c r="AJ766" s="118"/>
      <c r="AK766" s="118"/>
      <c r="AL766" s="118"/>
      <c r="AM766" s="118"/>
      <c r="AN766" s="118"/>
      <c r="AO766" s="118"/>
      <c r="AP766" s="118"/>
      <c r="AQ766" s="118"/>
      <c r="AR766" s="118"/>
      <c r="AS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64"/>
      <c r="O767" s="161"/>
      <c r="P767" s="118"/>
      <c r="Q767" s="118"/>
      <c r="R767" s="117"/>
      <c r="S767" s="117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  <c r="AI767" s="118"/>
      <c r="AJ767" s="118"/>
      <c r="AK767" s="118"/>
      <c r="AL767" s="118"/>
      <c r="AM767" s="118"/>
      <c r="AN767" s="118"/>
      <c r="AO767" s="118"/>
      <c r="AP767" s="118"/>
      <c r="AQ767" s="118"/>
      <c r="AR767" s="118"/>
      <c r="AS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64"/>
      <c r="O768" s="161"/>
      <c r="P768" s="118"/>
      <c r="Q768" s="118"/>
      <c r="R768" s="117"/>
      <c r="S768" s="117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  <c r="AI768" s="118"/>
      <c r="AJ768" s="118"/>
      <c r="AK768" s="118"/>
      <c r="AL768" s="118"/>
      <c r="AM768" s="118"/>
      <c r="AN768" s="118"/>
      <c r="AO768" s="118"/>
      <c r="AP768" s="118"/>
      <c r="AQ768" s="118"/>
      <c r="AR768" s="118"/>
      <c r="AS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64"/>
      <c r="O769" s="161"/>
      <c r="P769" s="118"/>
      <c r="Q769" s="118"/>
      <c r="R769" s="117"/>
      <c r="S769" s="117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  <c r="AI769" s="118"/>
      <c r="AJ769" s="118"/>
      <c r="AK769" s="118"/>
      <c r="AL769" s="118"/>
      <c r="AM769" s="118"/>
      <c r="AN769" s="118"/>
      <c r="AO769" s="118"/>
      <c r="AP769" s="118"/>
      <c r="AQ769" s="118"/>
      <c r="AR769" s="118"/>
      <c r="AS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64"/>
      <c r="O770" s="161"/>
      <c r="P770" s="118"/>
      <c r="Q770" s="118"/>
      <c r="R770" s="117"/>
      <c r="S770" s="117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  <c r="AI770" s="118"/>
      <c r="AJ770" s="118"/>
      <c r="AK770" s="118"/>
      <c r="AL770" s="118"/>
      <c r="AM770" s="118"/>
      <c r="AN770" s="118"/>
      <c r="AO770" s="118"/>
      <c r="AP770" s="118"/>
      <c r="AQ770" s="118"/>
      <c r="AR770" s="118"/>
      <c r="AS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64"/>
      <c r="O771" s="161"/>
      <c r="P771" s="118"/>
      <c r="Q771" s="118"/>
      <c r="R771" s="117"/>
      <c r="S771" s="117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  <c r="AI771" s="118"/>
      <c r="AJ771" s="118"/>
      <c r="AK771" s="118"/>
      <c r="AL771" s="118"/>
      <c r="AM771" s="118"/>
      <c r="AN771" s="118"/>
      <c r="AO771" s="118"/>
      <c r="AP771" s="118"/>
      <c r="AQ771" s="118"/>
      <c r="AR771" s="118"/>
      <c r="AS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64"/>
      <c r="O772" s="161"/>
      <c r="P772" s="118"/>
      <c r="Q772" s="118"/>
      <c r="R772" s="117"/>
      <c r="S772" s="117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  <c r="AI772" s="118"/>
      <c r="AJ772" s="118"/>
      <c r="AK772" s="118"/>
      <c r="AL772" s="118"/>
      <c r="AM772" s="118"/>
      <c r="AN772" s="118"/>
      <c r="AO772" s="118"/>
      <c r="AP772" s="118"/>
      <c r="AQ772" s="118"/>
      <c r="AR772" s="118"/>
      <c r="AS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64"/>
      <c r="O773" s="161"/>
      <c r="P773" s="118"/>
      <c r="Q773" s="118"/>
      <c r="R773" s="117"/>
      <c r="S773" s="117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  <c r="AI773" s="118"/>
      <c r="AJ773" s="118"/>
      <c r="AK773" s="118"/>
      <c r="AL773" s="118"/>
      <c r="AM773" s="118"/>
      <c r="AN773" s="118"/>
      <c r="AO773" s="118"/>
      <c r="AP773" s="118"/>
      <c r="AQ773" s="118"/>
      <c r="AR773" s="118"/>
      <c r="AS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64"/>
      <c r="O774" s="161"/>
      <c r="P774" s="118"/>
      <c r="Q774" s="118"/>
      <c r="R774" s="117"/>
      <c r="S774" s="117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  <c r="AI774" s="118"/>
      <c r="AJ774" s="118"/>
      <c r="AK774" s="118"/>
      <c r="AL774" s="118"/>
      <c r="AM774" s="118"/>
      <c r="AN774" s="118"/>
      <c r="AO774" s="118"/>
      <c r="AP774" s="118"/>
      <c r="AQ774" s="118"/>
      <c r="AR774" s="118"/>
      <c r="AS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64"/>
      <c r="O775" s="161"/>
      <c r="P775" s="118"/>
      <c r="Q775" s="118"/>
      <c r="R775" s="117"/>
      <c r="S775" s="117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  <c r="AL775" s="118"/>
      <c r="AM775" s="118"/>
      <c r="AN775" s="118"/>
      <c r="AO775" s="118"/>
      <c r="AP775" s="118"/>
      <c r="AQ775" s="118"/>
      <c r="AR775" s="118"/>
      <c r="AS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64"/>
      <c r="O776" s="161"/>
      <c r="P776" s="118"/>
      <c r="Q776" s="118"/>
      <c r="R776" s="117"/>
      <c r="S776" s="117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  <c r="AI776" s="118"/>
      <c r="AJ776" s="118"/>
      <c r="AK776" s="118"/>
      <c r="AL776" s="118"/>
      <c r="AM776" s="118"/>
      <c r="AN776" s="118"/>
      <c r="AO776" s="118"/>
      <c r="AP776" s="118"/>
      <c r="AQ776" s="118"/>
      <c r="AR776" s="118"/>
      <c r="AS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64"/>
      <c r="O777" s="161"/>
      <c r="P777" s="118"/>
      <c r="Q777" s="118"/>
      <c r="R777" s="117"/>
      <c r="S777" s="117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  <c r="AI777" s="118"/>
      <c r="AJ777" s="118"/>
      <c r="AK777" s="118"/>
      <c r="AL777" s="118"/>
      <c r="AM777" s="118"/>
      <c r="AN777" s="118"/>
      <c r="AO777" s="118"/>
      <c r="AP777" s="118"/>
      <c r="AQ777" s="118"/>
      <c r="AR777" s="118"/>
      <c r="AS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64"/>
      <c r="O778" s="161"/>
      <c r="P778" s="118"/>
      <c r="Q778" s="118"/>
      <c r="R778" s="117"/>
      <c r="S778" s="117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  <c r="AI778" s="118"/>
      <c r="AJ778" s="118"/>
      <c r="AK778" s="118"/>
      <c r="AL778" s="118"/>
      <c r="AM778" s="118"/>
      <c r="AN778" s="118"/>
      <c r="AO778" s="118"/>
      <c r="AP778" s="118"/>
      <c r="AQ778" s="118"/>
      <c r="AR778" s="118"/>
      <c r="AS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64"/>
      <c r="O779" s="161"/>
      <c r="P779" s="118"/>
      <c r="Q779" s="118"/>
      <c r="R779" s="117"/>
      <c r="S779" s="117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  <c r="AI779" s="118"/>
      <c r="AJ779" s="118"/>
      <c r="AK779" s="118"/>
      <c r="AL779" s="118"/>
      <c r="AM779" s="118"/>
      <c r="AN779" s="118"/>
      <c r="AO779" s="118"/>
      <c r="AP779" s="118"/>
      <c r="AQ779" s="118"/>
      <c r="AR779" s="118"/>
      <c r="AS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64"/>
      <c r="O780" s="161"/>
      <c r="P780" s="164"/>
      <c r="Q780" s="118"/>
      <c r="R780" s="117"/>
      <c r="S780" s="117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  <c r="AI780" s="118"/>
      <c r="AJ780" s="118"/>
      <c r="AK780" s="118"/>
      <c r="AL780" s="118"/>
      <c r="AM780" s="118"/>
      <c r="AN780" s="118"/>
      <c r="AO780" s="118"/>
      <c r="AP780" s="118"/>
      <c r="AQ780" s="118"/>
      <c r="AR780" s="118"/>
      <c r="AS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64"/>
      <c r="O781" s="161"/>
      <c r="P781" s="164"/>
      <c r="Q781" s="118"/>
      <c r="R781" s="117"/>
      <c r="S781" s="117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  <c r="AI781" s="118"/>
      <c r="AJ781" s="118"/>
      <c r="AK781" s="118"/>
      <c r="AL781" s="118"/>
      <c r="AM781" s="118"/>
      <c r="AN781" s="118"/>
      <c r="AO781" s="118"/>
      <c r="AP781" s="118"/>
      <c r="AQ781" s="118"/>
      <c r="AR781" s="118"/>
      <c r="AS781" s="118"/>
    </row>
    <row r="782">
      <c r="A782" s="118"/>
      <c r="B782" s="118"/>
      <c r="C782" s="118"/>
      <c r="D782" s="118"/>
      <c r="E782" s="118"/>
      <c r="F782" s="161"/>
      <c r="G782" s="161"/>
      <c r="H782" s="118"/>
      <c r="I782" s="118"/>
      <c r="J782" s="161"/>
      <c r="K782" s="161"/>
      <c r="L782" s="161"/>
      <c r="M782" s="161"/>
      <c r="N782" s="161"/>
      <c r="O782" s="161"/>
      <c r="P782" s="164"/>
      <c r="Q782" s="118"/>
      <c r="R782" s="117"/>
      <c r="S782" s="117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  <c r="AI782" s="118"/>
      <c r="AJ782" s="118"/>
      <c r="AK782" s="118"/>
      <c r="AL782" s="118"/>
      <c r="AM782" s="118"/>
      <c r="AN782" s="118"/>
      <c r="AO782" s="118"/>
      <c r="AP782" s="118"/>
      <c r="AQ782" s="118"/>
      <c r="AR782" s="118"/>
      <c r="AS782" s="118"/>
    </row>
    <row r="783">
      <c r="A783" s="118"/>
      <c r="B783" s="118"/>
      <c r="C783" s="118"/>
      <c r="D783" s="118"/>
      <c r="E783" s="118"/>
      <c r="F783" s="161"/>
      <c r="G783" s="161"/>
      <c r="H783" s="118"/>
      <c r="I783" s="118"/>
      <c r="J783" s="161"/>
      <c r="K783" s="161"/>
      <c r="L783" s="161"/>
      <c r="M783" s="161"/>
      <c r="N783" s="161"/>
      <c r="O783" s="161"/>
      <c r="P783" s="164"/>
      <c r="Q783" s="118"/>
      <c r="R783" s="117"/>
      <c r="S783" s="117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  <c r="AI783" s="118"/>
      <c r="AJ783" s="118"/>
      <c r="AK783" s="118"/>
      <c r="AL783" s="118"/>
      <c r="AM783" s="118"/>
      <c r="AN783" s="118"/>
      <c r="AO783" s="118"/>
      <c r="AP783" s="118"/>
      <c r="AQ783" s="118"/>
      <c r="AR783" s="118"/>
      <c r="AS783" s="118"/>
    </row>
    <row r="784">
      <c r="A784" s="118"/>
      <c r="B784" s="118"/>
      <c r="C784" s="118"/>
      <c r="D784" s="118"/>
      <c r="E784" s="118"/>
      <c r="F784" s="161"/>
      <c r="G784" s="161"/>
      <c r="H784" s="118"/>
      <c r="I784" s="118"/>
      <c r="J784" s="161"/>
      <c r="K784" s="161"/>
      <c r="L784" s="161"/>
      <c r="M784" s="161"/>
      <c r="N784" s="161"/>
      <c r="O784" s="161"/>
      <c r="P784" s="164"/>
      <c r="Q784" s="118"/>
      <c r="R784" s="117"/>
      <c r="S784" s="117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8"/>
      <c r="AN784" s="118"/>
      <c r="AO784" s="118"/>
      <c r="AP784" s="118"/>
      <c r="AQ784" s="118"/>
      <c r="AR784" s="118"/>
      <c r="AS784" s="118"/>
    </row>
    <row r="785">
      <c r="A785" s="118"/>
      <c r="B785" s="118"/>
      <c r="C785" s="118"/>
      <c r="D785" s="118"/>
      <c r="E785" s="118"/>
      <c r="F785" s="161"/>
      <c r="G785" s="161"/>
      <c r="H785" s="118"/>
      <c r="I785" s="118"/>
      <c r="J785" s="161"/>
      <c r="K785" s="161"/>
      <c r="L785" s="161"/>
      <c r="M785" s="161"/>
      <c r="N785" s="161"/>
      <c r="O785" s="161"/>
      <c r="P785" s="164"/>
      <c r="Q785" s="118"/>
      <c r="R785" s="117"/>
      <c r="S785" s="117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  <c r="AI785" s="118"/>
      <c r="AJ785" s="118"/>
      <c r="AK785" s="118"/>
      <c r="AL785" s="118"/>
      <c r="AM785" s="118"/>
      <c r="AN785" s="118"/>
      <c r="AO785" s="118"/>
      <c r="AP785" s="118"/>
      <c r="AQ785" s="118"/>
      <c r="AR785" s="118"/>
      <c r="AS785" s="118"/>
    </row>
    <row r="786">
      <c r="A786" s="118"/>
      <c r="B786" s="118"/>
      <c r="C786" s="118"/>
      <c r="D786" s="118"/>
      <c r="E786" s="118"/>
      <c r="F786" s="161"/>
      <c r="G786" s="161"/>
      <c r="H786" s="118"/>
      <c r="I786" s="118"/>
      <c r="J786" s="161"/>
      <c r="K786" s="161"/>
      <c r="L786" s="161"/>
      <c r="M786" s="161"/>
      <c r="N786" s="161"/>
      <c r="O786" s="161"/>
      <c r="P786" s="164"/>
      <c r="Q786" s="118"/>
      <c r="R786" s="117"/>
      <c r="S786" s="117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  <c r="AI786" s="118"/>
      <c r="AJ786" s="118"/>
      <c r="AK786" s="118"/>
      <c r="AL786" s="118"/>
      <c r="AM786" s="118"/>
      <c r="AN786" s="118"/>
      <c r="AO786" s="118"/>
      <c r="AP786" s="118"/>
      <c r="AQ786" s="118"/>
      <c r="AR786" s="118"/>
      <c r="AS786" s="118"/>
    </row>
    <row r="787">
      <c r="A787" s="118"/>
      <c r="B787" s="118"/>
      <c r="C787" s="118"/>
      <c r="D787" s="118"/>
      <c r="E787" s="118"/>
      <c r="F787" s="161"/>
      <c r="G787" s="161"/>
      <c r="H787" s="118"/>
      <c r="I787" s="118"/>
      <c r="J787" s="161"/>
      <c r="K787" s="161"/>
      <c r="L787" s="161"/>
      <c r="M787" s="161"/>
      <c r="N787" s="161"/>
      <c r="O787" s="161"/>
      <c r="P787" s="164"/>
      <c r="Q787" s="118"/>
      <c r="R787" s="117"/>
      <c r="S787" s="117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  <c r="AI787" s="118"/>
      <c r="AJ787" s="118"/>
      <c r="AK787" s="118"/>
      <c r="AL787" s="118"/>
      <c r="AM787" s="118"/>
      <c r="AN787" s="118"/>
      <c r="AO787" s="118"/>
      <c r="AP787" s="118"/>
      <c r="AQ787" s="118"/>
      <c r="AR787" s="118"/>
      <c r="AS787" s="118"/>
    </row>
    <row r="788">
      <c r="A788" s="118"/>
      <c r="B788" s="118"/>
      <c r="C788" s="118"/>
      <c r="D788" s="118"/>
      <c r="E788" s="118"/>
      <c r="F788" s="161"/>
      <c r="G788" s="161"/>
      <c r="H788" s="118"/>
      <c r="I788" s="118"/>
      <c r="J788" s="161"/>
      <c r="K788" s="161"/>
      <c r="L788" s="161"/>
      <c r="M788" s="161"/>
      <c r="N788" s="161"/>
      <c r="O788" s="161"/>
      <c r="P788" s="164"/>
      <c r="Q788" s="118"/>
      <c r="R788" s="117"/>
      <c r="S788" s="117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  <c r="AI788" s="118"/>
      <c r="AJ788" s="118"/>
      <c r="AK788" s="118"/>
      <c r="AL788" s="118"/>
      <c r="AM788" s="118"/>
      <c r="AN788" s="118"/>
      <c r="AO788" s="118"/>
      <c r="AP788" s="118"/>
      <c r="AQ788" s="118"/>
      <c r="AR788" s="118"/>
      <c r="AS788" s="118"/>
    </row>
    <row r="789">
      <c r="A789" s="118"/>
      <c r="B789" s="118"/>
      <c r="C789" s="118"/>
      <c r="D789" s="118"/>
      <c r="E789" s="118"/>
      <c r="F789" s="161"/>
      <c r="G789" s="161"/>
      <c r="H789" s="118"/>
      <c r="I789" s="118"/>
      <c r="J789" s="161"/>
      <c r="K789" s="161"/>
      <c r="L789" s="161"/>
      <c r="M789" s="161"/>
      <c r="N789" s="161"/>
      <c r="O789" s="161"/>
      <c r="P789" s="164"/>
      <c r="Q789" s="118"/>
      <c r="R789" s="117"/>
      <c r="S789" s="117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  <c r="AI789" s="118"/>
      <c r="AJ789" s="118"/>
      <c r="AK789" s="118"/>
      <c r="AL789" s="118"/>
      <c r="AM789" s="118"/>
      <c r="AN789" s="118"/>
      <c r="AO789" s="118"/>
      <c r="AP789" s="118"/>
      <c r="AQ789" s="118"/>
      <c r="AR789" s="118"/>
      <c r="AS789" s="118"/>
    </row>
    <row r="790">
      <c r="A790" s="118"/>
      <c r="B790" s="118"/>
      <c r="C790" s="118"/>
      <c r="D790" s="118"/>
      <c r="E790" s="118"/>
      <c r="F790" s="161"/>
      <c r="G790" s="161"/>
      <c r="H790" s="118"/>
      <c r="I790" s="118"/>
      <c r="J790" s="161"/>
      <c r="K790" s="161"/>
      <c r="L790" s="161"/>
      <c r="M790" s="161"/>
      <c r="N790" s="161"/>
      <c r="O790" s="161"/>
      <c r="P790" s="164"/>
      <c r="Q790" s="118"/>
      <c r="R790" s="117"/>
      <c r="S790" s="117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  <c r="AI790" s="118"/>
      <c r="AJ790" s="118"/>
      <c r="AK790" s="118"/>
      <c r="AL790" s="118"/>
      <c r="AM790" s="118"/>
      <c r="AN790" s="118"/>
      <c r="AO790" s="118"/>
      <c r="AP790" s="118"/>
      <c r="AQ790" s="118"/>
      <c r="AR790" s="118"/>
      <c r="AS790" s="118"/>
    </row>
    <row r="791">
      <c r="A791" s="118"/>
      <c r="B791" s="118"/>
      <c r="C791" s="118"/>
      <c r="D791" s="118"/>
      <c r="E791" s="118"/>
      <c r="F791" s="161"/>
      <c r="G791" s="161"/>
      <c r="H791" s="118"/>
      <c r="I791" s="118"/>
      <c r="J791" s="161"/>
      <c r="K791" s="161"/>
      <c r="L791" s="161"/>
      <c r="M791" s="161"/>
      <c r="N791" s="161"/>
      <c r="O791" s="161"/>
      <c r="P791" s="164"/>
      <c r="Q791" s="118"/>
      <c r="R791" s="117"/>
      <c r="S791" s="117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  <c r="AI791" s="118"/>
      <c r="AJ791" s="118"/>
      <c r="AK791" s="118"/>
      <c r="AL791" s="118"/>
      <c r="AM791" s="118"/>
      <c r="AN791" s="118"/>
      <c r="AO791" s="118"/>
      <c r="AP791" s="118"/>
      <c r="AQ791" s="118"/>
      <c r="AR791" s="118"/>
      <c r="AS791" s="118"/>
    </row>
    <row r="792">
      <c r="A792" s="118"/>
      <c r="B792" s="118"/>
      <c r="C792" s="118"/>
      <c r="D792" s="118"/>
      <c r="E792" s="118"/>
      <c r="F792" s="161"/>
      <c r="G792" s="161"/>
      <c r="H792" s="118"/>
      <c r="I792" s="118"/>
      <c r="J792" s="161"/>
      <c r="K792" s="161"/>
      <c r="L792" s="161"/>
      <c r="M792" s="161"/>
      <c r="N792" s="161"/>
      <c r="O792" s="161"/>
      <c r="P792" s="164"/>
      <c r="Q792" s="118"/>
      <c r="R792" s="117"/>
      <c r="S792" s="117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  <c r="AI792" s="118"/>
      <c r="AJ792" s="118"/>
      <c r="AK792" s="118"/>
      <c r="AL792" s="118"/>
      <c r="AM792" s="118"/>
      <c r="AN792" s="118"/>
      <c r="AO792" s="118"/>
      <c r="AP792" s="118"/>
      <c r="AQ792" s="118"/>
      <c r="AR792" s="118"/>
      <c r="AS792" s="118"/>
    </row>
    <row r="793">
      <c r="A793" s="118"/>
      <c r="B793" s="118"/>
      <c r="C793" s="118"/>
      <c r="D793" s="118"/>
      <c r="E793" s="118"/>
      <c r="F793" s="161"/>
      <c r="G793" s="161"/>
      <c r="H793" s="118"/>
      <c r="I793" s="118"/>
      <c r="J793" s="161"/>
      <c r="K793" s="161"/>
      <c r="L793" s="161"/>
      <c r="M793" s="161"/>
      <c r="N793" s="161"/>
      <c r="O793" s="161"/>
      <c r="P793" s="164"/>
      <c r="Q793" s="118"/>
      <c r="R793" s="117"/>
      <c r="S793" s="117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  <c r="AI793" s="118"/>
      <c r="AJ793" s="118"/>
      <c r="AK793" s="118"/>
      <c r="AL793" s="118"/>
      <c r="AM793" s="118"/>
      <c r="AN793" s="118"/>
      <c r="AO793" s="118"/>
      <c r="AP793" s="118"/>
      <c r="AQ793" s="118"/>
      <c r="AR793" s="118"/>
      <c r="AS793" s="118"/>
    </row>
    <row r="794">
      <c r="A794" s="118"/>
      <c r="B794" s="118"/>
      <c r="C794" s="118"/>
      <c r="D794" s="118"/>
      <c r="E794" s="118"/>
      <c r="F794" s="161"/>
      <c r="G794" s="161"/>
      <c r="H794" s="118"/>
      <c r="I794" s="118"/>
      <c r="J794" s="161"/>
      <c r="K794" s="161"/>
      <c r="L794" s="161"/>
      <c r="M794" s="161"/>
      <c r="N794" s="161"/>
      <c r="O794" s="161"/>
      <c r="P794" s="164"/>
      <c r="Q794" s="118"/>
      <c r="R794" s="117"/>
      <c r="S794" s="117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  <c r="AI794" s="118"/>
      <c r="AJ794" s="118"/>
      <c r="AK794" s="118"/>
      <c r="AL794" s="118"/>
      <c r="AM794" s="118"/>
      <c r="AN794" s="118"/>
      <c r="AO794" s="118"/>
      <c r="AP794" s="118"/>
      <c r="AQ794" s="118"/>
      <c r="AR794" s="118"/>
      <c r="AS794" s="118"/>
    </row>
    <row r="795">
      <c r="A795" s="118"/>
      <c r="B795" s="118"/>
      <c r="C795" s="118"/>
      <c r="D795" s="118"/>
      <c r="E795" s="118"/>
      <c r="F795" s="161"/>
      <c r="G795" s="161"/>
      <c r="H795" s="118"/>
      <c r="I795" s="118"/>
      <c r="J795" s="161"/>
      <c r="K795" s="161"/>
      <c r="L795" s="161"/>
      <c r="M795" s="161"/>
      <c r="N795" s="161"/>
      <c r="O795" s="161"/>
      <c r="P795" s="164"/>
      <c r="Q795" s="118"/>
      <c r="R795" s="117"/>
      <c r="S795" s="117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  <c r="AI795" s="118"/>
      <c r="AJ795" s="118"/>
      <c r="AK795" s="118"/>
      <c r="AL795" s="118"/>
      <c r="AM795" s="118"/>
      <c r="AN795" s="118"/>
      <c r="AO795" s="118"/>
      <c r="AP795" s="118"/>
      <c r="AQ795" s="118"/>
      <c r="AR795" s="118"/>
      <c r="AS795" s="118"/>
    </row>
    <row r="796">
      <c r="A796" s="118"/>
      <c r="B796" s="118"/>
      <c r="C796" s="118"/>
      <c r="D796" s="118"/>
      <c r="E796" s="118"/>
      <c r="F796" s="161"/>
      <c r="G796" s="161"/>
      <c r="H796" s="118"/>
      <c r="I796" s="118"/>
      <c r="J796" s="161"/>
      <c r="K796" s="161"/>
      <c r="L796" s="161"/>
      <c r="M796" s="161"/>
      <c r="N796" s="161"/>
      <c r="O796" s="161"/>
      <c r="P796" s="164"/>
      <c r="Q796" s="164"/>
      <c r="R796" s="117"/>
      <c r="S796" s="117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  <c r="AI796" s="118"/>
      <c r="AJ796" s="118"/>
      <c r="AK796" s="118"/>
      <c r="AL796" s="118"/>
      <c r="AM796" s="118"/>
      <c r="AN796" s="118"/>
      <c r="AO796" s="118"/>
      <c r="AP796" s="118"/>
      <c r="AQ796" s="118"/>
      <c r="AR796" s="118"/>
      <c r="AS796" s="118"/>
    </row>
    <row r="797">
      <c r="A797" s="118"/>
      <c r="B797" s="118"/>
      <c r="C797" s="118"/>
      <c r="D797" s="118"/>
      <c r="E797" s="118"/>
      <c r="F797" s="161"/>
      <c r="G797" s="161"/>
      <c r="H797" s="118"/>
      <c r="I797" s="118"/>
      <c r="J797" s="161"/>
      <c r="K797" s="161"/>
      <c r="L797" s="161"/>
      <c r="M797" s="161"/>
      <c r="N797" s="161"/>
      <c r="O797" s="161"/>
      <c r="P797" s="164"/>
      <c r="Q797" s="164"/>
      <c r="R797" s="117"/>
      <c r="S797" s="117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  <c r="AI797" s="118"/>
      <c r="AJ797" s="118"/>
      <c r="AK797" s="118"/>
      <c r="AL797" s="118"/>
      <c r="AM797" s="118"/>
      <c r="AN797" s="118"/>
      <c r="AO797" s="118"/>
      <c r="AP797" s="118"/>
      <c r="AQ797" s="118"/>
      <c r="AR797" s="118"/>
      <c r="AS797" s="118"/>
    </row>
    <row r="798">
      <c r="A798" s="118"/>
      <c r="B798" s="118"/>
      <c r="C798" s="118"/>
      <c r="D798" s="118"/>
      <c r="E798" s="118"/>
      <c r="F798" s="161"/>
      <c r="G798" s="161"/>
      <c r="H798" s="118"/>
      <c r="I798" s="118"/>
      <c r="J798" s="161"/>
      <c r="K798" s="161"/>
      <c r="L798" s="161"/>
      <c r="M798" s="161"/>
      <c r="N798" s="161"/>
      <c r="O798" s="161"/>
      <c r="P798" s="164"/>
      <c r="Q798" s="164"/>
      <c r="R798" s="117"/>
      <c r="S798" s="117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  <c r="AI798" s="118"/>
      <c r="AJ798" s="118"/>
      <c r="AK798" s="118"/>
      <c r="AL798" s="118"/>
      <c r="AM798" s="118"/>
      <c r="AN798" s="118"/>
      <c r="AO798" s="118"/>
      <c r="AP798" s="118"/>
      <c r="AQ798" s="118"/>
      <c r="AR798" s="118"/>
      <c r="AS798" s="118"/>
    </row>
    <row r="799">
      <c r="A799" s="118"/>
      <c r="B799" s="118"/>
      <c r="C799" s="118"/>
      <c r="D799" s="118"/>
      <c r="E799" s="118"/>
      <c r="F799" s="161"/>
      <c r="G799" s="161"/>
      <c r="H799" s="118"/>
      <c r="I799" s="118"/>
      <c r="J799" s="161"/>
      <c r="K799" s="161"/>
      <c r="L799" s="161"/>
      <c r="M799" s="161"/>
      <c r="N799" s="161"/>
      <c r="O799" s="161"/>
      <c r="P799" s="164"/>
      <c r="Q799" s="164"/>
      <c r="R799" s="117"/>
      <c r="S799" s="117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  <c r="AI799" s="118"/>
      <c r="AJ799" s="118"/>
      <c r="AK799" s="118"/>
      <c r="AL799" s="118"/>
      <c r="AM799" s="118"/>
      <c r="AN799" s="118"/>
      <c r="AO799" s="118"/>
      <c r="AP799" s="118"/>
      <c r="AQ799" s="118"/>
      <c r="AR799" s="118"/>
      <c r="AS799" s="118"/>
    </row>
    <row r="800">
      <c r="A800" s="118"/>
      <c r="B800" s="118"/>
      <c r="C800" s="118"/>
      <c r="D800" s="118"/>
      <c r="E800" s="118"/>
      <c r="F800" s="161"/>
      <c r="G800" s="161"/>
      <c r="H800" s="118"/>
      <c r="I800" s="118"/>
      <c r="J800" s="161"/>
      <c r="K800" s="161"/>
      <c r="L800" s="161"/>
      <c r="M800" s="161"/>
      <c r="N800" s="161"/>
      <c r="O800" s="161"/>
      <c r="P800" s="164"/>
      <c r="Q800" s="164"/>
      <c r="R800" s="117"/>
      <c r="S800" s="117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  <c r="AI800" s="118"/>
      <c r="AJ800" s="118"/>
      <c r="AK800" s="118"/>
      <c r="AL800" s="118"/>
      <c r="AM800" s="118"/>
      <c r="AN800" s="118"/>
      <c r="AO800" s="118"/>
      <c r="AP800" s="118"/>
      <c r="AQ800" s="118"/>
      <c r="AR800" s="118"/>
      <c r="AS800" s="118"/>
    </row>
    <row r="801">
      <c r="A801" s="118"/>
      <c r="B801" s="118"/>
      <c r="C801" s="118"/>
      <c r="D801" s="118"/>
      <c r="E801" s="118"/>
      <c r="F801" s="161"/>
      <c r="G801" s="161"/>
      <c r="H801" s="118"/>
      <c r="I801" s="118"/>
      <c r="J801" s="161"/>
      <c r="K801" s="161"/>
      <c r="L801" s="161"/>
      <c r="M801" s="161"/>
      <c r="N801" s="161"/>
      <c r="O801" s="161"/>
      <c r="P801" s="164"/>
      <c r="Q801" s="164"/>
      <c r="R801" s="117"/>
      <c r="S801" s="117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  <c r="AI801" s="118"/>
      <c r="AJ801" s="118"/>
      <c r="AK801" s="118"/>
      <c r="AL801" s="118"/>
      <c r="AM801" s="118"/>
      <c r="AN801" s="118"/>
      <c r="AO801" s="118"/>
      <c r="AP801" s="118"/>
      <c r="AQ801" s="118"/>
      <c r="AR801" s="118"/>
      <c r="AS801" s="118"/>
    </row>
    <row r="802">
      <c r="A802" s="118"/>
      <c r="B802" s="118"/>
      <c r="C802" s="118"/>
      <c r="D802" s="118"/>
      <c r="E802" s="118"/>
      <c r="F802" s="161"/>
      <c r="G802" s="161"/>
      <c r="H802" s="118"/>
      <c r="I802" s="118"/>
      <c r="J802" s="161"/>
      <c r="K802" s="161"/>
      <c r="L802" s="161"/>
      <c r="M802" s="161"/>
      <c r="N802" s="161"/>
      <c r="O802" s="161"/>
      <c r="P802" s="164"/>
      <c r="Q802" s="164"/>
      <c r="R802" s="117"/>
      <c r="S802" s="117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  <c r="AI802" s="118"/>
      <c r="AJ802" s="118"/>
      <c r="AK802" s="118"/>
      <c r="AL802" s="118"/>
      <c r="AM802" s="118"/>
      <c r="AN802" s="118"/>
      <c r="AO802" s="118"/>
      <c r="AP802" s="118"/>
      <c r="AQ802" s="118"/>
      <c r="AR802" s="118"/>
      <c r="AS802" s="118"/>
    </row>
    <row r="803">
      <c r="A803" s="118"/>
      <c r="B803" s="118"/>
      <c r="C803" s="118"/>
      <c r="D803" s="118"/>
      <c r="E803" s="118"/>
      <c r="F803" s="161"/>
      <c r="G803" s="161"/>
      <c r="H803" s="118"/>
      <c r="I803" s="118"/>
      <c r="J803" s="161"/>
      <c r="K803" s="161"/>
      <c r="L803" s="161"/>
      <c r="M803" s="161"/>
      <c r="N803" s="161"/>
      <c r="O803" s="161"/>
      <c r="P803" s="164"/>
      <c r="Q803" s="164"/>
      <c r="R803" s="117"/>
      <c r="S803" s="117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  <c r="AI803" s="118"/>
      <c r="AJ803" s="118"/>
      <c r="AK803" s="118"/>
      <c r="AL803" s="118"/>
      <c r="AM803" s="118"/>
      <c r="AN803" s="118"/>
      <c r="AO803" s="118"/>
      <c r="AP803" s="118"/>
      <c r="AQ803" s="118"/>
      <c r="AR803" s="118"/>
      <c r="AS803" s="118"/>
    </row>
    <row r="804">
      <c r="A804" s="118"/>
      <c r="B804" s="118"/>
      <c r="C804" s="118"/>
      <c r="D804" s="118"/>
      <c r="E804" s="118"/>
      <c r="F804" s="161"/>
      <c r="G804" s="161"/>
      <c r="H804" s="118"/>
      <c r="I804" s="118"/>
      <c r="J804" s="161"/>
      <c r="K804" s="161"/>
      <c r="L804" s="161"/>
      <c r="M804" s="161"/>
      <c r="N804" s="161"/>
      <c r="O804" s="161"/>
      <c r="P804" s="164"/>
      <c r="Q804" s="164"/>
      <c r="R804" s="117"/>
      <c r="S804" s="117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  <c r="AI804" s="118"/>
      <c r="AJ804" s="118"/>
      <c r="AK804" s="118"/>
      <c r="AL804" s="118"/>
      <c r="AM804" s="118"/>
      <c r="AN804" s="118"/>
      <c r="AO804" s="118"/>
      <c r="AP804" s="118"/>
      <c r="AQ804" s="118"/>
      <c r="AR804" s="118"/>
      <c r="AS804" s="118"/>
    </row>
    <row r="805">
      <c r="A805" s="118"/>
      <c r="B805" s="118"/>
      <c r="C805" s="118"/>
      <c r="D805" s="118"/>
      <c r="E805" s="118"/>
      <c r="F805" s="161"/>
      <c r="G805" s="161"/>
      <c r="H805" s="118"/>
      <c r="I805" s="118"/>
      <c r="J805" s="161"/>
      <c r="K805" s="161"/>
      <c r="L805" s="161"/>
      <c r="M805" s="161"/>
      <c r="N805" s="161"/>
      <c r="O805" s="161"/>
      <c r="P805" s="164"/>
      <c r="Q805" s="164"/>
      <c r="R805" s="117"/>
      <c r="S805" s="117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  <c r="AI805" s="118"/>
      <c r="AJ805" s="118"/>
      <c r="AK805" s="118"/>
      <c r="AL805" s="118"/>
      <c r="AM805" s="118"/>
      <c r="AN805" s="118"/>
      <c r="AO805" s="118"/>
      <c r="AP805" s="118"/>
      <c r="AQ805" s="118"/>
      <c r="AR805" s="118"/>
      <c r="AS805" s="118"/>
    </row>
    <row r="806">
      <c r="A806" s="118"/>
      <c r="B806" s="118"/>
      <c r="C806" s="118"/>
      <c r="D806" s="118"/>
      <c r="E806" s="118"/>
      <c r="F806" s="161"/>
      <c r="G806" s="161"/>
      <c r="H806" s="118"/>
      <c r="I806" s="118"/>
      <c r="J806" s="161"/>
      <c r="K806" s="161"/>
      <c r="L806" s="161"/>
      <c r="M806" s="161"/>
      <c r="N806" s="161"/>
      <c r="O806" s="161"/>
      <c r="P806" s="164"/>
      <c r="Q806" s="164"/>
      <c r="R806" s="117"/>
      <c r="S806" s="117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  <c r="AI806" s="118"/>
      <c r="AJ806" s="118"/>
      <c r="AK806" s="118"/>
      <c r="AL806" s="118"/>
      <c r="AM806" s="118"/>
      <c r="AN806" s="118"/>
      <c r="AO806" s="118"/>
      <c r="AP806" s="118"/>
      <c r="AQ806" s="118"/>
      <c r="AR806" s="118"/>
      <c r="AS806" s="118"/>
    </row>
    <row r="807">
      <c r="A807" s="118"/>
      <c r="B807" s="118"/>
      <c r="C807" s="118"/>
      <c r="D807" s="118"/>
      <c r="E807" s="118"/>
      <c r="F807" s="161"/>
      <c r="G807" s="161"/>
      <c r="H807" s="118"/>
      <c r="I807" s="118"/>
      <c r="J807" s="161"/>
      <c r="K807" s="161"/>
      <c r="L807" s="161"/>
      <c r="M807" s="161"/>
      <c r="N807" s="161"/>
      <c r="O807" s="161"/>
      <c r="P807" s="164"/>
      <c r="Q807" s="164"/>
      <c r="R807" s="117"/>
      <c r="S807" s="117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  <c r="AI807" s="118"/>
      <c r="AJ807" s="118"/>
      <c r="AK807" s="118"/>
      <c r="AL807" s="118"/>
      <c r="AM807" s="118"/>
      <c r="AN807" s="118"/>
      <c r="AO807" s="118"/>
      <c r="AP807" s="118"/>
      <c r="AQ807" s="118"/>
      <c r="AR807" s="118"/>
      <c r="AS807" s="118"/>
    </row>
    <row r="808">
      <c r="A808" s="118"/>
      <c r="B808" s="118"/>
      <c r="C808" s="118"/>
      <c r="D808" s="118"/>
      <c r="E808" s="118"/>
      <c r="F808" s="161"/>
      <c r="G808" s="161"/>
      <c r="H808" s="118"/>
      <c r="I808" s="118"/>
      <c r="J808" s="161"/>
      <c r="K808" s="161"/>
      <c r="L808" s="161"/>
      <c r="M808" s="161"/>
      <c r="N808" s="161"/>
      <c r="O808" s="161"/>
      <c r="P808" s="164"/>
      <c r="Q808" s="164"/>
      <c r="R808" s="117"/>
      <c r="S808" s="117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  <c r="AI808" s="118"/>
      <c r="AJ808" s="118"/>
      <c r="AK808" s="118"/>
      <c r="AL808" s="118"/>
      <c r="AM808" s="118"/>
      <c r="AN808" s="118"/>
      <c r="AO808" s="118"/>
      <c r="AP808" s="118"/>
      <c r="AQ808" s="118"/>
      <c r="AR808" s="118"/>
      <c r="AS808" s="118"/>
    </row>
    <row r="809">
      <c r="A809" s="118"/>
      <c r="B809" s="118"/>
      <c r="C809" s="118"/>
      <c r="D809" s="118"/>
      <c r="E809" s="118"/>
      <c r="F809" s="161"/>
      <c r="G809" s="161"/>
      <c r="H809" s="118"/>
      <c r="I809" s="118"/>
      <c r="J809" s="161"/>
      <c r="K809" s="161"/>
      <c r="L809" s="161"/>
      <c r="M809" s="161"/>
      <c r="N809" s="161"/>
      <c r="O809" s="161"/>
      <c r="P809" s="164"/>
      <c r="Q809" s="164"/>
      <c r="R809" s="117"/>
      <c r="S809" s="117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  <c r="AI809" s="118"/>
      <c r="AJ809" s="118"/>
      <c r="AK809" s="118"/>
      <c r="AL809" s="118"/>
      <c r="AM809" s="118"/>
      <c r="AN809" s="118"/>
      <c r="AO809" s="118"/>
      <c r="AP809" s="118"/>
      <c r="AQ809" s="118"/>
      <c r="AR809" s="118"/>
      <c r="AS809" s="118"/>
    </row>
    <row r="810">
      <c r="A810" s="118"/>
      <c r="B810" s="118"/>
      <c r="C810" s="118"/>
      <c r="D810" s="118"/>
      <c r="E810" s="118"/>
      <c r="F810" s="161"/>
      <c r="G810" s="161"/>
      <c r="H810" s="118"/>
      <c r="I810" s="118"/>
      <c r="J810" s="161"/>
      <c r="K810" s="161"/>
      <c r="L810" s="161"/>
      <c r="M810" s="161"/>
      <c r="N810" s="161"/>
      <c r="O810" s="161"/>
      <c r="P810" s="164"/>
      <c r="Q810" s="164"/>
      <c r="R810" s="117"/>
      <c r="S810" s="117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  <c r="AI810" s="118"/>
      <c r="AJ810" s="118"/>
      <c r="AK810" s="118"/>
      <c r="AL810" s="118"/>
      <c r="AM810" s="118"/>
      <c r="AN810" s="118"/>
      <c r="AO810" s="118"/>
      <c r="AP810" s="118"/>
      <c r="AQ810" s="118"/>
      <c r="AR810" s="118"/>
      <c r="AS810" s="118"/>
    </row>
    <row r="811">
      <c r="A811" s="118"/>
      <c r="B811" s="118"/>
      <c r="C811" s="118"/>
      <c r="D811" s="118"/>
      <c r="E811" s="118"/>
      <c r="F811" s="161"/>
      <c r="G811" s="161"/>
      <c r="H811" s="118"/>
      <c r="I811" s="118"/>
      <c r="J811" s="161"/>
      <c r="K811" s="161"/>
      <c r="L811" s="161"/>
      <c r="M811" s="161"/>
      <c r="N811" s="161"/>
      <c r="O811" s="161"/>
      <c r="P811" s="164"/>
      <c r="Q811" s="164"/>
      <c r="R811" s="117"/>
      <c r="S811" s="117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  <c r="AI811" s="118"/>
      <c r="AJ811" s="118"/>
      <c r="AK811" s="118"/>
      <c r="AL811" s="118"/>
      <c r="AM811" s="118"/>
      <c r="AN811" s="118"/>
      <c r="AO811" s="118"/>
      <c r="AP811" s="118"/>
      <c r="AQ811" s="118"/>
      <c r="AR811" s="118"/>
      <c r="AS811" s="118"/>
    </row>
    <row r="812">
      <c r="A812" s="118"/>
      <c r="B812" s="118"/>
      <c r="C812" s="118"/>
      <c r="D812" s="118"/>
      <c r="E812" s="118"/>
      <c r="F812" s="161"/>
      <c r="G812" s="161"/>
      <c r="H812" s="118"/>
      <c r="I812" s="118"/>
      <c r="J812" s="161"/>
      <c r="K812" s="161"/>
      <c r="L812" s="161"/>
      <c r="M812" s="161"/>
      <c r="N812" s="161"/>
      <c r="O812" s="161"/>
      <c r="P812" s="164"/>
      <c r="Q812" s="164"/>
      <c r="R812" s="117"/>
      <c r="S812" s="117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  <c r="AI812" s="118"/>
      <c r="AJ812" s="118"/>
      <c r="AK812" s="118"/>
      <c r="AL812" s="118"/>
      <c r="AM812" s="118"/>
      <c r="AN812" s="118"/>
      <c r="AO812" s="118"/>
      <c r="AP812" s="118"/>
      <c r="AQ812" s="118"/>
      <c r="AR812" s="118"/>
      <c r="AS812" s="118"/>
    </row>
    <row r="813">
      <c r="A813" s="118"/>
      <c r="B813" s="118"/>
      <c r="C813" s="118"/>
      <c r="D813" s="118"/>
      <c r="E813" s="118"/>
      <c r="F813" s="161"/>
      <c r="G813" s="161"/>
      <c r="H813" s="118"/>
      <c r="I813" s="118"/>
      <c r="J813" s="161"/>
      <c r="K813" s="161"/>
      <c r="L813" s="161"/>
      <c r="M813" s="161"/>
      <c r="N813" s="161"/>
      <c r="O813" s="161"/>
      <c r="P813" s="164"/>
      <c r="Q813" s="164"/>
      <c r="R813" s="117"/>
      <c r="S813" s="117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  <c r="AI813" s="118"/>
      <c r="AJ813" s="118"/>
      <c r="AK813" s="118"/>
      <c r="AL813" s="118"/>
      <c r="AM813" s="118"/>
      <c r="AN813" s="118"/>
      <c r="AO813" s="118"/>
      <c r="AP813" s="118"/>
      <c r="AQ813" s="118"/>
      <c r="AR813" s="118"/>
      <c r="AS813" s="118"/>
    </row>
    <row r="814">
      <c r="A814" s="118"/>
      <c r="B814" s="118"/>
      <c r="C814" s="118"/>
      <c r="D814" s="118"/>
      <c r="E814" s="118"/>
      <c r="F814" s="161"/>
      <c r="G814" s="161"/>
      <c r="H814" s="118"/>
      <c r="I814" s="118"/>
      <c r="J814" s="161"/>
      <c r="K814" s="161"/>
      <c r="L814" s="161"/>
      <c r="M814" s="161"/>
      <c r="N814" s="161"/>
      <c r="O814" s="161"/>
      <c r="P814" s="164"/>
      <c r="Q814" s="164"/>
      <c r="R814" s="117"/>
      <c r="S814" s="117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  <c r="AI814" s="118"/>
      <c r="AJ814" s="118"/>
      <c r="AK814" s="118"/>
      <c r="AL814" s="118"/>
      <c r="AM814" s="118"/>
      <c r="AN814" s="118"/>
      <c r="AO814" s="118"/>
      <c r="AP814" s="118"/>
      <c r="AQ814" s="118"/>
      <c r="AR814" s="118"/>
      <c r="AS814" s="118"/>
    </row>
    <row r="815">
      <c r="A815" s="118"/>
      <c r="B815" s="118"/>
      <c r="C815" s="118"/>
      <c r="D815" s="118"/>
      <c r="E815" s="118"/>
      <c r="F815" s="161"/>
      <c r="G815" s="161"/>
      <c r="H815" s="118"/>
      <c r="I815" s="118"/>
      <c r="J815" s="161"/>
      <c r="K815" s="161"/>
      <c r="L815" s="161"/>
      <c r="M815" s="161"/>
      <c r="N815" s="161"/>
      <c r="O815" s="161"/>
      <c r="P815" s="164"/>
      <c r="Q815" s="164"/>
      <c r="R815" s="117"/>
      <c r="S815" s="117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  <c r="AI815" s="118"/>
      <c r="AJ815" s="118"/>
      <c r="AK815" s="118"/>
      <c r="AL815" s="118"/>
      <c r="AM815" s="118"/>
      <c r="AN815" s="118"/>
      <c r="AO815" s="118"/>
      <c r="AP815" s="118"/>
      <c r="AQ815" s="118"/>
      <c r="AR815" s="118"/>
      <c r="AS815" s="118"/>
    </row>
    <row r="816">
      <c r="A816" s="118"/>
      <c r="B816" s="118"/>
      <c r="C816" s="118"/>
      <c r="D816" s="118"/>
      <c r="E816" s="118"/>
      <c r="F816" s="161"/>
      <c r="G816" s="161"/>
      <c r="H816" s="118"/>
      <c r="I816" s="118"/>
      <c r="J816" s="161"/>
      <c r="K816" s="161"/>
      <c r="L816" s="161"/>
      <c r="M816" s="161"/>
      <c r="N816" s="161"/>
      <c r="O816" s="161"/>
      <c r="P816" s="164"/>
      <c r="Q816" s="164"/>
      <c r="R816" s="117"/>
      <c r="S816" s="117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</row>
    <row r="817">
      <c r="A817" s="118"/>
      <c r="B817" s="118"/>
      <c r="C817" s="118"/>
      <c r="D817" s="118"/>
      <c r="E817" s="118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4"/>
      <c r="Q817" s="164"/>
      <c r="R817" s="117"/>
      <c r="S817" s="117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  <c r="AI817" s="118"/>
      <c r="AJ817" s="118"/>
      <c r="AK817" s="118"/>
      <c r="AL817" s="118"/>
      <c r="AM817" s="118"/>
      <c r="AN817" s="118"/>
      <c r="AO817" s="118"/>
      <c r="AP817" s="118"/>
      <c r="AQ817" s="118"/>
      <c r="AR817" s="118"/>
      <c r="AS817" s="118"/>
    </row>
    <row r="818">
      <c r="A818" s="118"/>
      <c r="B818" s="118"/>
      <c r="C818" s="118"/>
      <c r="D818" s="118"/>
      <c r="E818" s="118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4"/>
      <c r="Q818" s="164"/>
      <c r="R818" s="117"/>
      <c r="S818" s="117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  <c r="AI818" s="118"/>
      <c r="AJ818" s="118"/>
      <c r="AK818" s="118"/>
      <c r="AL818" s="118"/>
      <c r="AM818" s="118"/>
      <c r="AN818" s="118"/>
      <c r="AO818" s="118"/>
      <c r="AP818" s="118"/>
      <c r="AQ818" s="118"/>
      <c r="AR818" s="118"/>
      <c r="AS818" s="118"/>
    </row>
    <row r="819">
      <c r="A819" s="118"/>
      <c r="B819" s="118"/>
      <c r="C819" s="118"/>
      <c r="D819" s="118"/>
      <c r="E819" s="118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4"/>
      <c r="Q819" s="164"/>
      <c r="R819" s="117"/>
      <c r="S819" s="117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  <c r="AI819" s="118"/>
      <c r="AJ819" s="118"/>
      <c r="AK819" s="118"/>
      <c r="AL819" s="118"/>
      <c r="AM819" s="118"/>
      <c r="AN819" s="118"/>
      <c r="AO819" s="118"/>
      <c r="AP819" s="118"/>
      <c r="AQ819" s="118"/>
      <c r="AR819" s="118"/>
      <c r="AS819" s="118"/>
    </row>
    <row r="820">
      <c r="A820" s="118"/>
      <c r="B820" s="118"/>
      <c r="C820" s="118"/>
      <c r="D820" s="118"/>
      <c r="E820" s="118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4"/>
      <c r="Q820" s="164"/>
      <c r="R820" s="117"/>
      <c r="S820" s="117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  <c r="AI820" s="118"/>
      <c r="AJ820" s="118"/>
      <c r="AK820" s="118"/>
      <c r="AL820" s="118"/>
      <c r="AM820" s="118"/>
      <c r="AN820" s="118"/>
      <c r="AO820" s="118"/>
      <c r="AP820" s="118"/>
      <c r="AQ820" s="118"/>
      <c r="AR820" s="118"/>
      <c r="AS820" s="118"/>
    </row>
    <row r="821">
      <c r="A821" s="118"/>
      <c r="B821" s="118"/>
      <c r="C821" s="118"/>
      <c r="D821" s="118"/>
      <c r="E821" s="118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4"/>
      <c r="Q821" s="164"/>
      <c r="R821" s="117"/>
      <c r="S821" s="117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  <c r="AI821" s="118"/>
      <c r="AJ821" s="118"/>
      <c r="AK821" s="118"/>
      <c r="AL821" s="118"/>
      <c r="AM821" s="118"/>
      <c r="AN821" s="118"/>
      <c r="AO821" s="118"/>
      <c r="AP821" s="118"/>
      <c r="AQ821" s="118"/>
      <c r="AR821" s="118"/>
      <c r="AS821" s="118"/>
    </row>
    <row r="822">
      <c r="A822" s="118"/>
      <c r="B822" s="118"/>
      <c r="C822" s="118"/>
      <c r="D822" s="118"/>
      <c r="E822" s="118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4"/>
      <c r="Q822" s="164"/>
      <c r="R822" s="117"/>
      <c r="S822" s="117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8"/>
      <c r="AN822" s="118"/>
      <c r="AO822" s="118"/>
      <c r="AP822" s="118"/>
      <c r="AQ822" s="118"/>
      <c r="AR822" s="118"/>
      <c r="AS822" s="118"/>
    </row>
    <row r="823">
      <c r="A823" s="118"/>
      <c r="B823" s="118"/>
      <c r="C823" s="118"/>
      <c r="D823" s="118"/>
      <c r="E823" s="118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4"/>
      <c r="Q823" s="164"/>
      <c r="R823" s="117"/>
      <c r="S823" s="117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  <c r="AI823" s="118"/>
      <c r="AJ823" s="118"/>
      <c r="AK823" s="118"/>
      <c r="AL823" s="118"/>
      <c r="AM823" s="118"/>
      <c r="AN823" s="118"/>
      <c r="AO823" s="118"/>
      <c r="AP823" s="118"/>
      <c r="AQ823" s="118"/>
      <c r="AR823" s="118"/>
      <c r="AS823" s="118"/>
    </row>
    <row r="824">
      <c r="A824" s="118"/>
      <c r="B824" s="118"/>
      <c r="C824" s="118"/>
      <c r="D824" s="118"/>
      <c r="E824" s="118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4"/>
      <c r="Q824" s="164"/>
      <c r="R824" s="117"/>
      <c r="S824" s="117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  <c r="AI824" s="118"/>
      <c r="AJ824" s="118"/>
      <c r="AK824" s="118"/>
      <c r="AL824" s="118"/>
      <c r="AM824" s="118"/>
      <c r="AN824" s="118"/>
      <c r="AO824" s="118"/>
      <c r="AP824" s="118"/>
      <c r="AQ824" s="118"/>
      <c r="AR824" s="118"/>
      <c r="AS824" s="118"/>
    </row>
    <row r="825">
      <c r="A825" s="118"/>
      <c r="B825" s="118"/>
      <c r="C825" s="118"/>
      <c r="D825" s="118"/>
      <c r="E825" s="118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4"/>
      <c r="Q825" s="164"/>
      <c r="R825" s="117"/>
      <c r="S825" s="117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  <c r="AI825" s="118"/>
      <c r="AJ825" s="118"/>
      <c r="AK825" s="118"/>
      <c r="AL825" s="118"/>
      <c r="AM825" s="118"/>
      <c r="AN825" s="118"/>
      <c r="AO825" s="118"/>
      <c r="AP825" s="118"/>
      <c r="AQ825" s="118"/>
      <c r="AR825" s="118"/>
      <c r="AS825" s="118"/>
    </row>
    <row r="826">
      <c r="A826" s="118"/>
      <c r="B826" s="118"/>
      <c r="C826" s="118"/>
      <c r="D826" s="118"/>
      <c r="E826" s="118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4"/>
      <c r="Q826" s="164"/>
      <c r="R826" s="117"/>
      <c r="S826" s="117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  <c r="AI826" s="118"/>
      <c r="AJ826" s="118"/>
      <c r="AK826" s="118"/>
      <c r="AL826" s="118"/>
      <c r="AM826" s="118"/>
      <c r="AN826" s="118"/>
      <c r="AO826" s="118"/>
      <c r="AP826" s="118"/>
      <c r="AQ826" s="118"/>
      <c r="AR826" s="118"/>
      <c r="AS826" s="118"/>
    </row>
    <row r="827">
      <c r="A827" s="118"/>
      <c r="B827" s="118"/>
      <c r="C827" s="118"/>
      <c r="D827" s="118"/>
      <c r="E827" s="118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4"/>
      <c r="Q827" s="164"/>
      <c r="R827" s="117"/>
      <c r="S827" s="117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  <c r="AI827" s="118"/>
      <c r="AJ827" s="118"/>
      <c r="AK827" s="118"/>
      <c r="AL827" s="118"/>
      <c r="AM827" s="118"/>
      <c r="AN827" s="118"/>
      <c r="AO827" s="118"/>
      <c r="AP827" s="118"/>
      <c r="AQ827" s="118"/>
      <c r="AR827" s="118"/>
      <c r="AS827" s="118"/>
    </row>
    <row r="828">
      <c r="A828" s="118"/>
      <c r="B828" s="118"/>
      <c r="C828" s="118"/>
      <c r="D828" s="118"/>
      <c r="E828" s="118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4"/>
      <c r="Q828" s="164"/>
      <c r="R828" s="117"/>
      <c r="S828" s="117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  <c r="AI828" s="118"/>
      <c r="AJ828" s="118"/>
      <c r="AK828" s="118"/>
      <c r="AL828" s="118"/>
      <c r="AM828" s="118"/>
      <c r="AN828" s="118"/>
      <c r="AO828" s="118"/>
      <c r="AP828" s="118"/>
      <c r="AQ828" s="118"/>
      <c r="AR828" s="118"/>
      <c r="AS828" s="118"/>
    </row>
    <row r="829">
      <c r="A829" s="118"/>
      <c r="B829" s="118"/>
      <c r="C829" s="118"/>
      <c r="D829" s="118"/>
      <c r="E829" s="118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4"/>
      <c r="Q829" s="164"/>
      <c r="R829" s="117"/>
      <c r="S829" s="117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  <c r="AL829" s="118"/>
      <c r="AM829" s="118"/>
      <c r="AN829" s="118"/>
      <c r="AO829" s="118"/>
      <c r="AP829" s="118"/>
      <c r="AQ829" s="118"/>
      <c r="AR829" s="118"/>
      <c r="AS829" s="118"/>
    </row>
    <row r="830">
      <c r="A830" s="118"/>
      <c r="B830" s="118"/>
      <c r="C830" s="118"/>
      <c r="D830" s="118"/>
      <c r="E830" s="118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4"/>
      <c r="Q830" s="164"/>
      <c r="R830" s="117"/>
      <c r="S830" s="117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  <c r="AL830" s="118"/>
      <c r="AM830" s="118"/>
      <c r="AN830" s="118"/>
      <c r="AO830" s="118"/>
      <c r="AP830" s="118"/>
      <c r="AQ830" s="118"/>
      <c r="AR830" s="118"/>
      <c r="AS830" s="118"/>
    </row>
    <row r="831">
      <c r="A831" s="118"/>
      <c r="B831" s="118"/>
      <c r="C831" s="118"/>
      <c r="D831" s="118"/>
      <c r="E831" s="118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4"/>
      <c r="Q831" s="164"/>
      <c r="R831" s="117"/>
      <c r="S831" s="117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  <c r="AI831" s="118"/>
      <c r="AJ831" s="118"/>
      <c r="AK831" s="118"/>
      <c r="AL831" s="118"/>
      <c r="AM831" s="118"/>
      <c r="AN831" s="118"/>
      <c r="AO831" s="118"/>
      <c r="AP831" s="118"/>
      <c r="AQ831" s="118"/>
      <c r="AR831" s="118"/>
      <c r="AS831" s="118"/>
    </row>
    <row r="832">
      <c r="A832" s="118"/>
      <c r="B832" s="118"/>
      <c r="C832" s="118"/>
      <c r="D832" s="118"/>
      <c r="E832" s="118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4"/>
      <c r="Q832" s="164"/>
      <c r="R832" s="117"/>
      <c r="S832" s="117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  <c r="AI832" s="118"/>
      <c r="AJ832" s="118"/>
      <c r="AK832" s="118"/>
      <c r="AL832" s="118"/>
      <c r="AM832" s="118"/>
      <c r="AN832" s="118"/>
      <c r="AO832" s="118"/>
      <c r="AP832" s="118"/>
      <c r="AQ832" s="118"/>
      <c r="AR832" s="118"/>
      <c r="AS832" s="118"/>
    </row>
    <row r="833">
      <c r="A833" s="118"/>
      <c r="B833" s="118"/>
      <c r="C833" s="118"/>
      <c r="D833" s="118"/>
      <c r="E833" s="118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4"/>
      <c r="Q833" s="164"/>
      <c r="R833" s="117"/>
      <c r="S833" s="117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  <c r="AI833" s="118"/>
      <c r="AJ833" s="118"/>
      <c r="AK833" s="118"/>
      <c r="AL833" s="118"/>
      <c r="AM833" s="118"/>
      <c r="AN833" s="118"/>
      <c r="AO833" s="118"/>
      <c r="AP833" s="118"/>
      <c r="AQ833" s="118"/>
      <c r="AR833" s="118"/>
      <c r="AS833" s="118"/>
    </row>
    <row r="834">
      <c r="A834" s="118"/>
      <c r="B834" s="118"/>
      <c r="C834" s="118"/>
      <c r="D834" s="118"/>
      <c r="E834" s="118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4"/>
      <c r="Q834" s="164"/>
      <c r="R834" s="117"/>
      <c r="S834" s="117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  <c r="AI834" s="118"/>
      <c r="AJ834" s="118"/>
      <c r="AK834" s="118"/>
      <c r="AL834" s="118"/>
      <c r="AM834" s="118"/>
      <c r="AN834" s="118"/>
      <c r="AO834" s="118"/>
      <c r="AP834" s="118"/>
      <c r="AQ834" s="118"/>
      <c r="AR834" s="118"/>
      <c r="AS834" s="118"/>
    </row>
    <row r="835">
      <c r="A835" s="118"/>
      <c r="B835" s="118"/>
      <c r="C835" s="118"/>
      <c r="D835" s="118"/>
      <c r="E835" s="118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4"/>
      <c r="Q835" s="164"/>
      <c r="R835" s="117"/>
      <c r="S835" s="117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  <c r="AI835" s="118"/>
      <c r="AJ835" s="118"/>
      <c r="AK835" s="118"/>
      <c r="AL835" s="118"/>
      <c r="AM835" s="118"/>
      <c r="AN835" s="118"/>
      <c r="AO835" s="118"/>
      <c r="AP835" s="118"/>
      <c r="AQ835" s="118"/>
      <c r="AR835" s="118"/>
      <c r="AS835" s="118"/>
    </row>
    <row r="836">
      <c r="A836" s="118"/>
      <c r="B836" s="118"/>
      <c r="C836" s="118"/>
      <c r="D836" s="118"/>
      <c r="E836" s="118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4"/>
      <c r="Q836" s="164"/>
      <c r="R836" s="117"/>
      <c r="S836" s="117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  <c r="AI836" s="118"/>
      <c r="AJ836" s="118"/>
      <c r="AK836" s="118"/>
      <c r="AL836" s="118"/>
      <c r="AM836" s="118"/>
      <c r="AN836" s="118"/>
      <c r="AO836" s="118"/>
      <c r="AP836" s="118"/>
      <c r="AQ836" s="118"/>
      <c r="AR836" s="118"/>
      <c r="AS836" s="118"/>
    </row>
    <row r="837">
      <c r="A837" s="118"/>
      <c r="B837" s="118"/>
      <c r="C837" s="118"/>
      <c r="D837" s="118"/>
      <c r="E837" s="118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4"/>
      <c r="Q837" s="164"/>
      <c r="R837" s="117"/>
      <c r="S837" s="117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  <c r="AI837" s="118"/>
      <c r="AJ837" s="118"/>
      <c r="AK837" s="118"/>
      <c r="AL837" s="118"/>
      <c r="AM837" s="118"/>
      <c r="AN837" s="118"/>
      <c r="AO837" s="118"/>
      <c r="AP837" s="118"/>
      <c r="AQ837" s="118"/>
      <c r="AR837" s="118"/>
      <c r="AS837" s="118"/>
    </row>
    <row r="838">
      <c r="A838" s="118"/>
      <c r="B838" s="118"/>
      <c r="C838" s="118"/>
      <c r="D838" s="118"/>
      <c r="E838" s="118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4"/>
      <c r="Q838" s="164"/>
      <c r="R838" s="117"/>
      <c r="S838" s="117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  <c r="AI838" s="118"/>
      <c r="AJ838" s="118"/>
      <c r="AK838" s="118"/>
      <c r="AL838" s="118"/>
      <c r="AM838" s="118"/>
      <c r="AN838" s="118"/>
      <c r="AO838" s="118"/>
      <c r="AP838" s="118"/>
      <c r="AQ838" s="118"/>
      <c r="AR838" s="118"/>
      <c r="AS838" s="118"/>
    </row>
    <row r="839">
      <c r="A839" s="118"/>
      <c r="B839" s="118"/>
      <c r="C839" s="118"/>
      <c r="D839" s="118"/>
      <c r="E839" s="118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4"/>
      <c r="Q839" s="164"/>
      <c r="R839" s="117"/>
      <c r="S839" s="117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  <c r="AI839" s="118"/>
      <c r="AJ839" s="118"/>
      <c r="AK839" s="118"/>
      <c r="AL839" s="118"/>
      <c r="AM839" s="118"/>
      <c r="AN839" s="118"/>
      <c r="AO839" s="118"/>
      <c r="AP839" s="118"/>
      <c r="AQ839" s="118"/>
      <c r="AR839" s="118"/>
      <c r="AS839" s="118"/>
    </row>
    <row r="840">
      <c r="A840" s="118"/>
      <c r="B840" s="118"/>
      <c r="C840" s="118"/>
      <c r="D840" s="118"/>
      <c r="E840" s="118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4"/>
      <c r="Q840" s="164"/>
      <c r="R840" s="117"/>
      <c r="S840" s="117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  <c r="AI840" s="118"/>
      <c r="AJ840" s="118"/>
      <c r="AK840" s="118"/>
      <c r="AL840" s="118"/>
      <c r="AM840" s="118"/>
      <c r="AN840" s="118"/>
      <c r="AO840" s="118"/>
      <c r="AP840" s="118"/>
      <c r="AQ840" s="118"/>
      <c r="AR840" s="118"/>
      <c r="AS840" s="118"/>
    </row>
    <row r="841">
      <c r="A841" s="118"/>
      <c r="B841" s="118"/>
      <c r="C841" s="118"/>
      <c r="D841" s="118"/>
      <c r="E841" s="118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4"/>
      <c r="Q841" s="164"/>
      <c r="R841" s="117"/>
      <c r="S841" s="117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  <c r="AI841" s="118"/>
      <c r="AJ841" s="118"/>
      <c r="AK841" s="118"/>
      <c r="AL841" s="118"/>
      <c r="AM841" s="118"/>
      <c r="AN841" s="118"/>
      <c r="AO841" s="118"/>
      <c r="AP841" s="118"/>
      <c r="AQ841" s="118"/>
      <c r="AR841" s="118"/>
      <c r="AS841" s="118"/>
    </row>
    <row r="842">
      <c r="A842" s="118"/>
      <c r="B842" s="118"/>
      <c r="C842" s="118"/>
      <c r="D842" s="118"/>
      <c r="E842" s="118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4"/>
      <c r="Q842" s="164"/>
      <c r="R842" s="117"/>
      <c r="S842" s="117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  <c r="AI842" s="118"/>
      <c r="AJ842" s="118"/>
      <c r="AK842" s="118"/>
      <c r="AL842" s="118"/>
      <c r="AM842" s="118"/>
      <c r="AN842" s="118"/>
      <c r="AO842" s="118"/>
      <c r="AP842" s="118"/>
      <c r="AQ842" s="118"/>
      <c r="AR842" s="118"/>
      <c r="AS842" s="118"/>
    </row>
  </sheetData>
  <mergeCells count="15">
    <mergeCell ref="G3:G4"/>
    <mergeCell ref="H3:H4"/>
    <mergeCell ref="I3:I4"/>
    <mergeCell ref="J3:M3"/>
    <mergeCell ref="N3:N4"/>
    <mergeCell ref="O3:O4"/>
    <mergeCell ref="P3:P4"/>
    <mergeCell ref="Q3:Q4"/>
    <mergeCell ref="J1:M1"/>
    <mergeCell ref="A3:A4"/>
    <mergeCell ref="B3:B4"/>
    <mergeCell ref="C3:C4"/>
    <mergeCell ref="D3:D4"/>
    <mergeCell ref="E3:E4"/>
    <mergeCell ref="F3:F4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88"/>
    <col customWidth="1" min="3" max="3" width="4.38"/>
    <col customWidth="1" hidden="1" min="4" max="4" width="5.38"/>
    <col customWidth="1" min="5" max="5" width="15.38"/>
    <col customWidth="1" hidden="1" min="6" max="6" width="19.13"/>
    <col customWidth="1" hidden="1" min="7" max="7" width="17.88"/>
    <col customWidth="1" min="8" max="9" width="3.88"/>
    <col customWidth="1" min="10" max="10" width="15.25"/>
    <col customWidth="1" min="11" max="11" width="19.38"/>
    <col customWidth="1" min="12" max="12" width="18.63"/>
    <col customWidth="1" min="13" max="13" width="17.38"/>
    <col customWidth="1" min="14" max="14" width="5.13"/>
    <col customWidth="1" min="15" max="15" width="5.25"/>
    <col customWidth="1" min="16" max="16" width="19.25"/>
    <col customWidth="1" min="17" max="17" width="18.63"/>
    <col customWidth="1" hidden="1" min="18" max="18" width="14.38"/>
    <col customWidth="1" hidden="1" min="19" max="19" width="22.13"/>
    <col customWidth="1" min="20" max="20" width="22.25"/>
  </cols>
  <sheetData>
    <row r="1" ht="23.25" customHeight="1">
      <c r="A1" s="106"/>
      <c r="B1" s="107">
        <f>NOW()</f>
        <v>46137.95904</v>
      </c>
      <c r="C1" s="108">
        <f> COUNTIF(C5:C26, "&gt;0")</f>
        <v>3</v>
      </c>
      <c r="D1" s="109"/>
      <c r="F1" s="110"/>
      <c r="G1" s="110"/>
      <c r="H1" s="111"/>
      <c r="I1" s="111"/>
      <c r="J1" s="112" t="s">
        <v>125</v>
      </c>
      <c r="N1" s="113"/>
      <c r="O1" s="114">
        <v>46148.0</v>
      </c>
      <c r="P1" s="181" t="s">
        <v>126</v>
      </c>
      <c r="Q1" s="115"/>
      <c r="R1" s="116"/>
      <c r="S1" s="117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</row>
    <row r="2" ht="29.25" customHeight="1">
      <c r="A2" s="257">
        <v>19.0</v>
      </c>
      <c r="B2" s="120" t="s">
        <v>629</v>
      </c>
      <c r="C2" s="182"/>
      <c r="D2" s="212"/>
      <c r="E2" s="122"/>
      <c r="F2" s="122"/>
      <c r="G2" s="122"/>
      <c r="H2" s="122">
        <f t="shared" ref="H2:I2" si="1">COUNTIF(H4:H25, "&gt;0")</f>
        <v>0</v>
      </c>
      <c r="I2" s="122">
        <f t="shared" si="1"/>
        <v>1</v>
      </c>
      <c r="J2" s="122"/>
      <c r="K2" s="122"/>
      <c r="L2" s="213">
        <v>3.0</v>
      </c>
      <c r="M2" s="122"/>
      <c r="N2" s="124">
        <f>COUNTIF(N4:N25, "&gt;0")</f>
        <v>17</v>
      </c>
      <c r="O2" s="124">
        <f>COUNTIF(O4:O26, "&gt;0")</f>
        <v>1</v>
      </c>
      <c r="P2" s="125">
        <v>46137.0</v>
      </c>
      <c r="Q2" s="122"/>
      <c r="R2" s="117"/>
      <c r="S2" s="117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ht="22.5" customHeight="1">
      <c r="A3" s="129" t="s">
        <v>5</v>
      </c>
      <c r="B3" s="129" t="s">
        <v>6</v>
      </c>
      <c r="C3" s="129" t="s">
        <v>9</v>
      </c>
      <c r="D3" s="129"/>
      <c r="E3" s="129" t="s">
        <v>18</v>
      </c>
      <c r="F3" s="130" t="s">
        <v>131</v>
      </c>
      <c r="G3" s="129" t="s">
        <v>132</v>
      </c>
      <c r="H3" s="129"/>
      <c r="I3" s="129"/>
      <c r="J3" s="131" t="s">
        <v>133</v>
      </c>
      <c r="K3" s="132"/>
      <c r="L3" s="132"/>
      <c r="M3" s="133"/>
      <c r="N3" s="130" t="s">
        <v>134</v>
      </c>
      <c r="O3" s="129" t="s">
        <v>135</v>
      </c>
      <c r="P3" s="130" t="s">
        <v>136</v>
      </c>
      <c r="Q3" s="130" t="s">
        <v>137</v>
      </c>
      <c r="R3" s="117"/>
      <c r="S3" s="117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</row>
    <row r="4" ht="27.0" customHeight="1">
      <c r="A4" s="50"/>
      <c r="B4" s="50"/>
      <c r="C4" s="50"/>
      <c r="D4" s="50"/>
      <c r="E4" s="50"/>
      <c r="F4" s="50"/>
      <c r="G4" s="50"/>
      <c r="H4" s="50"/>
      <c r="I4" s="50"/>
      <c r="J4" s="137" t="s">
        <v>140</v>
      </c>
      <c r="K4" s="137" t="s">
        <v>141</v>
      </c>
      <c r="L4" s="137" t="s">
        <v>142</v>
      </c>
      <c r="M4" s="137" t="s">
        <v>143</v>
      </c>
      <c r="N4" s="50"/>
      <c r="O4" s="50"/>
      <c r="P4" s="50"/>
      <c r="Q4" s="50"/>
      <c r="R4" s="117"/>
      <c r="S4" s="117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</row>
    <row r="5" ht="31.5" customHeight="1">
      <c r="A5" s="138">
        <v>1.0</v>
      </c>
      <c r="B5" s="60" t="s">
        <v>630</v>
      </c>
      <c r="C5" s="66"/>
      <c r="D5" s="69"/>
      <c r="E5" s="81" t="s">
        <v>101</v>
      </c>
      <c r="F5" s="63" t="s">
        <v>243</v>
      </c>
      <c r="G5" s="59" t="s">
        <v>146</v>
      </c>
      <c r="H5" s="72"/>
      <c r="I5" s="194"/>
      <c r="J5" s="159" t="s">
        <v>241</v>
      </c>
      <c r="K5" s="258" t="s">
        <v>242</v>
      </c>
      <c r="L5" s="159" t="s">
        <v>243</v>
      </c>
      <c r="M5" s="203" t="s">
        <v>244</v>
      </c>
      <c r="N5" s="142">
        <v>1.0</v>
      </c>
      <c r="O5" s="126"/>
      <c r="P5" s="59"/>
      <c r="Q5" s="59"/>
      <c r="R5" s="117"/>
      <c r="S5" s="117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ht="37.5" customHeight="1">
      <c r="A6" s="138">
        <f t="shared" ref="A6:A23" si="2">A5+1</f>
        <v>2</v>
      </c>
      <c r="B6" s="60" t="s">
        <v>631</v>
      </c>
      <c r="C6" s="66"/>
      <c r="D6" s="69"/>
      <c r="E6" s="81" t="s">
        <v>98</v>
      </c>
      <c r="F6" s="59" t="s">
        <v>83</v>
      </c>
      <c r="G6" s="59" t="s">
        <v>158</v>
      </c>
      <c r="H6" s="72"/>
      <c r="I6" s="194"/>
      <c r="J6" s="159" t="s">
        <v>48</v>
      </c>
      <c r="K6" s="258" t="s">
        <v>159</v>
      </c>
      <c r="L6" s="148" t="s">
        <v>83</v>
      </c>
      <c r="M6" s="141" t="s">
        <v>366</v>
      </c>
      <c r="N6" s="142">
        <v>1.0</v>
      </c>
      <c r="O6" s="142"/>
      <c r="P6" s="59" t="s">
        <v>632</v>
      </c>
      <c r="Q6" s="59"/>
      <c r="R6" s="216" t="s">
        <v>633</v>
      </c>
      <c r="S6" s="217" t="s">
        <v>634</v>
      </c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>
      <c r="A7" s="138">
        <f t="shared" si="2"/>
        <v>3</v>
      </c>
      <c r="B7" s="60" t="s">
        <v>85</v>
      </c>
      <c r="C7" s="66"/>
      <c r="D7" s="69"/>
      <c r="E7" s="81" t="s">
        <v>86</v>
      </c>
      <c r="F7" s="85" t="s">
        <v>635</v>
      </c>
      <c r="G7" s="259"/>
      <c r="H7" s="72"/>
      <c r="I7" s="194"/>
      <c r="J7" s="159" t="s">
        <v>636</v>
      </c>
      <c r="K7" s="258" t="s">
        <v>637</v>
      </c>
      <c r="L7" s="159" t="s">
        <v>635</v>
      </c>
      <c r="M7" s="141" t="s">
        <v>638</v>
      </c>
      <c r="N7" s="142">
        <v>1.0</v>
      </c>
      <c r="O7" s="126"/>
      <c r="P7" s="59"/>
      <c r="Q7" s="59"/>
      <c r="R7" s="216" t="s">
        <v>639</v>
      </c>
      <c r="S7" s="217" t="s">
        <v>640</v>
      </c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ht="45.0" customHeight="1">
      <c r="A8" s="138">
        <f t="shared" si="2"/>
        <v>4</v>
      </c>
      <c r="B8" s="141" t="s">
        <v>641</v>
      </c>
      <c r="C8" s="140">
        <v>5.0</v>
      </c>
      <c r="D8" s="260"/>
      <c r="E8" s="81" t="s">
        <v>28</v>
      </c>
      <c r="F8" s="85" t="s">
        <v>550</v>
      </c>
      <c r="G8" s="59" t="s">
        <v>163</v>
      </c>
      <c r="H8" s="72"/>
      <c r="I8" s="194"/>
      <c r="J8" s="141" t="s">
        <v>551</v>
      </c>
      <c r="K8" s="261" t="s">
        <v>642</v>
      </c>
      <c r="L8" s="141" t="s">
        <v>550</v>
      </c>
      <c r="M8" s="242" t="s">
        <v>554</v>
      </c>
      <c r="N8" s="142">
        <v>1.0</v>
      </c>
      <c r="O8" s="142">
        <v>1.0</v>
      </c>
      <c r="P8" s="59"/>
      <c r="Q8" s="59"/>
      <c r="R8" s="216" t="s">
        <v>643</v>
      </c>
      <c r="S8" s="217" t="s">
        <v>644</v>
      </c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9" ht="33.75" customHeight="1">
      <c r="A9" s="138">
        <f t="shared" si="2"/>
        <v>5</v>
      </c>
      <c r="B9" s="60" t="s">
        <v>87</v>
      </c>
      <c r="C9" s="66"/>
      <c r="D9" s="69"/>
      <c r="E9" s="81" t="s">
        <v>24</v>
      </c>
      <c r="F9" s="72" t="s">
        <v>645</v>
      </c>
      <c r="G9" s="72" t="s">
        <v>146</v>
      </c>
      <c r="H9" s="72"/>
      <c r="I9" s="194"/>
      <c r="J9" s="141" t="s">
        <v>646</v>
      </c>
      <c r="K9" s="261" t="s">
        <v>647</v>
      </c>
      <c r="L9" s="141" t="s">
        <v>645</v>
      </c>
      <c r="M9" s="242" t="s">
        <v>638</v>
      </c>
      <c r="N9" s="142">
        <v>1.0</v>
      </c>
      <c r="O9" s="126"/>
      <c r="P9" s="59"/>
      <c r="Q9" s="59"/>
      <c r="R9" s="117"/>
      <c r="S9" s="117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</row>
    <row r="10" ht="43.5" customHeight="1">
      <c r="A10" s="138">
        <f t="shared" si="2"/>
        <v>6</v>
      </c>
      <c r="B10" s="60" t="s">
        <v>88</v>
      </c>
      <c r="C10" s="66"/>
      <c r="D10" s="69"/>
      <c r="E10" s="81" t="s">
        <v>20</v>
      </c>
      <c r="F10" s="59" t="s">
        <v>648</v>
      </c>
      <c r="G10" s="59" t="s">
        <v>649</v>
      </c>
      <c r="H10" s="72"/>
      <c r="I10" s="194"/>
      <c r="J10" s="141" t="s">
        <v>650</v>
      </c>
      <c r="K10" s="261" t="s">
        <v>651</v>
      </c>
      <c r="L10" s="141" t="s">
        <v>648</v>
      </c>
      <c r="M10" s="242" t="s">
        <v>652</v>
      </c>
      <c r="N10" s="142">
        <v>1.0</v>
      </c>
      <c r="O10" s="126"/>
      <c r="P10" s="59"/>
      <c r="Q10" s="59"/>
      <c r="R10" s="216" t="s">
        <v>653</v>
      </c>
      <c r="S10" s="217" t="s">
        <v>654</v>
      </c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</row>
    <row r="11" ht="34.5" customHeight="1">
      <c r="A11" s="138">
        <f t="shared" si="2"/>
        <v>7</v>
      </c>
      <c r="B11" s="60" t="s">
        <v>655</v>
      </c>
      <c r="C11" s="66"/>
      <c r="D11" s="69"/>
      <c r="E11" s="262"/>
      <c r="F11" s="63"/>
      <c r="G11" s="144"/>
      <c r="H11" s="72"/>
      <c r="I11" s="263"/>
      <c r="J11" s="264"/>
      <c r="K11" s="262"/>
      <c r="L11" s="264"/>
      <c r="M11" s="265"/>
      <c r="N11" s="185"/>
      <c r="O11" s="126"/>
      <c r="P11" s="59"/>
      <c r="Q11" s="59"/>
      <c r="R11" s="117"/>
      <c r="S11" s="117"/>
      <c r="T11" s="185" t="s">
        <v>656</v>
      </c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</row>
    <row r="12">
      <c r="A12" s="138">
        <f t="shared" si="2"/>
        <v>8</v>
      </c>
      <c r="B12" s="60" t="s">
        <v>89</v>
      </c>
      <c r="C12" s="66"/>
      <c r="D12" s="69"/>
      <c r="E12" s="81" t="s">
        <v>57</v>
      </c>
      <c r="F12" s="63" t="s">
        <v>306</v>
      </c>
      <c r="G12" s="144"/>
      <c r="H12" s="72"/>
      <c r="I12" s="194"/>
      <c r="J12" s="141" t="s">
        <v>543</v>
      </c>
      <c r="K12" s="261" t="s">
        <v>544</v>
      </c>
      <c r="L12" s="141" t="s">
        <v>306</v>
      </c>
      <c r="M12" s="242" t="s">
        <v>545</v>
      </c>
      <c r="N12" s="142">
        <v>1.0</v>
      </c>
      <c r="O12" s="126"/>
      <c r="P12" s="59"/>
      <c r="Q12" s="59"/>
      <c r="R12" s="117"/>
      <c r="S12" s="117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</row>
    <row r="13" ht="39.75" customHeight="1">
      <c r="A13" s="138">
        <f t="shared" si="2"/>
        <v>9</v>
      </c>
      <c r="B13" s="60" t="s">
        <v>657</v>
      </c>
      <c r="C13" s="66"/>
      <c r="D13" s="69"/>
      <c r="E13" s="80" t="s">
        <v>609</v>
      </c>
      <c r="F13" s="59" t="s">
        <v>658</v>
      </c>
      <c r="G13" s="59" t="s">
        <v>659</v>
      </c>
      <c r="H13" s="72"/>
      <c r="I13" s="194"/>
      <c r="J13" s="141" t="s">
        <v>660</v>
      </c>
      <c r="K13" s="139" t="s">
        <v>661</v>
      </c>
      <c r="L13" s="141" t="s">
        <v>658</v>
      </c>
      <c r="M13" s="141" t="s">
        <v>662</v>
      </c>
      <c r="N13" s="142">
        <v>1.0</v>
      </c>
      <c r="O13" s="126"/>
      <c r="P13" s="59"/>
      <c r="Q13" s="64"/>
      <c r="R13" s="216" t="s">
        <v>663</v>
      </c>
      <c r="S13" s="217" t="s">
        <v>664</v>
      </c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</row>
    <row r="14">
      <c r="A14" s="138">
        <f t="shared" si="2"/>
        <v>10</v>
      </c>
      <c r="B14" s="60" t="s">
        <v>665</v>
      </c>
      <c r="C14" s="154">
        <v>5.0</v>
      </c>
      <c r="D14" s="69"/>
      <c r="E14" s="81" t="s">
        <v>55</v>
      </c>
      <c r="F14" s="59" t="s">
        <v>666</v>
      </c>
      <c r="G14" s="59" t="s">
        <v>667</v>
      </c>
      <c r="H14" s="72"/>
      <c r="I14" s="194"/>
      <c r="J14" s="141" t="s">
        <v>668</v>
      </c>
      <c r="K14" s="139" t="s">
        <v>669</v>
      </c>
      <c r="L14" s="141" t="s">
        <v>666</v>
      </c>
      <c r="M14" s="141" t="s">
        <v>670</v>
      </c>
      <c r="N14" s="142">
        <v>1.0</v>
      </c>
      <c r="O14" s="142"/>
      <c r="P14" s="59" t="s">
        <v>167</v>
      </c>
      <c r="Q14" s="64"/>
      <c r="R14" s="117"/>
      <c r="S14" s="117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</row>
    <row r="15" ht="45.75" customHeight="1">
      <c r="A15" s="138">
        <f t="shared" si="2"/>
        <v>11</v>
      </c>
      <c r="B15" s="60" t="s">
        <v>671</v>
      </c>
      <c r="C15" s="66"/>
      <c r="D15" s="69"/>
      <c r="E15" s="81" t="s">
        <v>57</v>
      </c>
      <c r="F15" s="59" t="s">
        <v>672</v>
      </c>
      <c r="G15" s="59" t="s">
        <v>146</v>
      </c>
      <c r="H15" s="72"/>
      <c r="I15" s="194"/>
      <c r="J15" s="141" t="s">
        <v>673</v>
      </c>
      <c r="K15" s="139" t="s">
        <v>674</v>
      </c>
      <c r="L15" s="159" t="s">
        <v>672</v>
      </c>
      <c r="M15" s="141" t="s">
        <v>675</v>
      </c>
      <c r="N15" s="142">
        <v>1.0</v>
      </c>
      <c r="O15" s="126"/>
      <c r="P15" s="59"/>
      <c r="Q15" s="59"/>
      <c r="R15" s="117"/>
      <c r="S15" s="117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</row>
    <row r="16" ht="51.75" customHeight="1">
      <c r="A16" s="138">
        <f t="shared" si="2"/>
        <v>12</v>
      </c>
      <c r="B16" s="60" t="s">
        <v>676</v>
      </c>
      <c r="C16" s="66"/>
      <c r="D16" s="66"/>
      <c r="E16" s="81" t="s">
        <v>33</v>
      </c>
      <c r="F16" s="59" t="s">
        <v>677</v>
      </c>
      <c r="G16" s="59" t="s">
        <v>678</v>
      </c>
      <c r="H16" s="72"/>
      <c r="I16" s="194"/>
      <c r="J16" s="141" t="s">
        <v>679</v>
      </c>
      <c r="K16" s="139" t="s">
        <v>680</v>
      </c>
      <c r="L16" s="159" t="s">
        <v>677</v>
      </c>
      <c r="M16" s="141" t="s">
        <v>681</v>
      </c>
      <c r="N16" s="142">
        <v>1.0</v>
      </c>
      <c r="O16" s="126"/>
      <c r="P16" s="59"/>
      <c r="Q16" s="59"/>
      <c r="R16" s="117"/>
      <c r="S16" s="117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</row>
    <row r="17" ht="39.75" customHeight="1">
      <c r="A17" s="138">
        <f t="shared" si="2"/>
        <v>13</v>
      </c>
      <c r="B17" s="60" t="s">
        <v>682</v>
      </c>
      <c r="C17" s="66"/>
      <c r="D17" s="69"/>
      <c r="E17" s="81" t="s">
        <v>33</v>
      </c>
      <c r="F17" s="59" t="s">
        <v>683</v>
      </c>
      <c r="G17" s="59" t="s">
        <v>684</v>
      </c>
      <c r="H17" s="72"/>
      <c r="I17" s="194"/>
      <c r="J17" s="141" t="s">
        <v>685</v>
      </c>
      <c r="K17" s="139" t="s">
        <v>686</v>
      </c>
      <c r="L17" s="141" t="s">
        <v>683</v>
      </c>
      <c r="M17" s="141" t="s">
        <v>687</v>
      </c>
      <c r="N17" s="142">
        <v>1.0</v>
      </c>
      <c r="O17" s="126"/>
      <c r="P17" s="59"/>
      <c r="Q17" s="59"/>
      <c r="R17" s="117"/>
      <c r="S17" s="117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</row>
    <row r="18" ht="37.5" customHeight="1">
      <c r="A18" s="138">
        <f t="shared" si="2"/>
        <v>14</v>
      </c>
      <c r="B18" s="60" t="s">
        <v>91</v>
      </c>
      <c r="C18" s="66"/>
      <c r="D18" s="69"/>
      <c r="E18" s="81" t="s">
        <v>22</v>
      </c>
      <c r="F18" s="59" t="s">
        <v>83</v>
      </c>
      <c r="G18" s="59" t="s">
        <v>158</v>
      </c>
      <c r="H18" s="72"/>
      <c r="I18" s="194"/>
      <c r="J18" s="141" t="s">
        <v>80</v>
      </c>
      <c r="K18" s="139" t="s">
        <v>688</v>
      </c>
      <c r="L18" s="148" t="s">
        <v>83</v>
      </c>
      <c r="M18" s="141" t="s">
        <v>689</v>
      </c>
      <c r="N18" s="142">
        <v>1.0</v>
      </c>
      <c r="O18" s="126"/>
      <c r="P18" s="59"/>
      <c r="Q18" s="59"/>
      <c r="R18" s="117"/>
      <c r="S18" s="117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</row>
    <row r="19" ht="33.75" customHeight="1">
      <c r="A19" s="138">
        <f t="shared" si="2"/>
        <v>15</v>
      </c>
      <c r="B19" s="60" t="s">
        <v>690</v>
      </c>
      <c r="C19" s="66"/>
      <c r="D19" s="69"/>
      <c r="E19" s="81" t="s">
        <v>33</v>
      </c>
      <c r="F19" s="59" t="s">
        <v>691</v>
      </c>
      <c r="G19" s="59" t="s">
        <v>684</v>
      </c>
      <c r="H19" s="72"/>
      <c r="I19" s="194"/>
      <c r="J19" s="141" t="s">
        <v>692</v>
      </c>
      <c r="K19" s="139" t="s">
        <v>693</v>
      </c>
      <c r="L19" s="141" t="s">
        <v>691</v>
      </c>
      <c r="M19" s="141" t="s">
        <v>694</v>
      </c>
      <c r="N19" s="142">
        <v>1.0</v>
      </c>
      <c r="O19" s="126"/>
      <c r="P19" s="59"/>
      <c r="Q19" s="59"/>
      <c r="R19" s="117"/>
      <c r="S19" s="117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</row>
    <row r="20" ht="36.75" customHeight="1">
      <c r="A20" s="138">
        <f t="shared" si="2"/>
        <v>16</v>
      </c>
      <c r="B20" s="60" t="s">
        <v>695</v>
      </c>
      <c r="C20" s="66"/>
      <c r="D20" s="69"/>
      <c r="E20" s="81" t="s">
        <v>20</v>
      </c>
      <c r="F20" s="59" t="s">
        <v>290</v>
      </c>
      <c r="G20" s="59" t="s">
        <v>163</v>
      </c>
      <c r="H20" s="72"/>
      <c r="I20" s="194"/>
      <c r="J20" s="141" t="s">
        <v>291</v>
      </c>
      <c r="K20" s="139" t="s">
        <v>292</v>
      </c>
      <c r="L20" s="141" t="s">
        <v>290</v>
      </c>
      <c r="M20" s="141" t="s">
        <v>294</v>
      </c>
      <c r="N20" s="142">
        <v>1.0</v>
      </c>
      <c r="O20" s="126"/>
      <c r="P20" s="59"/>
      <c r="Q20" s="59"/>
      <c r="R20" s="117"/>
      <c r="S20" s="117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</row>
    <row r="21" ht="48.0" customHeight="1">
      <c r="A21" s="138">
        <f t="shared" si="2"/>
        <v>17</v>
      </c>
      <c r="B21" s="266" t="s">
        <v>92</v>
      </c>
      <c r="C21" s="144"/>
      <c r="D21" s="144"/>
      <c r="E21" s="266" t="s">
        <v>80</v>
      </c>
      <c r="F21" s="144"/>
      <c r="G21" s="144"/>
      <c r="H21" s="72"/>
      <c r="I21" s="267">
        <v>1.0</v>
      </c>
      <c r="J21" s="185" t="s">
        <v>80</v>
      </c>
      <c r="K21" s="185" t="s">
        <v>696</v>
      </c>
      <c r="L21" s="185" t="s">
        <v>83</v>
      </c>
      <c r="M21" s="185" t="s">
        <v>689</v>
      </c>
      <c r="N21" s="268"/>
      <c r="O21" s="126"/>
      <c r="P21" s="59" t="s">
        <v>697</v>
      </c>
      <c r="Q21" s="269"/>
      <c r="R21" s="216" t="s">
        <v>698</v>
      </c>
      <c r="S21" s="270" t="s">
        <v>699</v>
      </c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</row>
    <row r="22" ht="34.5" customHeight="1">
      <c r="A22" s="138">
        <f t="shared" si="2"/>
        <v>18</v>
      </c>
      <c r="B22" s="60" t="s">
        <v>700</v>
      </c>
      <c r="C22" s="66"/>
      <c r="D22" s="69"/>
      <c r="E22" s="81" t="s">
        <v>80</v>
      </c>
      <c r="F22" s="59" t="s">
        <v>83</v>
      </c>
      <c r="G22" s="59" t="s">
        <v>158</v>
      </c>
      <c r="H22" s="72"/>
      <c r="I22" s="139"/>
      <c r="J22" s="141" t="s">
        <v>28</v>
      </c>
      <c r="K22" s="139" t="s">
        <v>159</v>
      </c>
      <c r="L22" s="148" t="s">
        <v>83</v>
      </c>
      <c r="M22" s="141" t="s">
        <v>366</v>
      </c>
      <c r="N22" s="142">
        <v>1.0</v>
      </c>
      <c r="O22" s="126"/>
      <c r="P22" s="59"/>
      <c r="Q22" s="59"/>
      <c r="R22" s="117"/>
      <c r="S22" s="117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</row>
    <row r="23" ht="33.75" customHeight="1">
      <c r="A23" s="138">
        <f t="shared" si="2"/>
        <v>19</v>
      </c>
      <c r="B23" s="60" t="s">
        <v>701</v>
      </c>
      <c r="C23" s="154">
        <v>5.0</v>
      </c>
      <c r="D23" s="69"/>
      <c r="E23" s="81" t="s">
        <v>702</v>
      </c>
      <c r="F23" s="59" t="s">
        <v>703</v>
      </c>
      <c r="G23" s="59" t="s">
        <v>704</v>
      </c>
      <c r="H23" s="72"/>
      <c r="I23" s="194"/>
      <c r="J23" s="141" t="s">
        <v>705</v>
      </c>
      <c r="K23" s="139" t="s">
        <v>706</v>
      </c>
      <c r="L23" s="141" t="s">
        <v>707</v>
      </c>
      <c r="M23" s="141" t="s">
        <v>708</v>
      </c>
      <c r="N23" s="142">
        <v>1.0</v>
      </c>
      <c r="O23" s="142"/>
      <c r="P23" s="59" t="s">
        <v>167</v>
      </c>
      <c r="Q23" s="59"/>
      <c r="R23" s="117"/>
      <c r="S23" s="117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</row>
    <row r="24" ht="22.5" customHeight="1">
      <c r="A24" s="162">
        <v>46148.0</v>
      </c>
      <c r="B24" s="163" t="s">
        <v>126</v>
      </c>
      <c r="C24" s="118"/>
      <c r="D24" s="118"/>
      <c r="E24" s="118"/>
      <c r="F24" s="118"/>
      <c r="G24" s="118"/>
      <c r="H24" s="271"/>
      <c r="I24" s="271"/>
      <c r="J24" s="118"/>
      <c r="K24" s="118"/>
      <c r="L24" s="118"/>
      <c r="M24" s="118"/>
      <c r="N24" s="164"/>
      <c r="O24" s="161"/>
      <c r="P24" s="118"/>
      <c r="Q24" s="118"/>
      <c r="R24" s="117"/>
      <c r="S24" s="117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</row>
    <row r="25">
      <c r="A25" s="118"/>
      <c r="B25" s="118"/>
      <c r="C25" s="118"/>
      <c r="D25" s="118"/>
      <c r="E25" s="118"/>
      <c r="F25" s="118"/>
      <c r="G25" s="118"/>
      <c r="H25" s="27"/>
      <c r="I25" s="27"/>
      <c r="J25" s="118"/>
      <c r="K25" s="118"/>
      <c r="L25" s="118"/>
      <c r="M25" s="118"/>
      <c r="N25" s="164"/>
      <c r="O25" s="161"/>
      <c r="P25" s="118"/>
      <c r="Q25" s="118"/>
      <c r="R25" s="117"/>
      <c r="S25" s="117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</row>
    <row r="26">
      <c r="A26" s="118"/>
      <c r="B26" s="118"/>
      <c r="C26" s="118"/>
      <c r="D26" s="118"/>
      <c r="E26" s="118"/>
      <c r="F26" s="118"/>
      <c r="G26" s="118"/>
      <c r="H26" s="27"/>
      <c r="I26" s="27"/>
      <c r="J26" s="118"/>
      <c r="K26" s="118"/>
      <c r="L26" s="118"/>
      <c r="M26" s="118"/>
      <c r="N26" s="164"/>
      <c r="O26" s="161"/>
      <c r="P26" s="118"/>
      <c r="Q26" s="118"/>
      <c r="R26" s="117"/>
      <c r="S26" s="117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64"/>
      <c r="O27" s="161"/>
      <c r="P27" s="118"/>
      <c r="Q27" s="118"/>
      <c r="R27" s="117"/>
      <c r="S27" s="117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64"/>
      <c r="O28" s="161"/>
      <c r="P28" s="118"/>
      <c r="Q28" s="118"/>
      <c r="R28" s="117"/>
      <c r="S28" s="117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64"/>
      <c r="O29" s="161"/>
      <c r="P29" s="118"/>
      <c r="Q29" s="118"/>
      <c r="R29" s="117"/>
      <c r="S29" s="117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64"/>
      <c r="O30" s="161"/>
      <c r="P30" s="118"/>
      <c r="Q30" s="118"/>
      <c r="R30" s="117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64"/>
      <c r="O31" s="161"/>
      <c r="P31" s="118"/>
      <c r="Q31" s="118"/>
      <c r="R31" s="117"/>
      <c r="S31" s="117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64"/>
      <c r="O32" s="161"/>
      <c r="P32" s="118"/>
      <c r="Q32" s="118"/>
      <c r="R32" s="117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64"/>
      <c r="O33" s="161"/>
      <c r="P33" s="118"/>
      <c r="Q33" s="118"/>
      <c r="R33" s="117"/>
      <c r="S33" s="117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64"/>
      <c r="O34" s="161"/>
      <c r="P34" s="118"/>
      <c r="Q34" s="118"/>
      <c r="R34" s="117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64"/>
      <c r="O35" s="161"/>
      <c r="P35" s="118"/>
      <c r="Q35" s="118"/>
      <c r="R35" s="117"/>
      <c r="S35" s="117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64"/>
      <c r="O36" s="161"/>
      <c r="P36" s="118"/>
      <c r="Q36" s="118"/>
      <c r="R36" s="117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64"/>
      <c r="O37" s="161"/>
      <c r="P37" s="118"/>
      <c r="Q37" s="118"/>
      <c r="R37" s="117"/>
      <c r="S37" s="117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64"/>
      <c r="O38" s="161"/>
      <c r="P38" s="118"/>
      <c r="Q38" s="118"/>
      <c r="R38" s="117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64"/>
      <c r="O39" s="161"/>
      <c r="P39" s="118"/>
      <c r="Q39" s="118"/>
      <c r="R39" s="117"/>
      <c r="S39" s="117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64"/>
      <c r="O40" s="161"/>
      <c r="P40" s="118"/>
      <c r="Q40" s="118"/>
      <c r="R40" s="117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64"/>
      <c r="O41" s="161"/>
      <c r="P41" s="118"/>
      <c r="Q41" s="118"/>
      <c r="R41" s="117"/>
      <c r="S41" s="117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64"/>
      <c r="O42" s="161"/>
      <c r="P42" s="118"/>
      <c r="Q42" s="118"/>
      <c r="R42" s="117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64"/>
      <c r="O43" s="161"/>
      <c r="P43" s="118"/>
      <c r="Q43" s="118"/>
      <c r="R43" s="117"/>
      <c r="S43" s="117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64"/>
      <c r="O44" s="161"/>
      <c r="P44" s="118"/>
      <c r="Q44" s="118"/>
      <c r="R44" s="117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64"/>
      <c r="O45" s="161"/>
      <c r="P45" s="118"/>
      <c r="Q45" s="118"/>
      <c r="R45" s="117"/>
      <c r="S45" s="117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64"/>
      <c r="O46" s="161"/>
      <c r="P46" s="118"/>
      <c r="Q46" s="118"/>
      <c r="R46" s="117"/>
      <c r="S46" s="117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64"/>
      <c r="O47" s="161"/>
      <c r="P47" s="118"/>
      <c r="Q47" s="118"/>
      <c r="R47" s="117"/>
      <c r="S47" s="117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64"/>
      <c r="O48" s="161"/>
      <c r="P48" s="118"/>
      <c r="Q48" s="118"/>
      <c r="R48" s="117"/>
      <c r="S48" s="117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64"/>
      <c r="O49" s="161"/>
      <c r="P49" s="118"/>
      <c r="Q49" s="118"/>
      <c r="R49" s="117"/>
      <c r="S49" s="117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64"/>
      <c r="O50" s="161"/>
      <c r="P50" s="118"/>
      <c r="Q50" s="118"/>
      <c r="R50" s="117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64"/>
      <c r="O51" s="161"/>
      <c r="P51" s="118"/>
      <c r="Q51" s="118"/>
      <c r="R51" s="117"/>
      <c r="S51" s="117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64"/>
      <c r="O52" s="161"/>
      <c r="P52" s="118"/>
      <c r="Q52" s="118"/>
      <c r="R52" s="117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64"/>
      <c r="O53" s="161"/>
      <c r="P53" s="118"/>
      <c r="Q53" s="118"/>
      <c r="R53" s="117"/>
      <c r="S53" s="117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64"/>
      <c r="O54" s="161"/>
      <c r="P54" s="118"/>
      <c r="Q54" s="118"/>
      <c r="R54" s="117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64"/>
      <c r="O55" s="161"/>
      <c r="P55" s="118"/>
      <c r="Q55" s="118"/>
      <c r="R55" s="117"/>
      <c r="S55" s="117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64"/>
      <c r="O56" s="161"/>
      <c r="P56" s="118"/>
      <c r="Q56" s="118"/>
      <c r="R56" s="117"/>
      <c r="S56" s="117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64"/>
      <c r="O57" s="161"/>
      <c r="P57" s="118"/>
      <c r="Q57" s="118"/>
      <c r="R57" s="117"/>
      <c r="S57" s="117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64"/>
      <c r="O58" s="161"/>
      <c r="P58" s="118"/>
      <c r="Q58" s="118"/>
      <c r="R58" s="117"/>
      <c r="S58" s="117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64"/>
      <c r="O59" s="161"/>
      <c r="P59" s="118"/>
      <c r="Q59" s="118"/>
      <c r="R59" s="117"/>
      <c r="S59" s="117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64"/>
      <c r="O60" s="161"/>
      <c r="P60" s="118"/>
      <c r="Q60" s="118"/>
      <c r="R60" s="117"/>
      <c r="S60" s="117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64"/>
      <c r="O61" s="161"/>
      <c r="P61" s="118"/>
      <c r="Q61" s="118"/>
      <c r="R61" s="117"/>
      <c r="S61" s="117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64"/>
      <c r="O62" s="161"/>
      <c r="P62" s="118"/>
      <c r="Q62" s="118"/>
      <c r="R62" s="117"/>
      <c r="S62" s="117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64"/>
      <c r="O63" s="161"/>
      <c r="P63" s="118"/>
      <c r="Q63" s="118"/>
      <c r="R63" s="117"/>
      <c r="S63" s="117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64"/>
      <c r="O64" s="161"/>
      <c r="P64" s="118"/>
      <c r="Q64" s="118"/>
      <c r="R64" s="117"/>
      <c r="S64" s="117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64"/>
      <c r="O65" s="161"/>
      <c r="P65" s="118"/>
      <c r="Q65" s="118"/>
      <c r="R65" s="117"/>
      <c r="S65" s="117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64"/>
      <c r="O66" s="161"/>
      <c r="P66" s="118"/>
      <c r="Q66" s="118"/>
      <c r="R66" s="117"/>
      <c r="S66" s="117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64"/>
      <c r="O67" s="161"/>
      <c r="P67" s="118"/>
      <c r="Q67" s="118"/>
      <c r="R67" s="117"/>
      <c r="S67" s="117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64"/>
      <c r="O68" s="161"/>
      <c r="P68" s="118"/>
      <c r="Q68" s="118"/>
      <c r="R68" s="117"/>
      <c r="S68" s="117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64"/>
      <c r="O69" s="161"/>
      <c r="P69" s="118"/>
      <c r="Q69" s="118"/>
      <c r="R69" s="117"/>
      <c r="S69" s="117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64"/>
      <c r="O70" s="161"/>
      <c r="P70" s="118"/>
      <c r="Q70" s="118"/>
      <c r="R70" s="117"/>
      <c r="S70" s="117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64"/>
      <c r="O71" s="161"/>
      <c r="P71" s="118"/>
      <c r="Q71" s="118"/>
      <c r="R71" s="117"/>
      <c r="S71" s="117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64"/>
      <c r="O72" s="161"/>
      <c r="P72" s="118"/>
      <c r="Q72" s="118"/>
      <c r="R72" s="117"/>
      <c r="S72" s="117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64"/>
      <c r="O73" s="161"/>
      <c r="P73" s="118"/>
      <c r="Q73" s="118"/>
      <c r="R73" s="117"/>
      <c r="S73" s="117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64"/>
      <c r="O74" s="161"/>
      <c r="P74" s="118"/>
      <c r="Q74" s="118"/>
      <c r="R74" s="117"/>
      <c r="S74" s="117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64"/>
      <c r="O75" s="161"/>
      <c r="P75" s="118"/>
      <c r="Q75" s="118"/>
      <c r="R75" s="117"/>
      <c r="S75" s="117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64"/>
      <c r="O76" s="161"/>
      <c r="P76" s="118"/>
      <c r="Q76" s="118"/>
      <c r="R76" s="117"/>
      <c r="S76" s="117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64"/>
      <c r="O77" s="161"/>
      <c r="P77" s="118"/>
      <c r="Q77" s="118"/>
      <c r="R77" s="117"/>
      <c r="S77" s="117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64"/>
      <c r="O78" s="161"/>
      <c r="P78" s="118"/>
      <c r="Q78" s="118"/>
      <c r="R78" s="117"/>
      <c r="S78" s="117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64"/>
      <c r="O79" s="161"/>
      <c r="P79" s="118"/>
      <c r="Q79" s="118"/>
      <c r="R79" s="117"/>
      <c r="S79" s="117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64"/>
      <c r="O80" s="161"/>
      <c r="P80" s="118"/>
      <c r="Q80" s="118"/>
      <c r="R80" s="117"/>
      <c r="S80" s="117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64"/>
      <c r="O81" s="161"/>
      <c r="P81" s="118"/>
      <c r="Q81" s="118"/>
      <c r="R81" s="117"/>
      <c r="S81" s="117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64"/>
      <c r="O82" s="161"/>
      <c r="P82" s="118"/>
      <c r="Q82" s="118"/>
      <c r="R82" s="117"/>
      <c r="S82" s="117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64"/>
      <c r="O83" s="161"/>
      <c r="P83" s="118"/>
      <c r="Q83" s="118"/>
      <c r="R83" s="117"/>
      <c r="S83" s="117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64"/>
      <c r="O84" s="161"/>
      <c r="P84" s="118"/>
      <c r="Q84" s="118"/>
      <c r="R84" s="117"/>
      <c r="S84" s="117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64"/>
      <c r="O85" s="161"/>
      <c r="P85" s="118"/>
      <c r="Q85" s="118"/>
      <c r="R85" s="117"/>
      <c r="S85" s="117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64"/>
      <c r="O86" s="161"/>
      <c r="P86" s="118"/>
      <c r="Q86" s="118"/>
      <c r="R86" s="117"/>
      <c r="S86" s="117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64"/>
      <c r="O87" s="161"/>
      <c r="P87" s="118"/>
      <c r="Q87" s="118"/>
      <c r="R87" s="117"/>
      <c r="S87" s="117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64"/>
      <c r="O88" s="161"/>
      <c r="P88" s="118"/>
      <c r="Q88" s="118"/>
      <c r="R88" s="117"/>
      <c r="S88" s="117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64"/>
      <c r="O89" s="161"/>
      <c r="P89" s="118"/>
      <c r="Q89" s="118"/>
      <c r="R89" s="117"/>
      <c r="S89" s="117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64"/>
      <c r="O90" s="161"/>
      <c r="P90" s="118"/>
      <c r="Q90" s="118"/>
      <c r="R90" s="117"/>
      <c r="S90" s="117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64"/>
      <c r="O91" s="161"/>
      <c r="P91" s="118"/>
      <c r="Q91" s="118"/>
      <c r="R91" s="117"/>
      <c r="S91" s="117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64"/>
      <c r="O92" s="161"/>
      <c r="P92" s="118"/>
      <c r="Q92" s="118"/>
      <c r="R92" s="117"/>
      <c r="S92" s="117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64"/>
      <c r="O93" s="161"/>
      <c r="P93" s="118"/>
      <c r="Q93" s="118"/>
      <c r="R93" s="117"/>
      <c r="S93" s="117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64"/>
      <c r="O94" s="161"/>
      <c r="P94" s="118"/>
      <c r="Q94" s="118"/>
      <c r="R94" s="117"/>
      <c r="S94" s="117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64"/>
      <c r="O95" s="161"/>
      <c r="P95" s="118"/>
      <c r="Q95" s="118"/>
      <c r="R95" s="117"/>
      <c r="S95" s="117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64"/>
      <c r="O96" s="161"/>
      <c r="P96" s="118"/>
      <c r="Q96" s="118"/>
      <c r="R96" s="117"/>
      <c r="S96" s="117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64"/>
      <c r="O97" s="161"/>
      <c r="P97" s="118"/>
      <c r="Q97" s="118"/>
      <c r="R97" s="117"/>
      <c r="S97" s="117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64"/>
      <c r="O98" s="161"/>
      <c r="P98" s="118"/>
      <c r="Q98" s="118"/>
      <c r="R98" s="117"/>
      <c r="S98" s="117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64"/>
      <c r="O99" s="161"/>
      <c r="P99" s="118"/>
      <c r="Q99" s="118"/>
      <c r="R99" s="117"/>
      <c r="S99" s="117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64"/>
      <c r="O100" s="161"/>
      <c r="P100" s="118"/>
      <c r="Q100" s="118"/>
      <c r="R100" s="117"/>
      <c r="S100" s="117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64"/>
      <c r="O101" s="161"/>
      <c r="P101" s="118"/>
      <c r="Q101" s="118"/>
      <c r="R101" s="117"/>
      <c r="S101" s="117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64"/>
      <c r="O102" s="161"/>
      <c r="P102" s="118"/>
      <c r="Q102" s="118"/>
      <c r="R102" s="117"/>
      <c r="S102" s="117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64"/>
      <c r="O103" s="161"/>
      <c r="P103" s="118"/>
      <c r="Q103" s="118"/>
      <c r="R103" s="117"/>
      <c r="S103" s="117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64"/>
      <c r="O104" s="161"/>
      <c r="P104" s="118"/>
      <c r="Q104" s="118"/>
      <c r="R104" s="117"/>
      <c r="S104" s="117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64"/>
      <c r="O105" s="161"/>
      <c r="P105" s="118"/>
      <c r="Q105" s="118"/>
      <c r="R105" s="117"/>
      <c r="S105" s="117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64"/>
      <c r="O106" s="161"/>
      <c r="P106" s="118"/>
      <c r="Q106" s="118"/>
      <c r="R106" s="117"/>
      <c r="S106" s="117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64"/>
      <c r="O107" s="161"/>
      <c r="P107" s="118"/>
      <c r="Q107" s="118"/>
      <c r="R107" s="117"/>
      <c r="S107" s="117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64"/>
      <c r="O108" s="161"/>
      <c r="P108" s="118"/>
      <c r="Q108" s="118"/>
      <c r="R108" s="117"/>
      <c r="S108" s="117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64"/>
      <c r="O109" s="161"/>
      <c r="P109" s="118"/>
      <c r="Q109" s="118"/>
      <c r="R109" s="117"/>
      <c r="S109" s="117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64"/>
      <c r="O110" s="161"/>
      <c r="P110" s="118"/>
      <c r="Q110" s="118"/>
      <c r="R110" s="117"/>
      <c r="S110" s="117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64"/>
      <c r="O111" s="161"/>
      <c r="P111" s="118"/>
      <c r="Q111" s="118"/>
      <c r="R111" s="117"/>
      <c r="S111" s="117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64"/>
      <c r="O112" s="161"/>
      <c r="P112" s="118"/>
      <c r="Q112" s="118"/>
      <c r="R112" s="117"/>
      <c r="S112" s="117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64"/>
      <c r="O113" s="161"/>
      <c r="P113" s="118"/>
      <c r="Q113" s="118"/>
      <c r="R113" s="117"/>
      <c r="S113" s="117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64"/>
      <c r="O114" s="161"/>
      <c r="P114" s="118"/>
      <c r="Q114" s="118"/>
      <c r="R114" s="117"/>
      <c r="S114" s="117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64"/>
      <c r="O115" s="161"/>
      <c r="P115" s="118"/>
      <c r="Q115" s="118"/>
      <c r="R115" s="117"/>
      <c r="S115" s="117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64"/>
      <c r="O116" s="161"/>
      <c r="P116" s="118"/>
      <c r="Q116" s="118"/>
      <c r="R116" s="117"/>
      <c r="S116" s="117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64"/>
      <c r="O117" s="161"/>
      <c r="P117" s="118"/>
      <c r="Q117" s="118"/>
      <c r="R117" s="117"/>
      <c r="S117" s="117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64"/>
      <c r="O118" s="161"/>
      <c r="P118" s="118"/>
      <c r="Q118" s="118"/>
      <c r="R118" s="117"/>
      <c r="S118" s="117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64"/>
      <c r="O119" s="161"/>
      <c r="P119" s="118"/>
      <c r="Q119" s="118"/>
      <c r="R119" s="117"/>
      <c r="S119" s="117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64"/>
      <c r="O120" s="161"/>
      <c r="P120" s="118"/>
      <c r="Q120" s="118"/>
      <c r="R120" s="117"/>
      <c r="S120" s="117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64"/>
      <c r="O121" s="161"/>
      <c r="P121" s="118"/>
      <c r="Q121" s="118"/>
      <c r="R121" s="117"/>
      <c r="S121" s="117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64"/>
      <c r="O122" s="161"/>
      <c r="P122" s="118"/>
      <c r="Q122" s="118"/>
      <c r="R122" s="117"/>
      <c r="S122" s="117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64"/>
      <c r="O123" s="161"/>
      <c r="P123" s="118"/>
      <c r="Q123" s="118"/>
      <c r="R123" s="117"/>
      <c r="S123" s="117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64"/>
      <c r="O124" s="161"/>
      <c r="P124" s="118"/>
      <c r="Q124" s="118"/>
      <c r="R124" s="117"/>
      <c r="S124" s="117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64"/>
      <c r="O125" s="161"/>
      <c r="P125" s="118"/>
      <c r="Q125" s="118"/>
      <c r="R125" s="117"/>
      <c r="S125" s="117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64"/>
      <c r="O126" s="161"/>
      <c r="P126" s="118"/>
      <c r="Q126" s="118"/>
      <c r="R126" s="117"/>
      <c r="S126" s="117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64"/>
      <c r="O127" s="161"/>
      <c r="P127" s="118"/>
      <c r="Q127" s="118"/>
      <c r="R127" s="117"/>
      <c r="S127" s="117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64"/>
      <c r="O128" s="161"/>
      <c r="P128" s="118"/>
      <c r="Q128" s="118"/>
      <c r="R128" s="117"/>
      <c r="S128" s="117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64"/>
      <c r="O129" s="161"/>
      <c r="P129" s="118"/>
      <c r="Q129" s="118"/>
      <c r="R129" s="117"/>
      <c r="S129" s="117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64"/>
      <c r="O130" s="161"/>
      <c r="P130" s="118"/>
      <c r="Q130" s="118"/>
      <c r="R130" s="117"/>
      <c r="S130" s="117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64"/>
      <c r="O131" s="161"/>
      <c r="P131" s="118"/>
      <c r="Q131" s="118"/>
      <c r="R131" s="117"/>
      <c r="S131" s="117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64"/>
      <c r="O132" s="161"/>
      <c r="P132" s="118"/>
      <c r="Q132" s="118"/>
      <c r="R132" s="117"/>
      <c r="S132" s="117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64"/>
      <c r="O133" s="161"/>
      <c r="P133" s="118"/>
      <c r="Q133" s="118"/>
      <c r="R133" s="117"/>
      <c r="S133" s="117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64"/>
      <c r="O134" s="161"/>
      <c r="P134" s="118"/>
      <c r="Q134" s="118"/>
      <c r="R134" s="117"/>
      <c r="S134" s="117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64"/>
      <c r="O135" s="161"/>
      <c r="P135" s="118"/>
      <c r="Q135" s="118"/>
      <c r="R135" s="117"/>
      <c r="S135" s="117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64"/>
      <c r="O136" s="161"/>
      <c r="P136" s="118"/>
      <c r="Q136" s="118"/>
      <c r="R136" s="117"/>
      <c r="S136" s="117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64"/>
      <c r="O137" s="161"/>
      <c r="P137" s="118"/>
      <c r="Q137" s="118"/>
      <c r="R137" s="117"/>
      <c r="S137" s="117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64"/>
      <c r="O138" s="161"/>
      <c r="P138" s="118"/>
      <c r="Q138" s="118"/>
      <c r="R138" s="117"/>
      <c r="S138" s="117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64"/>
      <c r="O139" s="161"/>
      <c r="P139" s="118"/>
      <c r="Q139" s="118"/>
      <c r="R139" s="117"/>
      <c r="S139" s="117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64"/>
      <c r="O140" s="161"/>
      <c r="P140" s="118"/>
      <c r="Q140" s="118"/>
      <c r="R140" s="117"/>
      <c r="S140" s="117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64"/>
      <c r="O141" s="161"/>
      <c r="P141" s="118"/>
      <c r="Q141" s="118"/>
      <c r="R141" s="117"/>
      <c r="S141" s="117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64"/>
      <c r="O142" s="161"/>
      <c r="P142" s="118"/>
      <c r="Q142" s="118"/>
      <c r="R142" s="117"/>
      <c r="S142" s="117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64"/>
      <c r="O143" s="161"/>
      <c r="P143" s="118"/>
      <c r="Q143" s="118"/>
      <c r="R143" s="117"/>
      <c r="S143" s="117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64"/>
      <c r="O144" s="161"/>
      <c r="P144" s="118"/>
      <c r="Q144" s="118"/>
      <c r="R144" s="117"/>
      <c r="S144" s="117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64"/>
      <c r="O145" s="161"/>
      <c r="P145" s="118"/>
      <c r="Q145" s="118"/>
      <c r="R145" s="117"/>
      <c r="S145" s="117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64"/>
      <c r="O146" s="161"/>
      <c r="P146" s="118"/>
      <c r="Q146" s="118"/>
      <c r="R146" s="117"/>
      <c r="S146" s="117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64"/>
      <c r="O147" s="161"/>
      <c r="P147" s="118"/>
      <c r="Q147" s="118"/>
      <c r="R147" s="117"/>
      <c r="S147" s="117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64"/>
      <c r="O148" s="161"/>
      <c r="P148" s="118"/>
      <c r="Q148" s="118"/>
      <c r="R148" s="117"/>
      <c r="S148" s="117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64"/>
      <c r="O149" s="161"/>
      <c r="P149" s="118"/>
      <c r="Q149" s="118"/>
      <c r="R149" s="117"/>
      <c r="S149" s="117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64"/>
      <c r="O150" s="161"/>
      <c r="P150" s="118"/>
      <c r="Q150" s="118"/>
      <c r="R150" s="117"/>
      <c r="S150" s="117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64"/>
      <c r="O151" s="161"/>
      <c r="P151" s="118"/>
      <c r="Q151" s="118"/>
      <c r="R151" s="117"/>
      <c r="S151" s="117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64"/>
      <c r="O152" s="161"/>
      <c r="P152" s="118"/>
      <c r="Q152" s="118"/>
      <c r="R152" s="117"/>
      <c r="S152" s="117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64"/>
      <c r="O153" s="161"/>
      <c r="P153" s="118"/>
      <c r="Q153" s="118"/>
      <c r="R153" s="117"/>
      <c r="S153" s="117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64"/>
      <c r="O154" s="161"/>
      <c r="P154" s="118"/>
      <c r="Q154" s="118"/>
      <c r="R154" s="117"/>
      <c r="S154" s="117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64"/>
      <c r="O155" s="161"/>
      <c r="P155" s="118"/>
      <c r="Q155" s="118"/>
      <c r="R155" s="117"/>
      <c r="S155" s="117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64"/>
      <c r="O156" s="161"/>
      <c r="P156" s="118"/>
      <c r="Q156" s="118"/>
      <c r="R156" s="117"/>
      <c r="S156" s="117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64"/>
      <c r="O157" s="161"/>
      <c r="P157" s="118"/>
      <c r="Q157" s="118"/>
      <c r="R157" s="117"/>
      <c r="S157" s="117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64"/>
      <c r="O158" s="161"/>
      <c r="P158" s="118"/>
      <c r="Q158" s="118"/>
      <c r="R158" s="117"/>
      <c r="S158" s="117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64"/>
      <c r="O159" s="161"/>
      <c r="P159" s="118"/>
      <c r="Q159" s="118"/>
      <c r="R159" s="117"/>
      <c r="S159" s="117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64"/>
      <c r="O160" s="161"/>
      <c r="P160" s="118"/>
      <c r="Q160" s="118"/>
      <c r="R160" s="117"/>
      <c r="S160" s="117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64"/>
      <c r="O161" s="161"/>
      <c r="P161" s="118"/>
      <c r="Q161" s="118"/>
      <c r="R161" s="117"/>
      <c r="S161" s="117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64"/>
      <c r="O162" s="161"/>
      <c r="P162" s="118"/>
      <c r="Q162" s="118"/>
      <c r="R162" s="117"/>
      <c r="S162" s="117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64"/>
      <c r="O163" s="161"/>
      <c r="P163" s="118"/>
      <c r="Q163" s="118"/>
      <c r="R163" s="117"/>
      <c r="S163" s="117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64"/>
      <c r="O164" s="161"/>
      <c r="P164" s="118"/>
      <c r="Q164" s="118"/>
      <c r="R164" s="117"/>
      <c r="S164" s="117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64"/>
      <c r="O165" s="161"/>
      <c r="P165" s="118"/>
      <c r="Q165" s="118"/>
      <c r="R165" s="117"/>
      <c r="S165" s="117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64"/>
      <c r="O166" s="161"/>
      <c r="P166" s="118"/>
      <c r="Q166" s="118"/>
      <c r="R166" s="117"/>
      <c r="S166" s="117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64"/>
      <c r="O167" s="161"/>
      <c r="P167" s="118"/>
      <c r="Q167" s="118"/>
      <c r="R167" s="117"/>
      <c r="S167" s="117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64"/>
      <c r="O168" s="161"/>
      <c r="P168" s="118"/>
      <c r="Q168" s="118"/>
      <c r="R168" s="117"/>
      <c r="S168" s="117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64"/>
      <c r="O169" s="161"/>
      <c r="P169" s="118"/>
      <c r="Q169" s="118"/>
      <c r="R169" s="117"/>
      <c r="S169" s="117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64"/>
      <c r="O170" s="161"/>
      <c r="P170" s="118"/>
      <c r="Q170" s="118"/>
      <c r="R170" s="117"/>
      <c r="S170" s="117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64"/>
      <c r="O171" s="161"/>
      <c r="P171" s="118"/>
      <c r="Q171" s="118"/>
      <c r="R171" s="117"/>
      <c r="S171" s="117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64"/>
      <c r="O172" s="161"/>
      <c r="P172" s="118"/>
      <c r="Q172" s="118"/>
      <c r="R172" s="117"/>
      <c r="S172" s="117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64"/>
      <c r="O173" s="161"/>
      <c r="P173" s="118"/>
      <c r="Q173" s="118"/>
      <c r="R173" s="117"/>
      <c r="S173" s="117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64"/>
      <c r="O174" s="161"/>
      <c r="P174" s="118"/>
      <c r="Q174" s="118"/>
      <c r="R174" s="117"/>
      <c r="S174" s="117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64"/>
      <c r="O175" s="161"/>
      <c r="P175" s="118"/>
      <c r="Q175" s="118"/>
      <c r="R175" s="117"/>
      <c r="S175" s="117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64"/>
      <c r="O176" s="161"/>
      <c r="P176" s="118"/>
      <c r="Q176" s="118"/>
      <c r="R176" s="117"/>
      <c r="S176" s="117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64"/>
      <c r="O177" s="161"/>
      <c r="P177" s="118"/>
      <c r="Q177" s="118"/>
      <c r="R177" s="117"/>
      <c r="S177" s="117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64"/>
      <c r="O178" s="161"/>
      <c r="P178" s="118"/>
      <c r="Q178" s="118"/>
      <c r="R178" s="117"/>
      <c r="S178" s="117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64"/>
      <c r="O179" s="161"/>
      <c r="P179" s="118"/>
      <c r="Q179" s="118"/>
      <c r="R179" s="117"/>
      <c r="S179" s="117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64"/>
      <c r="O180" s="161"/>
      <c r="P180" s="118"/>
      <c r="Q180" s="118"/>
      <c r="R180" s="117"/>
      <c r="S180" s="117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64"/>
      <c r="O181" s="161"/>
      <c r="P181" s="118"/>
      <c r="Q181" s="118"/>
      <c r="R181" s="117"/>
      <c r="S181" s="117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64"/>
      <c r="O182" s="161"/>
      <c r="P182" s="118"/>
      <c r="Q182" s="118"/>
      <c r="R182" s="117"/>
      <c r="S182" s="117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64"/>
      <c r="O183" s="161"/>
      <c r="P183" s="118"/>
      <c r="Q183" s="118"/>
      <c r="R183" s="117"/>
      <c r="S183" s="117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64"/>
      <c r="O184" s="161"/>
      <c r="P184" s="118"/>
      <c r="Q184" s="118"/>
      <c r="R184" s="117"/>
      <c r="S184" s="117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64"/>
      <c r="O185" s="161"/>
      <c r="P185" s="118"/>
      <c r="Q185" s="118"/>
      <c r="R185" s="117"/>
      <c r="S185" s="117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64"/>
      <c r="O186" s="161"/>
      <c r="P186" s="118"/>
      <c r="Q186" s="118"/>
      <c r="R186" s="117"/>
      <c r="S186" s="117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64"/>
      <c r="O187" s="161"/>
      <c r="P187" s="118"/>
      <c r="Q187" s="118"/>
      <c r="R187" s="117"/>
      <c r="S187" s="117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64"/>
      <c r="O188" s="161"/>
      <c r="P188" s="118"/>
      <c r="Q188" s="118"/>
      <c r="R188" s="117"/>
      <c r="S188" s="117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64"/>
      <c r="O189" s="161"/>
      <c r="P189" s="118"/>
      <c r="Q189" s="118"/>
      <c r="R189" s="117"/>
      <c r="S189" s="117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64"/>
      <c r="O190" s="161"/>
      <c r="P190" s="118"/>
      <c r="Q190" s="118"/>
      <c r="R190" s="117"/>
      <c r="S190" s="117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64"/>
      <c r="O191" s="161"/>
      <c r="P191" s="118"/>
      <c r="Q191" s="118"/>
      <c r="R191" s="117"/>
      <c r="S191" s="117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64"/>
      <c r="O192" s="161"/>
      <c r="P192" s="118"/>
      <c r="Q192" s="118"/>
      <c r="R192" s="117"/>
      <c r="S192" s="117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64"/>
      <c r="O193" s="161"/>
      <c r="P193" s="118"/>
      <c r="Q193" s="118"/>
      <c r="R193" s="117"/>
      <c r="S193" s="117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64"/>
      <c r="O194" s="161"/>
      <c r="P194" s="118"/>
      <c r="Q194" s="118"/>
      <c r="R194" s="117"/>
      <c r="S194" s="117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64"/>
      <c r="O195" s="161"/>
      <c r="P195" s="118"/>
      <c r="Q195" s="118"/>
      <c r="R195" s="117"/>
      <c r="S195" s="117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64"/>
      <c r="O196" s="161"/>
      <c r="P196" s="118"/>
      <c r="Q196" s="118"/>
      <c r="R196" s="117"/>
      <c r="S196" s="117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64"/>
      <c r="O197" s="161"/>
      <c r="P197" s="118"/>
      <c r="Q197" s="118"/>
      <c r="R197" s="117"/>
      <c r="S197" s="117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64"/>
      <c r="O198" s="161"/>
      <c r="P198" s="118"/>
      <c r="Q198" s="118"/>
      <c r="R198" s="117"/>
      <c r="S198" s="117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64"/>
      <c r="O199" s="161"/>
      <c r="P199" s="118"/>
      <c r="Q199" s="118"/>
      <c r="R199" s="117"/>
      <c r="S199" s="117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64"/>
      <c r="O200" s="161"/>
      <c r="P200" s="118"/>
      <c r="Q200" s="118"/>
      <c r="R200" s="117"/>
      <c r="S200" s="117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64"/>
      <c r="O201" s="161"/>
      <c r="P201" s="118"/>
      <c r="Q201" s="118"/>
      <c r="R201" s="117"/>
      <c r="S201" s="117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64"/>
      <c r="O202" s="161"/>
      <c r="P202" s="118"/>
      <c r="Q202" s="118"/>
      <c r="R202" s="117"/>
      <c r="S202" s="117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64"/>
      <c r="O203" s="161"/>
      <c r="P203" s="118"/>
      <c r="Q203" s="118"/>
      <c r="R203" s="117"/>
      <c r="S203" s="117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64"/>
      <c r="O204" s="161"/>
      <c r="P204" s="118"/>
      <c r="Q204" s="118"/>
      <c r="R204" s="117"/>
      <c r="S204" s="117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64"/>
      <c r="O205" s="161"/>
      <c r="P205" s="118"/>
      <c r="Q205" s="118"/>
      <c r="R205" s="117"/>
      <c r="S205" s="117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64"/>
      <c r="O206" s="161"/>
      <c r="P206" s="118"/>
      <c r="Q206" s="118"/>
      <c r="R206" s="117"/>
      <c r="S206" s="117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64"/>
      <c r="O207" s="161"/>
      <c r="P207" s="118"/>
      <c r="Q207" s="118"/>
      <c r="R207" s="117"/>
      <c r="S207" s="117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64"/>
      <c r="O208" s="161"/>
      <c r="P208" s="118"/>
      <c r="Q208" s="118"/>
      <c r="R208" s="117"/>
      <c r="S208" s="117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64"/>
      <c r="O209" s="161"/>
      <c r="P209" s="118"/>
      <c r="Q209" s="118"/>
      <c r="R209" s="117"/>
      <c r="S209" s="117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64"/>
      <c r="O210" s="161"/>
      <c r="P210" s="118"/>
      <c r="Q210" s="118"/>
      <c r="R210" s="117"/>
      <c r="S210" s="117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64"/>
      <c r="O211" s="161"/>
      <c r="P211" s="118"/>
      <c r="Q211" s="118"/>
      <c r="R211" s="117"/>
      <c r="S211" s="117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64"/>
      <c r="O212" s="161"/>
      <c r="P212" s="118"/>
      <c r="Q212" s="118"/>
      <c r="R212" s="117"/>
      <c r="S212" s="117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64"/>
      <c r="O213" s="161"/>
      <c r="P213" s="118"/>
      <c r="Q213" s="118"/>
      <c r="R213" s="117"/>
      <c r="S213" s="117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64"/>
      <c r="O214" s="161"/>
      <c r="P214" s="118"/>
      <c r="Q214" s="118"/>
      <c r="R214" s="117"/>
      <c r="S214" s="117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64"/>
      <c r="O215" s="161"/>
      <c r="P215" s="118"/>
      <c r="Q215" s="118"/>
      <c r="R215" s="117"/>
      <c r="S215" s="117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64"/>
      <c r="O216" s="161"/>
      <c r="P216" s="118"/>
      <c r="Q216" s="118"/>
      <c r="R216" s="117"/>
      <c r="S216" s="117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64"/>
      <c r="O217" s="161"/>
      <c r="P217" s="118"/>
      <c r="Q217" s="118"/>
      <c r="R217" s="117"/>
      <c r="S217" s="117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64"/>
      <c r="O218" s="161"/>
      <c r="P218" s="118"/>
      <c r="Q218" s="118"/>
      <c r="R218" s="117"/>
      <c r="S218" s="117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64"/>
      <c r="O219" s="161"/>
      <c r="P219" s="118"/>
      <c r="Q219" s="118"/>
      <c r="R219" s="117"/>
      <c r="S219" s="117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64"/>
      <c r="O220" s="161"/>
      <c r="P220" s="118"/>
      <c r="Q220" s="118"/>
      <c r="R220" s="117"/>
      <c r="S220" s="117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64"/>
      <c r="O221" s="161"/>
      <c r="P221" s="118"/>
      <c r="Q221" s="118"/>
      <c r="R221" s="117"/>
      <c r="S221" s="117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64"/>
      <c r="O222" s="161"/>
      <c r="P222" s="118"/>
      <c r="Q222" s="118"/>
      <c r="R222" s="117"/>
      <c r="S222" s="117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64"/>
      <c r="O223" s="161"/>
      <c r="P223" s="118"/>
      <c r="Q223" s="118"/>
      <c r="R223" s="117"/>
      <c r="S223" s="117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64"/>
      <c r="O224" s="161"/>
      <c r="P224" s="118"/>
      <c r="Q224" s="118"/>
      <c r="R224" s="117"/>
      <c r="S224" s="117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64"/>
      <c r="O225" s="161"/>
      <c r="P225" s="118"/>
      <c r="Q225" s="118"/>
      <c r="R225" s="117"/>
      <c r="S225" s="117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64"/>
      <c r="O226" s="161"/>
      <c r="P226" s="118"/>
      <c r="Q226" s="118"/>
      <c r="R226" s="117"/>
      <c r="S226" s="117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64"/>
      <c r="O227" s="161"/>
      <c r="P227" s="118"/>
      <c r="Q227" s="118"/>
      <c r="R227" s="117"/>
      <c r="S227" s="117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64"/>
      <c r="O228" s="161"/>
      <c r="P228" s="118"/>
      <c r="Q228" s="118"/>
      <c r="R228" s="117"/>
      <c r="S228" s="117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64"/>
      <c r="O229" s="161"/>
      <c r="P229" s="118"/>
      <c r="Q229" s="118"/>
      <c r="R229" s="117"/>
      <c r="S229" s="117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64"/>
      <c r="O230" s="161"/>
      <c r="P230" s="118"/>
      <c r="Q230" s="118"/>
      <c r="R230" s="117"/>
      <c r="S230" s="117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64"/>
      <c r="O231" s="161"/>
      <c r="P231" s="118"/>
      <c r="Q231" s="118"/>
      <c r="R231" s="117"/>
      <c r="S231" s="117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64"/>
      <c r="O232" s="161"/>
      <c r="P232" s="118"/>
      <c r="Q232" s="118"/>
      <c r="R232" s="117"/>
      <c r="S232" s="117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64"/>
      <c r="O233" s="161"/>
      <c r="P233" s="118"/>
      <c r="Q233" s="118"/>
      <c r="R233" s="117"/>
      <c r="S233" s="117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64"/>
      <c r="O234" s="161"/>
      <c r="P234" s="118"/>
      <c r="Q234" s="118"/>
      <c r="R234" s="117"/>
      <c r="S234" s="117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64"/>
      <c r="O235" s="161"/>
      <c r="P235" s="118"/>
      <c r="Q235" s="118"/>
      <c r="R235" s="117"/>
      <c r="S235" s="117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64"/>
      <c r="O236" s="161"/>
      <c r="P236" s="118"/>
      <c r="Q236" s="118"/>
      <c r="R236" s="117"/>
      <c r="S236" s="117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64"/>
      <c r="O237" s="161"/>
      <c r="P237" s="118"/>
      <c r="Q237" s="118"/>
      <c r="R237" s="117"/>
      <c r="S237" s="117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64"/>
      <c r="O238" s="161"/>
      <c r="P238" s="118"/>
      <c r="Q238" s="118"/>
      <c r="R238" s="117"/>
      <c r="S238" s="117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64"/>
      <c r="O239" s="161"/>
      <c r="P239" s="118"/>
      <c r="Q239" s="118"/>
      <c r="R239" s="117"/>
      <c r="S239" s="117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64"/>
      <c r="O240" s="161"/>
      <c r="P240" s="118"/>
      <c r="Q240" s="118"/>
      <c r="R240" s="117"/>
      <c r="S240" s="117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64"/>
      <c r="O241" s="161"/>
      <c r="P241" s="118"/>
      <c r="Q241" s="118"/>
      <c r="R241" s="117"/>
      <c r="S241" s="117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64"/>
      <c r="O242" s="161"/>
      <c r="P242" s="118"/>
      <c r="Q242" s="118"/>
      <c r="R242" s="117"/>
      <c r="S242" s="117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64"/>
      <c r="O243" s="161"/>
      <c r="P243" s="118"/>
      <c r="Q243" s="118"/>
      <c r="R243" s="117"/>
      <c r="S243" s="117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64"/>
      <c r="O244" s="161"/>
      <c r="P244" s="118"/>
      <c r="Q244" s="118"/>
      <c r="R244" s="117"/>
      <c r="S244" s="117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64"/>
      <c r="O245" s="161"/>
      <c r="P245" s="118"/>
      <c r="Q245" s="118"/>
      <c r="R245" s="117"/>
      <c r="S245" s="117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/>
      <c r="AR245" s="118"/>
      <c r="AS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64"/>
      <c r="O246" s="161"/>
      <c r="P246" s="118"/>
      <c r="Q246" s="118"/>
      <c r="R246" s="117"/>
      <c r="S246" s="117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64"/>
      <c r="O247" s="161"/>
      <c r="P247" s="118"/>
      <c r="Q247" s="118"/>
      <c r="R247" s="117"/>
      <c r="S247" s="117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64"/>
      <c r="O248" s="161"/>
      <c r="P248" s="118"/>
      <c r="Q248" s="118"/>
      <c r="R248" s="117"/>
      <c r="S248" s="117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64"/>
      <c r="O249" s="161"/>
      <c r="P249" s="118"/>
      <c r="Q249" s="118"/>
      <c r="R249" s="117"/>
      <c r="S249" s="117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AQ249" s="118"/>
      <c r="AR249" s="118"/>
      <c r="AS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64"/>
      <c r="O250" s="161"/>
      <c r="P250" s="118"/>
      <c r="Q250" s="118"/>
      <c r="R250" s="117"/>
      <c r="S250" s="117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64"/>
      <c r="O251" s="161"/>
      <c r="P251" s="118"/>
      <c r="Q251" s="118"/>
      <c r="R251" s="117"/>
      <c r="S251" s="117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/>
      <c r="AS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64"/>
      <c r="O252" s="161"/>
      <c r="P252" s="118"/>
      <c r="Q252" s="118"/>
      <c r="R252" s="117"/>
      <c r="S252" s="117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AQ252" s="118"/>
      <c r="AR252" s="118"/>
      <c r="AS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64"/>
      <c r="O253" s="161"/>
      <c r="P253" s="118"/>
      <c r="Q253" s="118"/>
      <c r="R253" s="117"/>
      <c r="S253" s="117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64"/>
      <c r="O254" s="161"/>
      <c r="P254" s="118"/>
      <c r="Q254" s="118"/>
      <c r="R254" s="117"/>
      <c r="S254" s="117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64"/>
      <c r="O255" s="161"/>
      <c r="P255" s="118"/>
      <c r="Q255" s="118"/>
      <c r="R255" s="117"/>
      <c r="S255" s="117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64"/>
      <c r="O256" s="161"/>
      <c r="P256" s="118"/>
      <c r="Q256" s="118"/>
      <c r="R256" s="117"/>
      <c r="S256" s="117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64"/>
      <c r="O257" s="161"/>
      <c r="P257" s="118"/>
      <c r="Q257" s="118"/>
      <c r="R257" s="117"/>
      <c r="S257" s="117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64"/>
      <c r="O258" s="161"/>
      <c r="P258" s="118"/>
      <c r="Q258" s="118"/>
      <c r="R258" s="117"/>
      <c r="S258" s="117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64"/>
      <c r="O259" s="161"/>
      <c r="P259" s="118"/>
      <c r="Q259" s="118"/>
      <c r="R259" s="117"/>
      <c r="S259" s="117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/>
      <c r="AR259" s="118"/>
      <c r="AS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64"/>
      <c r="O260" s="161"/>
      <c r="P260" s="118"/>
      <c r="Q260" s="118"/>
      <c r="R260" s="117"/>
      <c r="S260" s="117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64"/>
      <c r="O261" s="161"/>
      <c r="P261" s="118"/>
      <c r="Q261" s="118"/>
      <c r="R261" s="117"/>
      <c r="S261" s="117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AQ261" s="118"/>
      <c r="AR261" s="118"/>
      <c r="AS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64"/>
      <c r="O262" s="161"/>
      <c r="P262" s="118"/>
      <c r="Q262" s="118"/>
      <c r="R262" s="117"/>
      <c r="S262" s="117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118"/>
      <c r="AQ262" s="118"/>
      <c r="AR262" s="118"/>
      <c r="AS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64"/>
      <c r="O263" s="161"/>
      <c r="P263" s="118"/>
      <c r="Q263" s="118"/>
      <c r="R263" s="117"/>
      <c r="S263" s="117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  <c r="AL263" s="118"/>
      <c r="AM263" s="118"/>
      <c r="AN263" s="118"/>
      <c r="AO263" s="118"/>
      <c r="AP263" s="118"/>
      <c r="AQ263" s="118"/>
      <c r="AR263" s="118"/>
      <c r="AS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64"/>
      <c r="O264" s="161"/>
      <c r="P264" s="118"/>
      <c r="Q264" s="118"/>
      <c r="R264" s="117"/>
      <c r="S264" s="117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AQ264" s="118"/>
      <c r="AR264" s="118"/>
      <c r="AS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64"/>
      <c r="O265" s="161"/>
      <c r="P265" s="118"/>
      <c r="Q265" s="118"/>
      <c r="R265" s="117"/>
      <c r="S265" s="117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AQ265" s="118"/>
      <c r="AR265" s="118"/>
      <c r="AS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64"/>
      <c r="O266" s="161"/>
      <c r="P266" s="118"/>
      <c r="Q266" s="118"/>
      <c r="R266" s="117"/>
      <c r="S266" s="117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AQ266" s="118"/>
      <c r="AR266" s="118"/>
      <c r="AS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64"/>
      <c r="O267" s="161"/>
      <c r="P267" s="118"/>
      <c r="Q267" s="118"/>
      <c r="R267" s="117"/>
      <c r="S267" s="117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AQ267" s="118"/>
      <c r="AR267" s="118"/>
      <c r="AS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64"/>
      <c r="O268" s="161"/>
      <c r="P268" s="118"/>
      <c r="Q268" s="118"/>
      <c r="R268" s="117"/>
      <c r="S268" s="117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AQ268" s="118"/>
      <c r="AR268" s="118"/>
      <c r="AS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64"/>
      <c r="O269" s="161"/>
      <c r="P269" s="118"/>
      <c r="Q269" s="118"/>
      <c r="R269" s="117"/>
      <c r="S269" s="117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64"/>
      <c r="O270" s="161"/>
      <c r="P270" s="118"/>
      <c r="Q270" s="118"/>
      <c r="R270" s="117"/>
      <c r="S270" s="117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AQ270" s="118"/>
      <c r="AR270" s="118"/>
      <c r="AS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64"/>
      <c r="O271" s="161"/>
      <c r="P271" s="118"/>
      <c r="Q271" s="118"/>
      <c r="R271" s="117"/>
      <c r="S271" s="117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64"/>
      <c r="O272" s="161"/>
      <c r="P272" s="118"/>
      <c r="Q272" s="118"/>
      <c r="R272" s="117"/>
      <c r="S272" s="117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  <c r="AK272" s="118"/>
      <c r="AL272" s="118"/>
      <c r="AM272" s="118"/>
      <c r="AN272" s="118"/>
      <c r="AO272" s="118"/>
      <c r="AP272" s="118"/>
      <c r="AQ272" s="118"/>
      <c r="AR272" s="118"/>
      <c r="AS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64"/>
      <c r="O273" s="161"/>
      <c r="P273" s="118"/>
      <c r="Q273" s="118"/>
      <c r="R273" s="117"/>
      <c r="S273" s="117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64"/>
      <c r="O274" s="161"/>
      <c r="P274" s="118"/>
      <c r="Q274" s="118"/>
      <c r="R274" s="117"/>
      <c r="S274" s="117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  <c r="AL274" s="118"/>
      <c r="AM274" s="118"/>
      <c r="AN274" s="118"/>
      <c r="AO274" s="118"/>
      <c r="AP274" s="118"/>
      <c r="AQ274" s="118"/>
      <c r="AR274" s="118"/>
      <c r="AS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64"/>
      <c r="O275" s="161"/>
      <c r="P275" s="118"/>
      <c r="Q275" s="118"/>
      <c r="R275" s="117"/>
      <c r="S275" s="117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  <c r="AL275" s="118"/>
      <c r="AM275" s="118"/>
      <c r="AN275" s="118"/>
      <c r="AO275" s="118"/>
      <c r="AP275" s="118"/>
      <c r="AQ275" s="118"/>
      <c r="AR275" s="118"/>
      <c r="AS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64"/>
      <c r="O276" s="161"/>
      <c r="P276" s="118"/>
      <c r="Q276" s="118"/>
      <c r="R276" s="117"/>
      <c r="S276" s="117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64"/>
      <c r="O277" s="161"/>
      <c r="P277" s="118"/>
      <c r="Q277" s="118"/>
      <c r="R277" s="117"/>
      <c r="S277" s="117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  <c r="AL277" s="118"/>
      <c r="AM277" s="118"/>
      <c r="AN277" s="118"/>
      <c r="AO277" s="118"/>
      <c r="AP277" s="118"/>
      <c r="AQ277" s="118"/>
      <c r="AR277" s="118"/>
      <c r="AS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64"/>
      <c r="O278" s="161"/>
      <c r="P278" s="118"/>
      <c r="Q278" s="118"/>
      <c r="R278" s="117"/>
      <c r="S278" s="117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64"/>
      <c r="O279" s="161"/>
      <c r="P279" s="118"/>
      <c r="Q279" s="118"/>
      <c r="R279" s="117"/>
      <c r="S279" s="117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64"/>
      <c r="O280" s="161"/>
      <c r="P280" s="118"/>
      <c r="Q280" s="118"/>
      <c r="R280" s="117"/>
      <c r="S280" s="117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64"/>
      <c r="O281" s="161"/>
      <c r="P281" s="118"/>
      <c r="Q281" s="118"/>
      <c r="R281" s="117"/>
      <c r="S281" s="117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64"/>
      <c r="O282" s="161"/>
      <c r="P282" s="118"/>
      <c r="Q282" s="118"/>
      <c r="R282" s="117"/>
      <c r="S282" s="117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64"/>
      <c r="O283" s="161"/>
      <c r="P283" s="118"/>
      <c r="Q283" s="118"/>
      <c r="R283" s="117"/>
      <c r="S283" s="117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64"/>
      <c r="O284" s="161"/>
      <c r="P284" s="118"/>
      <c r="Q284" s="118"/>
      <c r="R284" s="117"/>
      <c r="S284" s="117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64"/>
      <c r="O285" s="161"/>
      <c r="P285" s="118"/>
      <c r="Q285" s="118"/>
      <c r="R285" s="117"/>
      <c r="S285" s="117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64"/>
      <c r="O286" s="161"/>
      <c r="P286" s="118"/>
      <c r="Q286" s="118"/>
      <c r="R286" s="117"/>
      <c r="S286" s="117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64"/>
      <c r="O287" s="161"/>
      <c r="P287" s="118"/>
      <c r="Q287" s="118"/>
      <c r="R287" s="117"/>
      <c r="S287" s="117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64"/>
      <c r="O288" s="161"/>
      <c r="P288" s="118"/>
      <c r="Q288" s="118"/>
      <c r="R288" s="117"/>
      <c r="S288" s="117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64"/>
      <c r="O289" s="161"/>
      <c r="P289" s="118"/>
      <c r="Q289" s="118"/>
      <c r="R289" s="117"/>
      <c r="S289" s="117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64"/>
      <c r="O290" s="161"/>
      <c r="P290" s="118"/>
      <c r="Q290" s="118"/>
      <c r="R290" s="117"/>
      <c r="S290" s="117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64"/>
      <c r="O291" s="161"/>
      <c r="P291" s="118"/>
      <c r="Q291" s="118"/>
      <c r="R291" s="117"/>
      <c r="S291" s="117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64"/>
      <c r="O292" s="161"/>
      <c r="P292" s="118"/>
      <c r="Q292" s="118"/>
      <c r="R292" s="117"/>
      <c r="S292" s="117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64"/>
      <c r="O293" s="161"/>
      <c r="P293" s="118"/>
      <c r="Q293" s="118"/>
      <c r="R293" s="117"/>
      <c r="S293" s="117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64"/>
      <c r="O294" s="161"/>
      <c r="P294" s="118"/>
      <c r="Q294" s="118"/>
      <c r="R294" s="117"/>
      <c r="S294" s="117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64"/>
      <c r="O295" s="161"/>
      <c r="P295" s="118"/>
      <c r="Q295" s="118"/>
      <c r="R295" s="117"/>
      <c r="S295" s="117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64"/>
      <c r="O296" s="161"/>
      <c r="P296" s="118"/>
      <c r="Q296" s="118"/>
      <c r="R296" s="117"/>
      <c r="S296" s="117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64"/>
      <c r="O297" s="161"/>
      <c r="P297" s="118"/>
      <c r="Q297" s="118"/>
      <c r="R297" s="117"/>
      <c r="S297" s="117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64"/>
      <c r="O298" s="161"/>
      <c r="P298" s="118"/>
      <c r="Q298" s="118"/>
      <c r="R298" s="117"/>
      <c r="S298" s="117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  <c r="AL298" s="118"/>
      <c r="AM298" s="118"/>
      <c r="AN298" s="118"/>
      <c r="AO298" s="118"/>
      <c r="AP298" s="118"/>
      <c r="AQ298" s="118"/>
      <c r="AR298" s="118"/>
      <c r="AS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64"/>
      <c r="O299" s="161"/>
      <c r="P299" s="118"/>
      <c r="Q299" s="118"/>
      <c r="R299" s="117"/>
      <c r="S299" s="117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  <c r="AL299" s="118"/>
      <c r="AM299" s="118"/>
      <c r="AN299" s="118"/>
      <c r="AO299" s="118"/>
      <c r="AP299" s="118"/>
      <c r="AQ299" s="118"/>
      <c r="AR299" s="118"/>
      <c r="AS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64"/>
      <c r="O300" s="161"/>
      <c r="P300" s="118"/>
      <c r="Q300" s="118"/>
      <c r="R300" s="117"/>
      <c r="S300" s="117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  <c r="AL300" s="118"/>
      <c r="AM300" s="118"/>
      <c r="AN300" s="118"/>
      <c r="AO300" s="118"/>
      <c r="AP300" s="118"/>
      <c r="AQ300" s="118"/>
      <c r="AR300" s="118"/>
      <c r="AS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64"/>
      <c r="O301" s="161"/>
      <c r="P301" s="118"/>
      <c r="Q301" s="118"/>
      <c r="R301" s="117"/>
      <c r="S301" s="117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/>
      <c r="AO301" s="118"/>
      <c r="AP301" s="118"/>
      <c r="AQ301" s="118"/>
      <c r="AR301" s="118"/>
      <c r="AS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64"/>
      <c r="O302" s="161"/>
      <c r="P302" s="118"/>
      <c r="Q302" s="118"/>
      <c r="R302" s="117"/>
      <c r="S302" s="117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  <c r="AL302" s="118"/>
      <c r="AM302" s="118"/>
      <c r="AN302" s="118"/>
      <c r="AO302" s="118"/>
      <c r="AP302" s="118"/>
      <c r="AQ302" s="118"/>
      <c r="AR302" s="118"/>
      <c r="AS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64"/>
      <c r="O303" s="161"/>
      <c r="P303" s="118"/>
      <c r="Q303" s="118"/>
      <c r="R303" s="117"/>
      <c r="S303" s="117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64"/>
      <c r="O304" s="161"/>
      <c r="P304" s="118"/>
      <c r="Q304" s="118"/>
      <c r="R304" s="117"/>
      <c r="S304" s="117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  <c r="AO304" s="118"/>
      <c r="AP304" s="118"/>
      <c r="AQ304" s="118"/>
      <c r="AR304" s="118"/>
      <c r="AS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64"/>
      <c r="O305" s="161"/>
      <c r="P305" s="118"/>
      <c r="Q305" s="118"/>
      <c r="R305" s="117"/>
      <c r="S305" s="117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64"/>
      <c r="O306" s="161"/>
      <c r="P306" s="118"/>
      <c r="Q306" s="118"/>
      <c r="R306" s="117"/>
      <c r="S306" s="117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64"/>
      <c r="O307" s="161"/>
      <c r="P307" s="118"/>
      <c r="Q307" s="118"/>
      <c r="R307" s="117"/>
      <c r="S307" s="117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64"/>
      <c r="O308" s="161"/>
      <c r="P308" s="118"/>
      <c r="Q308" s="118"/>
      <c r="R308" s="117"/>
      <c r="S308" s="117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64"/>
      <c r="O309" s="161"/>
      <c r="P309" s="118"/>
      <c r="Q309" s="118"/>
      <c r="R309" s="117"/>
      <c r="S309" s="117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64"/>
      <c r="O310" s="161"/>
      <c r="P310" s="118"/>
      <c r="Q310" s="118"/>
      <c r="R310" s="117"/>
      <c r="S310" s="117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64"/>
      <c r="O311" s="161"/>
      <c r="P311" s="118"/>
      <c r="Q311" s="118"/>
      <c r="R311" s="117"/>
      <c r="S311" s="117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64"/>
      <c r="O312" s="161"/>
      <c r="P312" s="118"/>
      <c r="Q312" s="118"/>
      <c r="R312" s="117"/>
      <c r="S312" s="117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64"/>
      <c r="O313" s="161"/>
      <c r="P313" s="118"/>
      <c r="Q313" s="118"/>
      <c r="R313" s="117"/>
      <c r="S313" s="117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64"/>
      <c r="O314" s="161"/>
      <c r="P314" s="118"/>
      <c r="Q314" s="118"/>
      <c r="R314" s="117"/>
      <c r="S314" s="117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64"/>
      <c r="O315" s="161"/>
      <c r="P315" s="118"/>
      <c r="Q315" s="118"/>
      <c r="R315" s="117"/>
      <c r="S315" s="117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64"/>
      <c r="O316" s="161"/>
      <c r="P316" s="118"/>
      <c r="Q316" s="118"/>
      <c r="R316" s="117"/>
      <c r="S316" s="117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64"/>
      <c r="O317" s="161"/>
      <c r="P317" s="118"/>
      <c r="Q317" s="118"/>
      <c r="R317" s="117"/>
      <c r="S317" s="117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64"/>
      <c r="O318" s="161"/>
      <c r="P318" s="118"/>
      <c r="Q318" s="118"/>
      <c r="R318" s="117"/>
      <c r="S318" s="117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64"/>
      <c r="O319" s="161"/>
      <c r="P319" s="118"/>
      <c r="Q319" s="118"/>
      <c r="R319" s="117"/>
      <c r="S319" s="117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64"/>
      <c r="O320" s="161"/>
      <c r="P320" s="118"/>
      <c r="Q320" s="118"/>
      <c r="R320" s="117"/>
      <c r="S320" s="117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64"/>
      <c r="O321" s="161"/>
      <c r="P321" s="118"/>
      <c r="Q321" s="118"/>
      <c r="R321" s="117"/>
      <c r="S321" s="117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  <c r="AL321" s="118"/>
      <c r="AM321" s="118"/>
      <c r="AN321" s="118"/>
      <c r="AO321" s="118"/>
      <c r="AP321" s="118"/>
      <c r="AQ321" s="118"/>
      <c r="AR321" s="118"/>
      <c r="AS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64"/>
      <c r="O322" s="161"/>
      <c r="P322" s="118"/>
      <c r="Q322" s="118"/>
      <c r="R322" s="117"/>
      <c r="S322" s="117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  <c r="AL322" s="118"/>
      <c r="AM322" s="118"/>
      <c r="AN322" s="118"/>
      <c r="AO322" s="118"/>
      <c r="AP322" s="118"/>
      <c r="AQ322" s="118"/>
      <c r="AR322" s="118"/>
      <c r="AS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64"/>
      <c r="O323" s="161"/>
      <c r="P323" s="118"/>
      <c r="Q323" s="118"/>
      <c r="R323" s="117"/>
      <c r="S323" s="117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8"/>
      <c r="AJ323" s="118"/>
      <c r="AK323" s="118"/>
      <c r="AL323" s="118"/>
      <c r="AM323" s="118"/>
      <c r="AN323" s="118"/>
      <c r="AO323" s="118"/>
      <c r="AP323" s="118"/>
      <c r="AQ323" s="118"/>
      <c r="AR323" s="118"/>
      <c r="AS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64"/>
      <c r="O324" s="161"/>
      <c r="P324" s="118"/>
      <c r="Q324" s="118"/>
      <c r="R324" s="117"/>
      <c r="S324" s="117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64"/>
      <c r="O325" s="161"/>
      <c r="P325" s="118"/>
      <c r="Q325" s="118"/>
      <c r="R325" s="117"/>
      <c r="S325" s="117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64"/>
      <c r="O326" s="161"/>
      <c r="P326" s="118"/>
      <c r="Q326" s="118"/>
      <c r="R326" s="117"/>
      <c r="S326" s="117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64"/>
      <c r="O327" s="161"/>
      <c r="P327" s="118"/>
      <c r="Q327" s="118"/>
      <c r="R327" s="117"/>
      <c r="S327" s="117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8"/>
      <c r="AJ327" s="118"/>
      <c r="AK327" s="118"/>
      <c r="AL327" s="118"/>
      <c r="AM327" s="118"/>
      <c r="AN327" s="118"/>
      <c r="AO327" s="118"/>
      <c r="AP327" s="118"/>
      <c r="AQ327" s="118"/>
      <c r="AR327" s="118"/>
      <c r="AS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64"/>
      <c r="O328" s="161"/>
      <c r="P328" s="118"/>
      <c r="Q328" s="118"/>
      <c r="R328" s="117"/>
      <c r="S328" s="117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8"/>
      <c r="AN328" s="118"/>
      <c r="AO328" s="118"/>
      <c r="AP328" s="118"/>
      <c r="AQ328" s="118"/>
      <c r="AR328" s="118"/>
      <c r="AS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64"/>
      <c r="O329" s="161"/>
      <c r="P329" s="118"/>
      <c r="Q329" s="118"/>
      <c r="R329" s="117"/>
      <c r="S329" s="117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64"/>
      <c r="O330" s="161"/>
      <c r="P330" s="118"/>
      <c r="Q330" s="118"/>
      <c r="R330" s="117"/>
      <c r="S330" s="117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64"/>
      <c r="O331" s="161"/>
      <c r="P331" s="118"/>
      <c r="Q331" s="118"/>
      <c r="R331" s="117"/>
      <c r="S331" s="117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64"/>
      <c r="O332" s="161"/>
      <c r="P332" s="118"/>
      <c r="Q332" s="118"/>
      <c r="R332" s="117"/>
      <c r="S332" s="117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  <c r="AL332" s="118"/>
      <c r="AM332" s="118"/>
      <c r="AN332" s="118"/>
      <c r="AO332" s="118"/>
      <c r="AP332" s="118"/>
      <c r="AQ332" s="118"/>
      <c r="AR332" s="118"/>
      <c r="AS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64"/>
      <c r="O333" s="161"/>
      <c r="P333" s="118"/>
      <c r="Q333" s="118"/>
      <c r="R333" s="117"/>
      <c r="S333" s="117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  <c r="AL333" s="118"/>
      <c r="AM333" s="118"/>
      <c r="AN333" s="118"/>
      <c r="AO333" s="118"/>
      <c r="AP333" s="118"/>
      <c r="AQ333" s="118"/>
      <c r="AR333" s="118"/>
      <c r="AS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64"/>
      <c r="O334" s="161"/>
      <c r="P334" s="118"/>
      <c r="Q334" s="118"/>
      <c r="R334" s="117"/>
      <c r="S334" s="117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8"/>
      <c r="AJ334" s="118"/>
      <c r="AK334" s="118"/>
      <c r="AL334" s="118"/>
      <c r="AM334" s="118"/>
      <c r="AN334" s="118"/>
      <c r="AO334" s="118"/>
      <c r="AP334" s="118"/>
      <c r="AQ334" s="118"/>
      <c r="AR334" s="118"/>
      <c r="AS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64"/>
      <c r="O335" s="161"/>
      <c r="P335" s="118"/>
      <c r="Q335" s="118"/>
      <c r="R335" s="117"/>
      <c r="S335" s="117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8"/>
      <c r="AJ335" s="118"/>
      <c r="AK335" s="118"/>
      <c r="AL335" s="118"/>
      <c r="AM335" s="118"/>
      <c r="AN335" s="118"/>
      <c r="AO335" s="118"/>
      <c r="AP335" s="118"/>
      <c r="AQ335" s="118"/>
      <c r="AR335" s="118"/>
      <c r="AS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64"/>
      <c r="O336" s="161"/>
      <c r="P336" s="118"/>
      <c r="Q336" s="118"/>
      <c r="R336" s="117"/>
      <c r="S336" s="117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8"/>
      <c r="AJ336" s="118"/>
      <c r="AK336" s="118"/>
      <c r="AL336" s="118"/>
      <c r="AM336" s="118"/>
      <c r="AN336" s="118"/>
      <c r="AO336" s="118"/>
      <c r="AP336" s="118"/>
      <c r="AQ336" s="118"/>
      <c r="AR336" s="118"/>
      <c r="AS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64"/>
      <c r="O337" s="161"/>
      <c r="P337" s="118"/>
      <c r="Q337" s="118"/>
      <c r="R337" s="117"/>
      <c r="S337" s="117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  <c r="AI337" s="118"/>
      <c r="AJ337" s="118"/>
      <c r="AK337" s="118"/>
      <c r="AL337" s="118"/>
      <c r="AM337" s="118"/>
      <c r="AN337" s="118"/>
      <c r="AO337" s="118"/>
      <c r="AP337" s="118"/>
      <c r="AQ337" s="118"/>
      <c r="AR337" s="118"/>
      <c r="AS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64"/>
      <c r="O338" s="161"/>
      <c r="P338" s="118"/>
      <c r="Q338" s="118"/>
      <c r="R338" s="117"/>
      <c r="S338" s="117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64"/>
      <c r="O339" s="161"/>
      <c r="P339" s="118"/>
      <c r="Q339" s="118"/>
      <c r="R339" s="117"/>
      <c r="S339" s="117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64"/>
      <c r="O340" s="161"/>
      <c r="P340" s="118"/>
      <c r="Q340" s="118"/>
      <c r="R340" s="117"/>
      <c r="S340" s="117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64"/>
      <c r="O341" s="161"/>
      <c r="P341" s="118"/>
      <c r="Q341" s="118"/>
      <c r="R341" s="117"/>
      <c r="S341" s="117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18"/>
      <c r="AS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64"/>
      <c r="O342" s="161"/>
      <c r="P342" s="118"/>
      <c r="Q342" s="118"/>
      <c r="R342" s="117"/>
      <c r="S342" s="117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18"/>
      <c r="AS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64"/>
      <c r="O343" s="161"/>
      <c r="P343" s="118"/>
      <c r="Q343" s="118"/>
      <c r="R343" s="117"/>
      <c r="S343" s="117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18"/>
      <c r="AS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64"/>
      <c r="O344" s="161"/>
      <c r="P344" s="118"/>
      <c r="Q344" s="118"/>
      <c r="R344" s="117"/>
      <c r="S344" s="117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18"/>
      <c r="AS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64"/>
      <c r="O345" s="161"/>
      <c r="P345" s="118"/>
      <c r="Q345" s="118"/>
      <c r="R345" s="117"/>
      <c r="S345" s="117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64"/>
      <c r="O346" s="161"/>
      <c r="P346" s="118"/>
      <c r="Q346" s="118"/>
      <c r="R346" s="117"/>
      <c r="S346" s="117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64"/>
      <c r="O347" s="161"/>
      <c r="P347" s="118"/>
      <c r="Q347" s="118"/>
      <c r="R347" s="117"/>
      <c r="S347" s="117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64"/>
      <c r="O348" s="161"/>
      <c r="P348" s="118"/>
      <c r="Q348" s="118"/>
      <c r="R348" s="117"/>
      <c r="S348" s="117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64"/>
      <c r="O349" s="161"/>
      <c r="P349" s="118"/>
      <c r="Q349" s="118"/>
      <c r="R349" s="117"/>
      <c r="S349" s="117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64"/>
      <c r="O350" s="161"/>
      <c r="P350" s="118"/>
      <c r="Q350" s="118"/>
      <c r="R350" s="117"/>
      <c r="S350" s="117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  <c r="AL350" s="118"/>
      <c r="AM350" s="118"/>
      <c r="AN350" s="118"/>
      <c r="AO350" s="118"/>
      <c r="AP350" s="118"/>
      <c r="AQ350" s="118"/>
      <c r="AR350" s="118"/>
      <c r="AS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64"/>
      <c r="O351" s="161"/>
      <c r="P351" s="118"/>
      <c r="Q351" s="118"/>
      <c r="R351" s="117"/>
      <c r="S351" s="117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64"/>
      <c r="O352" s="161"/>
      <c r="P352" s="118"/>
      <c r="Q352" s="118"/>
      <c r="R352" s="117"/>
      <c r="S352" s="117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64"/>
      <c r="O353" s="161"/>
      <c r="P353" s="118"/>
      <c r="Q353" s="118"/>
      <c r="R353" s="117"/>
      <c r="S353" s="117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64"/>
      <c r="O354" s="161"/>
      <c r="P354" s="118"/>
      <c r="Q354" s="118"/>
      <c r="R354" s="117"/>
      <c r="S354" s="117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64"/>
      <c r="O355" s="161"/>
      <c r="P355" s="118"/>
      <c r="Q355" s="118"/>
      <c r="R355" s="117"/>
      <c r="S355" s="117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  <c r="AL355" s="118"/>
      <c r="AM355" s="118"/>
      <c r="AN355" s="118"/>
      <c r="AO355" s="118"/>
      <c r="AP355" s="118"/>
      <c r="AQ355" s="118"/>
      <c r="AR355" s="118"/>
      <c r="AS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64"/>
      <c r="O356" s="161"/>
      <c r="P356" s="118"/>
      <c r="Q356" s="118"/>
      <c r="R356" s="117"/>
      <c r="S356" s="117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118"/>
      <c r="AN356" s="118"/>
      <c r="AO356" s="118"/>
      <c r="AP356" s="118"/>
      <c r="AQ356" s="118"/>
      <c r="AR356" s="118"/>
      <c r="AS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64"/>
      <c r="O357" s="161"/>
      <c r="P357" s="118"/>
      <c r="Q357" s="118"/>
      <c r="R357" s="117"/>
      <c r="S357" s="117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118"/>
      <c r="AN357" s="118"/>
      <c r="AO357" s="118"/>
      <c r="AP357" s="118"/>
      <c r="AQ357" s="118"/>
      <c r="AR357" s="118"/>
      <c r="AS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64"/>
      <c r="O358" s="161"/>
      <c r="P358" s="118"/>
      <c r="Q358" s="118"/>
      <c r="R358" s="117"/>
      <c r="S358" s="117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64"/>
      <c r="O359" s="161"/>
      <c r="P359" s="118"/>
      <c r="Q359" s="118"/>
      <c r="R359" s="117"/>
      <c r="S359" s="117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64"/>
      <c r="O360" s="161"/>
      <c r="P360" s="118"/>
      <c r="Q360" s="118"/>
      <c r="R360" s="117"/>
      <c r="S360" s="117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64"/>
      <c r="O361" s="161"/>
      <c r="P361" s="118"/>
      <c r="Q361" s="118"/>
      <c r="R361" s="117"/>
      <c r="S361" s="117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64"/>
      <c r="O362" s="161"/>
      <c r="P362" s="118"/>
      <c r="Q362" s="118"/>
      <c r="R362" s="117"/>
      <c r="S362" s="117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64"/>
      <c r="O363" s="161"/>
      <c r="P363" s="118"/>
      <c r="Q363" s="118"/>
      <c r="R363" s="117"/>
      <c r="S363" s="117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64"/>
      <c r="O364" s="161"/>
      <c r="P364" s="118"/>
      <c r="Q364" s="118"/>
      <c r="R364" s="117"/>
      <c r="S364" s="117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64"/>
      <c r="O365" s="161"/>
      <c r="P365" s="118"/>
      <c r="Q365" s="118"/>
      <c r="R365" s="117"/>
      <c r="S365" s="117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64"/>
      <c r="O366" s="161"/>
      <c r="P366" s="118"/>
      <c r="Q366" s="118"/>
      <c r="R366" s="117"/>
      <c r="S366" s="117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64"/>
      <c r="O367" s="161"/>
      <c r="P367" s="118"/>
      <c r="Q367" s="118"/>
      <c r="R367" s="117"/>
      <c r="S367" s="117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64"/>
      <c r="O368" s="161"/>
      <c r="P368" s="118"/>
      <c r="Q368" s="118"/>
      <c r="R368" s="117"/>
      <c r="S368" s="117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64"/>
      <c r="O369" s="161"/>
      <c r="P369" s="118"/>
      <c r="Q369" s="118"/>
      <c r="R369" s="117"/>
      <c r="S369" s="117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64"/>
      <c r="O370" s="161"/>
      <c r="P370" s="118"/>
      <c r="Q370" s="118"/>
      <c r="R370" s="117"/>
      <c r="S370" s="117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64"/>
      <c r="O371" s="161"/>
      <c r="P371" s="118"/>
      <c r="Q371" s="118"/>
      <c r="R371" s="117"/>
      <c r="S371" s="117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64"/>
      <c r="O372" s="161"/>
      <c r="P372" s="118"/>
      <c r="Q372" s="118"/>
      <c r="R372" s="117"/>
      <c r="S372" s="117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64"/>
      <c r="O373" s="161"/>
      <c r="P373" s="118"/>
      <c r="Q373" s="118"/>
      <c r="R373" s="117"/>
      <c r="S373" s="117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64"/>
      <c r="O374" s="161"/>
      <c r="P374" s="118"/>
      <c r="Q374" s="118"/>
      <c r="R374" s="117"/>
      <c r="S374" s="117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64"/>
      <c r="O375" s="161"/>
      <c r="P375" s="118"/>
      <c r="Q375" s="118"/>
      <c r="R375" s="117"/>
      <c r="S375" s="117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64"/>
      <c r="O376" s="161"/>
      <c r="P376" s="118"/>
      <c r="Q376" s="118"/>
      <c r="R376" s="117"/>
      <c r="S376" s="117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64"/>
      <c r="O377" s="161"/>
      <c r="P377" s="118"/>
      <c r="Q377" s="118"/>
      <c r="R377" s="117"/>
      <c r="S377" s="117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  <c r="AI377" s="118"/>
      <c r="AJ377" s="118"/>
      <c r="AK377" s="118"/>
      <c r="AL377" s="118"/>
      <c r="AM377" s="118"/>
      <c r="AN377" s="118"/>
      <c r="AO377" s="118"/>
      <c r="AP377" s="118"/>
      <c r="AQ377" s="118"/>
      <c r="AR377" s="118"/>
      <c r="AS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64"/>
      <c r="O378" s="161"/>
      <c r="P378" s="118"/>
      <c r="Q378" s="118"/>
      <c r="R378" s="117"/>
      <c r="S378" s="117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64"/>
      <c r="O379" s="161"/>
      <c r="P379" s="118"/>
      <c r="Q379" s="118"/>
      <c r="R379" s="117"/>
      <c r="S379" s="117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  <c r="AI379" s="118"/>
      <c r="AJ379" s="118"/>
      <c r="AK379" s="118"/>
      <c r="AL379" s="118"/>
      <c r="AM379" s="118"/>
      <c r="AN379" s="118"/>
      <c r="AO379" s="118"/>
      <c r="AP379" s="118"/>
      <c r="AQ379" s="118"/>
      <c r="AR379" s="118"/>
      <c r="AS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64"/>
      <c r="O380" s="161"/>
      <c r="P380" s="118"/>
      <c r="Q380" s="118"/>
      <c r="R380" s="117"/>
      <c r="S380" s="117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  <c r="AI380" s="118"/>
      <c r="AJ380" s="118"/>
      <c r="AK380" s="118"/>
      <c r="AL380" s="118"/>
      <c r="AM380" s="118"/>
      <c r="AN380" s="118"/>
      <c r="AO380" s="118"/>
      <c r="AP380" s="118"/>
      <c r="AQ380" s="118"/>
      <c r="AR380" s="118"/>
      <c r="AS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64"/>
      <c r="O381" s="161"/>
      <c r="P381" s="118"/>
      <c r="Q381" s="118"/>
      <c r="R381" s="117"/>
      <c r="S381" s="117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64"/>
      <c r="O382" s="161"/>
      <c r="P382" s="118"/>
      <c r="Q382" s="118"/>
      <c r="R382" s="117"/>
      <c r="S382" s="117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64"/>
      <c r="O383" s="161"/>
      <c r="P383" s="118"/>
      <c r="Q383" s="118"/>
      <c r="R383" s="117"/>
      <c r="S383" s="117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64"/>
      <c r="O384" s="161"/>
      <c r="P384" s="118"/>
      <c r="Q384" s="118"/>
      <c r="R384" s="117"/>
      <c r="S384" s="117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64"/>
      <c r="O385" s="161"/>
      <c r="P385" s="118"/>
      <c r="Q385" s="118"/>
      <c r="R385" s="117"/>
      <c r="S385" s="117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64"/>
      <c r="O386" s="161"/>
      <c r="P386" s="118"/>
      <c r="Q386" s="118"/>
      <c r="R386" s="117"/>
      <c r="S386" s="117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  <c r="AI386" s="118"/>
      <c r="AJ386" s="118"/>
      <c r="AK386" s="118"/>
      <c r="AL386" s="118"/>
      <c r="AM386" s="118"/>
      <c r="AN386" s="118"/>
      <c r="AO386" s="118"/>
      <c r="AP386" s="118"/>
      <c r="AQ386" s="118"/>
      <c r="AR386" s="118"/>
      <c r="AS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64"/>
      <c r="O387" s="161"/>
      <c r="P387" s="118"/>
      <c r="Q387" s="118"/>
      <c r="R387" s="117"/>
      <c r="S387" s="117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64"/>
      <c r="O388" s="161"/>
      <c r="P388" s="118"/>
      <c r="Q388" s="118"/>
      <c r="R388" s="117"/>
      <c r="S388" s="117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  <c r="AI388" s="118"/>
      <c r="AJ388" s="118"/>
      <c r="AK388" s="118"/>
      <c r="AL388" s="118"/>
      <c r="AM388" s="118"/>
      <c r="AN388" s="118"/>
      <c r="AO388" s="118"/>
      <c r="AP388" s="118"/>
      <c r="AQ388" s="118"/>
      <c r="AR388" s="118"/>
      <c r="AS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64"/>
      <c r="O389" s="161"/>
      <c r="P389" s="118"/>
      <c r="Q389" s="118"/>
      <c r="R389" s="117"/>
      <c r="S389" s="117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  <c r="AI389" s="118"/>
      <c r="AJ389" s="118"/>
      <c r="AK389" s="118"/>
      <c r="AL389" s="118"/>
      <c r="AM389" s="118"/>
      <c r="AN389" s="118"/>
      <c r="AO389" s="118"/>
      <c r="AP389" s="118"/>
      <c r="AQ389" s="118"/>
      <c r="AR389" s="118"/>
      <c r="AS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64"/>
      <c r="O390" s="161"/>
      <c r="P390" s="118"/>
      <c r="Q390" s="118"/>
      <c r="R390" s="117"/>
      <c r="S390" s="117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64"/>
      <c r="O391" s="161"/>
      <c r="P391" s="118"/>
      <c r="Q391" s="118"/>
      <c r="R391" s="117"/>
      <c r="S391" s="117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64"/>
      <c r="O392" s="161"/>
      <c r="P392" s="118"/>
      <c r="Q392" s="118"/>
      <c r="R392" s="117"/>
      <c r="S392" s="117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64"/>
      <c r="O393" s="161"/>
      <c r="P393" s="118"/>
      <c r="Q393" s="118"/>
      <c r="R393" s="117"/>
      <c r="S393" s="117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64"/>
      <c r="O394" s="161"/>
      <c r="P394" s="118"/>
      <c r="Q394" s="118"/>
      <c r="R394" s="117"/>
      <c r="S394" s="117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64"/>
      <c r="O395" s="161"/>
      <c r="P395" s="118"/>
      <c r="Q395" s="118"/>
      <c r="R395" s="117"/>
      <c r="S395" s="117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64"/>
      <c r="O396" s="161"/>
      <c r="P396" s="118"/>
      <c r="Q396" s="118"/>
      <c r="R396" s="117"/>
      <c r="S396" s="117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64"/>
      <c r="O397" s="161"/>
      <c r="P397" s="118"/>
      <c r="Q397" s="118"/>
      <c r="R397" s="117"/>
      <c r="S397" s="117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64"/>
      <c r="O398" s="161"/>
      <c r="P398" s="118"/>
      <c r="Q398" s="118"/>
      <c r="R398" s="117"/>
      <c r="S398" s="117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64"/>
      <c r="O399" s="161"/>
      <c r="P399" s="118"/>
      <c r="Q399" s="118"/>
      <c r="R399" s="117"/>
      <c r="S399" s="117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64"/>
      <c r="O400" s="161"/>
      <c r="P400" s="118"/>
      <c r="Q400" s="118"/>
      <c r="R400" s="117"/>
      <c r="S400" s="117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64"/>
      <c r="O401" s="161"/>
      <c r="P401" s="118"/>
      <c r="Q401" s="118"/>
      <c r="R401" s="117"/>
      <c r="S401" s="117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64"/>
      <c r="O402" s="161"/>
      <c r="P402" s="118"/>
      <c r="Q402" s="118"/>
      <c r="R402" s="117"/>
      <c r="S402" s="117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64"/>
      <c r="O403" s="161"/>
      <c r="P403" s="118"/>
      <c r="Q403" s="118"/>
      <c r="R403" s="117"/>
      <c r="S403" s="117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  <c r="AL403" s="118"/>
      <c r="AM403" s="118"/>
      <c r="AN403" s="118"/>
      <c r="AO403" s="118"/>
      <c r="AP403" s="118"/>
      <c r="AQ403" s="118"/>
      <c r="AR403" s="118"/>
      <c r="AS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64"/>
      <c r="O404" s="161"/>
      <c r="P404" s="118"/>
      <c r="Q404" s="118"/>
      <c r="R404" s="117"/>
      <c r="S404" s="117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64"/>
      <c r="O405" s="161"/>
      <c r="P405" s="118"/>
      <c r="Q405" s="118"/>
      <c r="R405" s="117"/>
      <c r="S405" s="117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64"/>
      <c r="O406" s="161"/>
      <c r="P406" s="118"/>
      <c r="Q406" s="118"/>
      <c r="R406" s="117"/>
      <c r="S406" s="117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64"/>
      <c r="O407" s="161"/>
      <c r="P407" s="118"/>
      <c r="Q407" s="118"/>
      <c r="R407" s="117"/>
      <c r="S407" s="117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64"/>
      <c r="O408" s="161"/>
      <c r="P408" s="118"/>
      <c r="Q408" s="118"/>
      <c r="R408" s="117"/>
      <c r="S408" s="117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/>
      <c r="AO408" s="118"/>
      <c r="AP408" s="118"/>
      <c r="AQ408" s="118"/>
      <c r="AR408" s="118"/>
      <c r="AS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64"/>
      <c r="O409" s="161"/>
      <c r="P409" s="118"/>
      <c r="Q409" s="118"/>
      <c r="R409" s="117"/>
      <c r="S409" s="117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64"/>
      <c r="O410" s="161"/>
      <c r="P410" s="118"/>
      <c r="Q410" s="118"/>
      <c r="R410" s="117"/>
      <c r="S410" s="117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  <c r="AL410" s="118"/>
      <c r="AM410" s="118"/>
      <c r="AN410" s="118"/>
      <c r="AO410" s="118"/>
      <c r="AP410" s="118"/>
      <c r="AQ410" s="118"/>
      <c r="AR410" s="118"/>
      <c r="AS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64"/>
      <c r="O411" s="161"/>
      <c r="P411" s="118"/>
      <c r="Q411" s="118"/>
      <c r="R411" s="117"/>
      <c r="S411" s="117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  <c r="AL411" s="118"/>
      <c r="AM411" s="118"/>
      <c r="AN411" s="118"/>
      <c r="AO411" s="118"/>
      <c r="AP411" s="118"/>
      <c r="AQ411" s="118"/>
      <c r="AR411" s="118"/>
      <c r="AS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64"/>
      <c r="O412" s="161"/>
      <c r="P412" s="118"/>
      <c r="Q412" s="118"/>
      <c r="R412" s="117"/>
      <c r="S412" s="117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64"/>
      <c r="O413" s="161"/>
      <c r="P413" s="118"/>
      <c r="Q413" s="118"/>
      <c r="R413" s="117"/>
      <c r="S413" s="117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64"/>
      <c r="O414" s="161"/>
      <c r="P414" s="118"/>
      <c r="Q414" s="118"/>
      <c r="R414" s="117"/>
      <c r="S414" s="117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  <c r="AL414" s="118"/>
      <c r="AM414" s="118"/>
      <c r="AN414" s="118"/>
      <c r="AO414" s="118"/>
      <c r="AP414" s="118"/>
      <c r="AQ414" s="118"/>
      <c r="AR414" s="118"/>
      <c r="AS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64"/>
      <c r="O415" s="161"/>
      <c r="P415" s="118"/>
      <c r="Q415" s="118"/>
      <c r="R415" s="117"/>
      <c r="S415" s="117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18"/>
      <c r="AN415" s="118"/>
      <c r="AO415" s="118"/>
      <c r="AP415" s="118"/>
      <c r="AQ415" s="118"/>
      <c r="AR415" s="118"/>
      <c r="AS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64"/>
      <c r="O416" s="161"/>
      <c r="P416" s="118"/>
      <c r="Q416" s="118"/>
      <c r="R416" s="117"/>
      <c r="S416" s="117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18"/>
      <c r="AK416" s="118"/>
      <c r="AL416" s="118"/>
      <c r="AM416" s="118"/>
      <c r="AN416" s="118"/>
      <c r="AO416" s="118"/>
      <c r="AP416" s="118"/>
      <c r="AQ416" s="118"/>
      <c r="AR416" s="118"/>
      <c r="AS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64"/>
      <c r="O417" s="161"/>
      <c r="P417" s="118"/>
      <c r="Q417" s="118"/>
      <c r="R417" s="117"/>
      <c r="S417" s="117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  <c r="AI417" s="118"/>
      <c r="AJ417" s="118"/>
      <c r="AK417" s="118"/>
      <c r="AL417" s="118"/>
      <c r="AM417" s="118"/>
      <c r="AN417" s="118"/>
      <c r="AO417" s="118"/>
      <c r="AP417" s="118"/>
      <c r="AQ417" s="118"/>
      <c r="AR417" s="118"/>
      <c r="AS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64"/>
      <c r="O418" s="161"/>
      <c r="P418" s="118"/>
      <c r="Q418" s="118"/>
      <c r="R418" s="117"/>
      <c r="S418" s="117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64"/>
      <c r="O419" s="161"/>
      <c r="P419" s="118"/>
      <c r="Q419" s="118"/>
      <c r="R419" s="117"/>
      <c r="S419" s="117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64"/>
      <c r="O420" s="161"/>
      <c r="P420" s="118"/>
      <c r="Q420" s="118"/>
      <c r="R420" s="117"/>
      <c r="S420" s="117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64"/>
      <c r="O421" s="161"/>
      <c r="P421" s="118"/>
      <c r="Q421" s="118"/>
      <c r="R421" s="117"/>
      <c r="S421" s="117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  <c r="AK421" s="118"/>
      <c r="AL421" s="118"/>
      <c r="AM421" s="118"/>
      <c r="AN421" s="118"/>
      <c r="AO421" s="118"/>
      <c r="AP421" s="118"/>
      <c r="AQ421" s="118"/>
      <c r="AR421" s="118"/>
      <c r="AS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64"/>
      <c r="O422" s="161"/>
      <c r="P422" s="118"/>
      <c r="Q422" s="118"/>
      <c r="R422" s="117"/>
      <c r="S422" s="117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  <c r="AK422" s="118"/>
      <c r="AL422" s="118"/>
      <c r="AM422" s="118"/>
      <c r="AN422" s="118"/>
      <c r="AO422" s="118"/>
      <c r="AP422" s="118"/>
      <c r="AQ422" s="118"/>
      <c r="AR422" s="118"/>
      <c r="AS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64"/>
      <c r="O423" s="161"/>
      <c r="P423" s="118"/>
      <c r="Q423" s="118"/>
      <c r="R423" s="117"/>
      <c r="S423" s="117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  <c r="AK423" s="118"/>
      <c r="AL423" s="118"/>
      <c r="AM423" s="118"/>
      <c r="AN423" s="118"/>
      <c r="AO423" s="118"/>
      <c r="AP423" s="118"/>
      <c r="AQ423" s="118"/>
      <c r="AR423" s="118"/>
      <c r="AS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64"/>
      <c r="O424" s="161"/>
      <c r="P424" s="118"/>
      <c r="Q424" s="118"/>
      <c r="R424" s="117"/>
      <c r="S424" s="117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  <c r="AK424" s="118"/>
      <c r="AL424" s="118"/>
      <c r="AM424" s="118"/>
      <c r="AN424" s="118"/>
      <c r="AO424" s="118"/>
      <c r="AP424" s="118"/>
      <c r="AQ424" s="118"/>
      <c r="AR424" s="118"/>
      <c r="AS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64"/>
      <c r="O425" s="161"/>
      <c r="P425" s="118"/>
      <c r="Q425" s="118"/>
      <c r="R425" s="117"/>
      <c r="S425" s="117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64"/>
      <c r="O426" s="161"/>
      <c r="P426" s="118"/>
      <c r="Q426" s="118"/>
      <c r="R426" s="117"/>
      <c r="S426" s="117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64"/>
      <c r="O427" s="161"/>
      <c r="P427" s="118"/>
      <c r="Q427" s="118"/>
      <c r="R427" s="117"/>
      <c r="S427" s="117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64"/>
      <c r="O428" s="161"/>
      <c r="P428" s="118"/>
      <c r="Q428" s="118"/>
      <c r="R428" s="117"/>
      <c r="S428" s="117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  <c r="AK428" s="118"/>
      <c r="AL428" s="118"/>
      <c r="AM428" s="118"/>
      <c r="AN428" s="118"/>
      <c r="AO428" s="118"/>
      <c r="AP428" s="118"/>
      <c r="AQ428" s="118"/>
      <c r="AR428" s="118"/>
      <c r="AS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64"/>
      <c r="O429" s="161"/>
      <c r="P429" s="118"/>
      <c r="Q429" s="118"/>
      <c r="R429" s="117"/>
      <c r="S429" s="117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  <c r="AK429" s="118"/>
      <c r="AL429" s="118"/>
      <c r="AM429" s="118"/>
      <c r="AN429" s="118"/>
      <c r="AO429" s="118"/>
      <c r="AP429" s="118"/>
      <c r="AQ429" s="118"/>
      <c r="AR429" s="118"/>
      <c r="AS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64"/>
      <c r="O430" s="161"/>
      <c r="P430" s="118"/>
      <c r="Q430" s="118"/>
      <c r="R430" s="117"/>
      <c r="S430" s="117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  <c r="AL430" s="118"/>
      <c r="AM430" s="118"/>
      <c r="AN430" s="118"/>
      <c r="AO430" s="118"/>
      <c r="AP430" s="118"/>
      <c r="AQ430" s="118"/>
      <c r="AR430" s="118"/>
      <c r="AS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64"/>
      <c r="O431" s="161"/>
      <c r="P431" s="118"/>
      <c r="Q431" s="118"/>
      <c r="R431" s="117"/>
      <c r="S431" s="117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  <c r="AL431" s="118"/>
      <c r="AM431" s="118"/>
      <c r="AN431" s="118"/>
      <c r="AO431" s="118"/>
      <c r="AP431" s="118"/>
      <c r="AQ431" s="118"/>
      <c r="AR431" s="118"/>
      <c r="AS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64"/>
      <c r="O432" s="161"/>
      <c r="P432" s="118"/>
      <c r="Q432" s="118"/>
      <c r="R432" s="117"/>
      <c r="S432" s="117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64"/>
      <c r="O433" s="161"/>
      <c r="P433" s="118"/>
      <c r="Q433" s="118"/>
      <c r="R433" s="117"/>
      <c r="S433" s="117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64"/>
      <c r="O434" s="161"/>
      <c r="P434" s="118"/>
      <c r="Q434" s="118"/>
      <c r="R434" s="117"/>
      <c r="S434" s="117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  <c r="AK434" s="118"/>
      <c r="AL434" s="118"/>
      <c r="AM434" s="118"/>
      <c r="AN434" s="118"/>
      <c r="AO434" s="118"/>
      <c r="AP434" s="118"/>
      <c r="AQ434" s="118"/>
      <c r="AR434" s="118"/>
      <c r="AS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64"/>
      <c r="O435" s="161"/>
      <c r="P435" s="118"/>
      <c r="Q435" s="118"/>
      <c r="R435" s="117"/>
      <c r="S435" s="117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  <c r="AK435" s="118"/>
      <c r="AL435" s="118"/>
      <c r="AM435" s="118"/>
      <c r="AN435" s="118"/>
      <c r="AO435" s="118"/>
      <c r="AP435" s="118"/>
      <c r="AQ435" s="118"/>
      <c r="AR435" s="118"/>
      <c r="AS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64"/>
      <c r="O436" s="161"/>
      <c r="P436" s="118"/>
      <c r="Q436" s="118"/>
      <c r="R436" s="117"/>
      <c r="S436" s="117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  <c r="AK436" s="118"/>
      <c r="AL436" s="118"/>
      <c r="AM436" s="118"/>
      <c r="AN436" s="118"/>
      <c r="AO436" s="118"/>
      <c r="AP436" s="118"/>
      <c r="AQ436" s="118"/>
      <c r="AR436" s="118"/>
      <c r="AS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64"/>
      <c r="O437" s="161"/>
      <c r="P437" s="118"/>
      <c r="Q437" s="118"/>
      <c r="R437" s="117"/>
      <c r="S437" s="117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  <c r="AK437" s="118"/>
      <c r="AL437" s="118"/>
      <c r="AM437" s="118"/>
      <c r="AN437" s="118"/>
      <c r="AO437" s="118"/>
      <c r="AP437" s="118"/>
      <c r="AQ437" s="118"/>
      <c r="AR437" s="118"/>
      <c r="AS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64"/>
      <c r="O438" s="161"/>
      <c r="P438" s="118"/>
      <c r="Q438" s="118"/>
      <c r="R438" s="117"/>
      <c r="S438" s="117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  <c r="AL438" s="118"/>
      <c r="AM438" s="118"/>
      <c r="AN438" s="118"/>
      <c r="AO438" s="118"/>
      <c r="AP438" s="118"/>
      <c r="AQ438" s="118"/>
      <c r="AR438" s="118"/>
      <c r="AS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64"/>
      <c r="O439" s="161"/>
      <c r="P439" s="118"/>
      <c r="Q439" s="118"/>
      <c r="R439" s="117"/>
      <c r="S439" s="117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  <c r="AL439" s="118"/>
      <c r="AM439" s="118"/>
      <c r="AN439" s="118"/>
      <c r="AO439" s="118"/>
      <c r="AP439" s="118"/>
      <c r="AQ439" s="118"/>
      <c r="AR439" s="118"/>
      <c r="AS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64"/>
      <c r="O440" s="161"/>
      <c r="P440" s="118"/>
      <c r="Q440" s="118"/>
      <c r="R440" s="117"/>
      <c r="S440" s="117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64"/>
      <c r="O441" s="161"/>
      <c r="P441" s="118"/>
      <c r="Q441" s="118"/>
      <c r="R441" s="117"/>
      <c r="S441" s="117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  <c r="AL441" s="118"/>
      <c r="AM441" s="118"/>
      <c r="AN441" s="118"/>
      <c r="AO441" s="118"/>
      <c r="AP441" s="118"/>
      <c r="AQ441" s="118"/>
      <c r="AR441" s="118"/>
      <c r="AS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64"/>
      <c r="O442" s="161"/>
      <c r="P442" s="118"/>
      <c r="Q442" s="118"/>
      <c r="R442" s="117"/>
      <c r="S442" s="117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8"/>
      <c r="AN442" s="118"/>
      <c r="AO442" s="118"/>
      <c r="AP442" s="118"/>
      <c r="AQ442" s="118"/>
      <c r="AR442" s="118"/>
      <c r="AS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64"/>
      <c r="O443" s="161"/>
      <c r="P443" s="118"/>
      <c r="Q443" s="118"/>
      <c r="R443" s="117"/>
      <c r="S443" s="117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  <c r="AL443" s="118"/>
      <c r="AM443" s="118"/>
      <c r="AN443" s="118"/>
      <c r="AO443" s="118"/>
      <c r="AP443" s="118"/>
      <c r="AQ443" s="118"/>
      <c r="AR443" s="118"/>
      <c r="AS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64"/>
      <c r="O444" s="161"/>
      <c r="P444" s="118"/>
      <c r="Q444" s="118"/>
      <c r="R444" s="117"/>
      <c r="S444" s="117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64"/>
      <c r="O445" s="161"/>
      <c r="P445" s="118"/>
      <c r="Q445" s="118"/>
      <c r="R445" s="117"/>
      <c r="S445" s="117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64"/>
      <c r="O446" s="161"/>
      <c r="P446" s="118"/>
      <c r="Q446" s="118"/>
      <c r="R446" s="117"/>
      <c r="S446" s="117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64"/>
      <c r="O447" s="161"/>
      <c r="P447" s="118"/>
      <c r="Q447" s="118"/>
      <c r="R447" s="117"/>
      <c r="S447" s="117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  <c r="AL447" s="118"/>
      <c r="AM447" s="118"/>
      <c r="AN447" s="118"/>
      <c r="AO447" s="118"/>
      <c r="AP447" s="118"/>
      <c r="AQ447" s="118"/>
      <c r="AR447" s="118"/>
      <c r="AS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64"/>
      <c r="O448" s="161"/>
      <c r="P448" s="118"/>
      <c r="Q448" s="118"/>
      <c r="R448" s="117"/>
      <c r="S448" s="117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  <c r="AL448" s="118"/>
      <c r="AM448" s="118"/>
      <c r="AN448" s="118"/>
      <c r="AO448" s="118"/>
      <c r="AP448" s="118"/>
      <c r="AQ448" s="118"/>
      <c r="AR448" s="118"/>
      <c r="AS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64"/>
      <c r="O449" s="161"/>
      <c r="P449" s="118"/>
      <c r="Q449" s="118"/>
      <c r="R449" s="117"/>
      <c r="S449" s="117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64"/>
      <c r="O450" s="161"/>
      <c r="P450" s="118"/>
      <c r="Q450" s="118"/>
      <c r="R450" s="117"/>
      <c r="S450" s="117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64"/>
      <c r="O451" s="161"/>
      <c r="P451" s="118"/>
      <c r="Q451" s="118"/>
      <c r="R451" s="117"/>
      <c r="S451" s="117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64"/>
      <c r="O452" s="161"/>
      <c r="P452" s="118"/>
      <c r="Q452" s="118"/>
      <c r="R452" s="117"/>
      <c r="S452" s="117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  <c r="AL452" s="118"/>
      <c r="AM452" s="118"/>
      <c r="AN452" s="118"/>
      <c r="AO452" s="118"/>
      <c r="AP452" s="118"/>
      <c r="AQ452" s="118"/>
      <c r="AR452" s="118"/>
      <c r="AS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64"/>
      <c r="O453" s="161"/>
      <c r="P453" s="118"/>
      <c r="Q453" s="118"/>
      <c r="R453" s="117"/>
      <c r="S453" s="117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  <c r="AL453" s="118"/>
      <c r="AM453" s="118"/>
      <c r="AN453" s="118"/>
      <c r="AO453" s="118"/>
      <c r="AP453" s="118"/>
      <c r="AQ453" s="118"/>
      <c r="AR453" s="118"/>
      <c r="AS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64"/>
      <c r="O454" s="161"/>
      <c r="P454" s="118"/>
      <c r="Q454" s="118"/>
      <c r="R454" s="117"/>
      <c r="S454" s="117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  <c r="AL454" s="118"/>
      <c r="AM454" s="118"/>
      <c r="AN454" s="118"/>
      <c r="AO454" s="118"/>
      <c r="AP454" s="118"/>
      <c r="AQ454" s="118"/>
      <c r="AR454" s="118"/>
      <c r="AS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64"/>
      <c r="O455" s="161"/>
      <c r="P455" s="118"/>
      <c r="Q455" s="118"/>
      <c r="R455" s="117"/>
      <c r="S455" s="117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  <c r="AL455" s="118"/>
      <c r="AM455" s="118"/>
      <c r="AN455" s="118"/>
      <c r="AO455" s="118"/>
      <c r="AP455" s="118"/>
      <c r="AQ455" s="118"/>
      <c r="AR455" s="118"/>
      <c r="AS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64"/>
      <c r="O456" s="161"/>
      <c r="P456" s="118"/>
      <c r="Q456" s="118"/>
      <c r="R456" s="117"/>
      <c r="S456" s="117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64"/>
      <c r="O457" s="161"/>
      <c r="P457" s="118"/>
      <c r="Q457" s="118"/>
      <c r="R457" s="117"/>
      <c r="S457" s="117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64"/>
      <c r="O458" s="161"/>
      <c r="P458" s="118"/>
      <c r="Q458" s="118"/>
      <c r="R458" s="117"/>
      <c r="S458" s="117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64"/>
      <c r="O459" s="161"/>
      <c r="P459" s="118"/>
      <c r="Q459" s="118"/>
      <c r="R459" s="117"/>
      <c r="S459" s="117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  <c r="AL459" s="118"/>
      <c r="AM459" s="118"/>
      <c r="AN459" s="118"/>
      <c r="AO459" s="118"/>
      <c r="AP459" s="118"/>
      <c r="AQ459" s="118"/>
      <c r="AR459" s="118"/>
      <c r="AS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64"/>
      <c r="O460" s="161"/>
      <c r="P460" s="118"/>
      <c r="Q460" s="118"/>
      <c r="R460" s="117"/>
      <c r="S460" s="117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  <c r="AL460" s="118"/>
      <c r="AM460" s="118"/>
      <c r="AN460" s="118"/>
      <c r="AO460" s="118"/>
      <c r="AP460" s="118"/>
      <c r="AQ460" s="118"/>
      <c r="AR460" s="118"/>
      <c r="AS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64"/>
      <c r="O461" s="161"/>
      <c r="P461" s="118"/>
      <c r="Q461" s="118"/>
      <c r="R461" s="117"/>
      <c r="S461" s="117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  <c r="AL461" s="118"/>
      <c r="AM461" s="118"/>
      <c r="AN461" s="118"/>
      <c r="AO461" s="118"/>
      <c r="AP461" s="118"/>
      <c r="AQ461" s="118"/>
      <c r="AR461" s="118"/>
      <c r="AS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64"/>
      <c r="O462" s="161"/>
      <c r="P462" s="118"/>
      <c r="Q462" s="118"/>
      <c r="R462" s="117"/>
      <c r="S462" s="117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  <c r="AL462" s="118"/>
      <c r="AM462" s="118"/>
      <c r="AN462" s="118"/>
      <c r="AO462" s="118"/>
      <c r="AP462" s="118"/>
      <c r="AQ462" s="118"/>
      <c r="AR462" s="118"/>
      <c r="AS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64"/>
      <c r="O463" s="161"/>
      <c r="P463" s="118"/>
      <c r="Q463" s="118"/>
      <c r="R463" s="117"/>
      <c r="S463" s="117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64"/>
      <c r="O464" s="161"/>
      <c r="P464" s="118"/>
      <c r="Q464" s="118"/>
      <c r="R464" s="117"/>
      <c r="S464" s="117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64"/>
      <c r="O465" s="161"/>
      <c r="P465" s="118"/>
      <c r="Q465" s="118"/>
      <c r="R465" s="117"/>
      <c r="S465" s="117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  <c r="AI465" s="118"/>
      <c r="AJ465" s="118"/>
      <c r="AK465" s="118"/>
      <c r="AL465" s="118"/>
      <c r="AM465" s="118"/>
      <c r="AN465" s="118"/>
      <c r="AO465" s="118"/>
      <c r="AP465" s="118"/>
      <c r="AQ465" s="118"/>
      <c r="AR465" s="118"/>
      <c r="AS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64"/>
      <c r="O466" s="161"/>
      <c r="P466" s="118"/>
      <c r="Q466" s="118"/>
      <c r="R466" s="117"/>
      <c r="S466" s="117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  <c r="AI466" s="118"/>
      <c r="AJ466" s="118"/>
      <c r="AK466" s="118"/>
      <c r="AL466" s="118"/>
      <c r="AM466" s="118"/>
      <c r="AN466" s="118"/>
      <c r="AO466" s="118"/>
      <c r="AP466" s="118"/>
      <c r="AQ466" s="118"/>
      <c r="AR466" s="118"/>
      <c r="AS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64"/>
      <c r="O467" s="161"/>
      <c r="P467" s="118"/>
      <c r="Q467" s="118"/>
      <c r="R467" s="117"/>
      <c r="S467" s="117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  <c r="AI467" s="118"/>
      <c r="AJ467" s="118"/>
      <c r="AK467" s="118"/>
      <c r="AL467" s="118"/>
      <c r="AM467" s="118"/>
      <c r="AN467" s="118"/>
      <c r="AO467" s="118"/>
      <c r="AP467" s="118"/>
      <c r="AQ467" s="118"/>
      <c r="AR467" s="118"/>
      <c r="AS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64"/>
      <c r="O468" s="161"/>
      <c r="P468" s="118"/>
      <c r="Q468" s="118"/>
      <c r="R468" s="117"/>
      <c r="S468" s="117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  <c r="AI468" s="118"/>
      <c r="AJ468" s="118"/>
      <c r="AK468" s="118"/>
      <c r="AL468" s="118"/>
      <c r="AM468" s="118"/>
      <c r="AN468" s="118"/>
      <c r="AO468" s="118"/>
      <c r="AP468" s="118"/>
      <c r="AQ468" s="118"/>
      <c r="AR468" s="118"/>
      <c r="AS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64"/>
      <c r="O469" s="161"/>
      <c r="P469" s="118"/>
      <c r="Q469" s="118"/>
      <c r="R469" s="117"/>
      <c r="S469" s="117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  <c r="AI469" s="118"/>
      <c r="AJ469" s="118"/>
      <c r="AK469" s="118"/>
      <c r="AL469" s="118"/>
      <c r="AM469" s="118"/>
      <c r="AN469" s="118"/>
      <c r="AO469" s="118"/>
      <c r="AP469" s="118"/>
      <c r="AQ469" s="118"/>
      <c r="AR469" s="118"/>
      <c r="AS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64"/>
      <c r="O470" s="161"/>
      <c r="P470" s="118"/>
      <c r="Q470" s="118"/>
      <c r="R470" s="117"/>
      <c r="S470" s="117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  <c r="AI470" s="118"/>
      <c r="AJ470" s="118"/>
      <c r="AK470" s="118"/>
      <c r="AL470" s="118"/>
      <c r="AM470" s="118"/>
      <c r="AN470" s="118"/>
      <c r="AO470" s="118"/>
      <c r="AP470" s="118"/>
      <c r="AQ470" s="118"/>
      <c r="AR470" s="118"/>
      <c r="AS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64"/>
      <c r="O471" s="161"/>
      <c r="P471" s="118"/>
      <c r="Q471" s="118"/>
      <c r="R471" s="117"/>
      <c r="S471" s="117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  <c r="AI471" s="118"/>
      <c r="AJ471" s="118"/>
      <c r="AK471" s="118"/>
      <c r="AL471" s="118"/>
      <c r="AM471" s="118"/>
      <c r="AN471" s="118"/>
      <c r="AO471" s="118"/>
      <c r="AP471" s="118"/>
      <c r="AQ471" s="118"/>
      <c r="AR471" s="118"/>
      <c r="AS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64"/>
      <c r="O472" s="161"/>
      <c r="P472" s="118"/>
      <c r="Q472" s="118"/>
      <c r="R472" s="117"/>
      <c r="S472" s="117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  <c r="AI472" s="118"/>
      <c r="AJ472" s="118"/>
      <c r="AK472" s="118"/>
      <c r="AL472" s="118"/>
      <c r="AM472" s="118"/>
      <c r="AN472" s="118"/>
      <c r="AO472" s="118"/>
      <c r="AP472" s="118"/>
      <c r="AQ472" s="118"/>
      <c r="AR472" s="118"/>
      <c r="AS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64"/>
      <c r="O473" s="161"/>
      <c r="P473" s="118"/>
      <c r="Q473" s="118"/>
      <c r="R473" s="117"/>
      <c r="S473" s="117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  <c r="AI473" s="118"/>
      <c r="AJ473" s="118"/>
      <c r="AK473" s="118"/>
      <c r="AL473" s="118"/>
      <c r="AM473" s="118"/>
      <c r="AN473" s="118"/>
      <c r="AO473" s="118"/>
      <c r="AP473" s="118"/>
      <c r="AQ473" s="118"/>
      <c r="AR473" s="118"/>
      <c r="AS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64"/>
      <c r="O474" s="161"/>
      <c r="P474" s="118"/>
      <c r="Q474" s="118"/>
      <c r="R474" s="117"/>
      <c r="S474" s="117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64"/>
      <c r="O475" s="161"/>
      <c r="P475" s="118"/>
      <c r="Q475" s="118"/>
      <c r="R475" s="117"/>
      <c r="S475" s="117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  <c r="AL475" s="118"/>
      <c r="AM475" s="118"/>
      <c r="AN475" s="118"/>
      <c r="AO475" s="118"/>
      <c r="AP475" s="118"/>
      <c r="AQ475" s="118"/>
      <c r="AR475" s="118"/>
      <c r="AS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64"/>
      <c r="O476" s="161"/>
      <c r="P476" s="118"/>
      <c r="Q476" s="118"/>
      <c r="R476" s="117"/>
      <c r="S476" s="117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  <c r="AL476" s="118"/>
      <c r="AM476" s="118"/>
      <c r="AN476" s="118"/>
      <c r="AO476" s="118"/>
      <c r="AP476" s="118"/>
      <c r="AQ476" s="118"/>
      <c r="AR476" s="118"/>
      <c r="AS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64"/>
      <c r="O477" s="161"/>
      <c r="P477" s="118"/>
      <c r="Q477" s="118"/>
      <c r="R477" s="117"/>
      <c r="S477" s="117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  <c r="AL477" s="118"/>
      <c r="AM477" s="118"/>
      <c r="AN477" s="118"/>
      <c r="AO477" s="118"/>
      <c r="AP477" s="118"/>
      <c r="AQ477" s="118"/>
      <c r="AR477" s="118"/>
      <c r="AS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64"/>
      <c r="O478" s="161"/>
      <c r="P478" s="118"/>
      <c r="Q478" s="118"/>
      <c r="R478" s="117"/>
      <c r="S478" s="117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  <c r="AL478" s="118"/>
      <c r="AM478" s="118"/>
      <c r="AN478" s="118"/>
      <c r="AO478" s="118"/>
      <c r="AP478" s="118"/>
      <c r="AQ478" s="118"/>
      <c r="AR478" s="118"/>
      <c r="AS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64"/>
      <c r="O479" s="161"/>
      <c r="P479" s="118"/>
      <c r="Q479" s="118"/>
      <c r="R479" s="117"/>
      <c r="S479" s="117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64"/>
      <c r="O480" s="161"/>
      <c r="P480" s="118"/>
      <c r="Q480" s="118"/>
      <c r="R480" s="117"/>
      <c r="S480" s="117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64"/>
      <c r="O481" s="161"/>
      <c r="P481" s="118"/>
      <c r="Q481" s="118"/>
      <c r="R481" s="117"/>
      <c r="S481" s="117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64"/>
      <c r="O482" s="161"/>
      <c r="P482" s="118"/>
      <c r="Q482" s="118"/>
      <c r="R482" s="117"/>
      <c r="S482" s="117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  <c r="AL482" s="118"/>
      <c r="AM482" s="118"/>
      <c r="AN482" s="118"/>
      <c r="AO482" s="118"/>
      <c r="AP482" s="118"/>
      <c r="AQ482" s="118"/>
      <c r="AR482" s="118"/>
      <c r="AS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64"/>
      <c r="O483" s="161"/>
      <c r="P483" s="118"/>
      <c r="Q483" s="118"/>
      <c r="R483" s="117"/>
      <c r="S483" s="117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  <c r="AL483" s="118"/>
      <c r="AM483" s="118"/>
      <c r="AN483" s="118"/>
      <c r="AO483" s="118"/>
      <c r="AP483" s="118"/>
      <c r="AQ483" s="118"/>
      <c r="AR483" s="118"/>
      <c r="AS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64"/>
      <c r="O484" s="161"/>
      <c r="P484" s="118"/>
      <c r="Q484" s="118"/>
      <c r="R484" s="117"/>
      <c r="S484" s="117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  <c r="AL484" s="118"/>
      <c r="AM484" s="118"/>
      <c r="AN484" s="118"/>
      <c r="AO484" s="118"/>
      <c r="AP484" s="118"/>
      <c r="AQ484" s="118"/>
      <c r="AR484" s="118"/>
      <c r="AS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64"/>
      <c r="O485" s="161"/>
      <c r="P485" s="118"/>
      <c r="Q485" s="118"/>
      <c r="R485" s="117"/>
      <c r="S485" s="117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  <c r="AL485" s="118"/>
      <c r="AM485" s="118"/>
      <c r="AN485" s="118"/>
      <c r="AO485" s="118"/>
      <c r="AP485" s="118"/>
      <c r="AQ485" s="118"/>
      <c r="AR485" s="118"/>
      <c r="AS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64"/>
      <c r="O486" s="161"/>
      <c r="P486" s="118"/>
      <c r="Q486" s="118"/>
      <c r="R486" s="117"/>
      <c r="S486" s="117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64"/>
      <c r="O487" s="161"/>
      <c r="P487" s="118"/>
      <c r="Q487" s="118"/>
      <c r="R487" s="117"/>
      <c r="S487" s="117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64"/>
      <c r="O488" s="161"/>
      <c r="P488" s="118"/>
      <c r="Q488" s="118"/>
      <c r="R488" s="117"/>
      <c r="S488" s="117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64"/>
      <c r="O489" s="161"/>
      <c r="P489" s="118"/>
      <c r="Q489" s="118"/>
      <c r="R489" s="117"/>
      <c r="S489" s="117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  <c r="AL489" s="118"/>
      <c r="AM489" s="118"/>
      <c r="AN489" s="118"/>
      <c r="AO489" s="118"/>
      <c r="AP489" s="118"/>
      <c r="AQ489" s="118"/>
      <c r="AR489" s="118"/>
      <c r="AS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64"/>
      <c r="O490" s="161"/>
      <c r="P490" s="118"/>
      <c r="Q490" s="118"/>
      <c r="R490" s="117"/>
      <c r="S490" s="117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64"/>
      <c r="O491" s="161"/>
      <c r="P491" s="118"/>
      <c r="Q491" s="118"/>
      <c r="R491" s="117"/>
      <c r="S491" s="117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  <c r="AL491" s="118"/>
      <c r="AM491" s="118"/>
      <c r="AN491" s="118"/>
      <c r="AO491" s="118"/>
      <c r="AP491" s="118"/>
      <c r="AQ491" s="118"/>
      <c r="AR491" s="118"/>
      <c r="AS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64"/>
      <c r="O492" s="161"/>
      <c r="P492" s="118"/>
      <c r="Q492" s="118"/>
      <c r="R492" s="117"/>
      <c r="S492" s="117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  <c r="AL492" s="118"/>
      <c r="AM492" s="118"/>
      <c r="AN492" s="118"/>
      <c r="AO492" s="118"/>
      <c r="AP492" s="118"/>
      <c r="AQ492" s="118"/>
      <c r="AR492" s="118"/>
      <c r="AS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64"/>
      <c r="O493" s="161"/>
      <c r="P493" s="118"/>
      <c r="Q493" s="118"/>
      <c r="R493" s="117"/>
      <c r="S493" s="117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64"/>
      <c r="O494" s="161"/>
      <c r="P494" s="118"/>
      <c r="Q494" s="118"/>
      <c r="R494" s="117"/>
      <c r="S494" s="117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64"/>
      <c r="O495" s="161"/>
      <c r="P495" s="118"/>
      <c r="Q495" s="118"/>
      <c r="R495" s="117"/>
      <c r="S495" s="117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  <c r="AL495" s="118"/>
      <c r="AM495" s="118"/>
      <c r="AN495" s="118"/>
      <c r="AO495" s="118"/>
      <c r="AP495" s="118"/>
      <c r="AQ495" s="118"/>
      <c r="AR495" s="118"/>
      <c r="AS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64"/>
      <c r="O496" s="161"/>
      <c r="P496" s="118"/>
      <c r="Q496" s="118"/>
      <c r="R496" s="117"/>
      <c r="S496" s="117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  <c r="AL496" s="118"/>
      <c r="AM496" s="118"/>
      <c r="AN496" s="118"/>
      <c r="AO496" s="118"/>
      <c r="AP496" s="118"/>
      <c r="AQ496" s="118"/>
      <c r="AR496" s="118"/>
      <c r="AS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64"/>
      <c r="O497" s="161"/>
      <c r="P497" s="118"/>
      <c r="Q497" s="118"/>
      <c r="R497" s="117"/>
      <c r="S497" s="117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  <c r="AL497" s="118"/>
      <c r="AM497" s="118"/>
      <c r="AN497" s="118"/>
      <c r="AO497" s="118"/>
      <c r="AP497" s="118"/>
      <c r="AQ497" s="118"/>
      <c r="AR497" s="118"/>
      <c r="AS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64"/>
      <c r="O498" s="161"/>
      <c r="P498" s="118"/>
      <c r="Q498" s="118"/>
      <c r="R498" s="117"/>
      <c r="S498" s="117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64"/>
      <c r="O499" s="161"/>
      <c r="P499" s="118"/>
      <c r="Q499" s="118"/>
      <c r="R499" s="117"/>
      <c r="S499" s="117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  <c r="AL499" s="118"/>
      <c r="AM499" s="118"/>
      <c r="AN499" s="118"/>
      <c r="AO499" s="118"/>
      <c r="AP499" s="118"/>
      <c r="AQ499" s="118"/>
      <c r="AR499" s="118"/>
      <c r="AS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64"/>
      <c r="O500" s="161"/>
      <c r="P500" s="118"/>
      <c r="Q500" s="118"/>
      <c r="R500" s="117"/>
      <c r="S500" s="117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  <c r="AL500" s="118"/>
      <c r="AM500" s="118"/>
      <c r="AN500" s="118"/>
      <c r="AO500" s="118"/>
      <c r="AP500" s="118"/>
      <c r="AQ500" s="118"/>
      <c r="AR500" s="118"/>
      <c r="AS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64"/>
      <c r="O501" s="161"/>
      <c r="P501" s="118"/>
      <c r="Q501" s="118"/>
      <c r="R501" s="117"/>
      <c r="S501" s="117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  <c r="AL501" s="118"/>
      <c r="AM501" s="118"/>
      <c r="AN501" s="118"/>
      <c r="AO501" s="118"/>
      <c r="AP501" s="118"/>
      <c r="AQ501" s="118"/>
      <c r="AR501" s="118"/>
      <c r="AS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64"/>
      <c r="O502" s="161"/>
      <c r="P502" s="118"/>
      <c r="Q502" s="118"/>
      <c r="R502" s="117"/>
      <c r="S502" s="117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64"/>
      <c r="O503" s="161"/>
      <c r="P503" s="118"/>
      <c r="Q503" s="118"/>
      <c r="R503" s="117"/>
      <c r="S503" s="117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  <c r="AL503" s="118"/>
      <c r="AM503" s="118"/>
      <c r="AN503" s="118"/>
      <c r="AO503" s="118"/>
      <c r="AP503" s="118"/>
      <c r="AQ503" s="118"/>
      <c r="AR503" s="118"/>
      <c r="AS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64"/>
      <c r="O504" s="161"/>
      <c r="P504" s="118"/>
      <c r="Q504" s="118"/>
      <c r="R504" s="117"/>
      <c r="S504" s="117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  <c r="AL504" s="118"/>
      <c r="AM504" s="118"/>
      <c r="AN504" s="118"/>
      <c r="AO504" s="118"/>
      <c r="AP504" s="118"/>
      <c r="AQ504" s="118"/>
      <c r="AR504" s="118"/>
      <c r="AS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64"/>
      <c r="O505" s="161"/>
      <c r="P505" s="118"/>
      <c r="Q505" s="118"/>
      <c r="R505" s="117"/>
      <c r="S505" s="117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  <c r="AL505" s="118"/>
      <c r="AM505" s="118"/>
      <c r="AN505" s="118"/>
      <c r="AO505" s="118"/>
      <c r="AP505" s="118"/>
      <c r="AQ505" s="118"/>
      <c r="AR505" s="118"/>
      <c r="AS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64"/>
      <c r="O506" s="161"/>
      <c r="P506" s="118"/>
      <c r="Q506" s="118"/>
      <c r="R506" s="117"/>
      <c r="S506" s="117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  <c r="AL506" s="118"/>
      <c r="AM506" s="118"/>
      <c r="AN506" s="118"/>
      <c r="AO506" s="118"/>
      <c r="AP506" s="118"/>
      <c r="AQ506" s="118"/>
      <c r="AR506" s="118"/>
      <c r="AS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64"/>
      <c r="O507" s="161"/>
      <c r="P507" s="118"/>
      <c r="Q507" s="118"/>
      <c r="R507" s="117"/>
      <c r="S507" s="117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  <c r="AL507" s="118"/>
      <c r="AM507" s="118"/>
      <c r="AN507" s="118"/>
      <c r="AO507" s="118"/>
      <c r="AP507" s="118"/>
      <c r="AQ507" s="118"/>
      <c r="AR507" s="118"/>
      <c r="AS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64"/>
      <c r="O508" s="161"/>
      <c r="P508" s="118"/>
      <c r="Q508" s="118"/>
      <c r="R508" s="117"/>
      <c r="S508" s="117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  <c r="AL508" s="118"/>
      <c r="AM508" s="118"/>
      <c r="AN508" s="118"/>
      <c r="AO508" s="118"/>
      <c r="AP508" s="118"/>
      <c r="AQ508" s="118"/>
      <c r="AR508" s="118"/>
      <c r="AS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64"/>
      <c r="O509" s="161"/>
      <c r="P509" s="118"/>
      <c r="Q509" s="118"/>
      <c r="R509" s="117"/>
      <c r="S509" s="117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  <c r="AL509" s="118"/>
      <c r="AM509" s="118"/>
      <c r="AN509" s="118"/>
      <c r="AO509" s="118"/>
      <c r="AP509" s="118"/>
      <c r="AQ509" s="118"/>
      <c r="AR509" s="118"/>
      <c r="AS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64"/>
      <c r="O510" s="161"/>
      <c r="P510" s="118"/>
      <c r="Q510" s="118"/>
      <c r="R510" s="117"/>
      <c r="S510" s="117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  <c r="AL510" s="118"/>
      <c r="AM510" s="118"/>
      <c r="AN510" s="118"/>
      <c r="AO510" s="118"/>
      <c r="AP510" s="118"/>
      <c r="AQ510" s="118"/>
      <c r="AR510" s="118"/>
      <c r="AS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64"/>
      <c r="O511" s="161"/>
      <c r="P511" s="118"/>
      <c r="Q511" s="118"/>
      <c r="R511" s="117"/>
      <c r="S511" s="117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  <c r="AL511" s="118"/>
      <c r="AM511" s="118"/>
      <c r="AN511" s="118"/>
      <c r="AO511" s="118"/>
      <c r="AP511" s="118"/>
      <c r="AQ511" s="118"/>
      <c r="AR511" s="118"/>
      <c r="AS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64"/>
      <c r="O512" s="161"/>
      <c r="P512" s="118"/>
      <c r="Q512" s="118"/>
      <c r="R512" s="117"/>
      <c r="S512" s="117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64"/>
      <c r="O513" s="161"/>
      <c r="P513" s="118"/>
      <c r="Q513" s="118"/>
      <c r="R513" s="117"/>
      <c r="S513" s="117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  <c r="AL513" s="118"/>
      <c r="AM513" s="118"/>
      <c r="AN513" s="118"/>
      <c r="AO513" s="118"/>
      <c r="AP513" s="118"/>
      <c r="AQ513" s="118"/>
      <c r="AR513" s="118"/>
      <c r="AS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64"/>
      <c r="O514" s="161"/>
      <c r="P514" s="118"/>
      <c r="Q514" s="118"/>
      <c r="R514" s="117"/>
      <c r="S514" s="117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  <c r="AL514" s="118"/>
      <c r="AM514" s="118"/>
      <c r="AN514" s="118"/>
      <c r="AO514" s="118"/>
      <c r="AP514" s="118"/>
      <c r="AQ514" s="118"/>
      <c r="AR514" s="118"/>
      <c r="AS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64"/>
      <c r="O515" s="161"/>
      <c r="P515" s="118"/>
      <c r="Q515" s="118"/>
      <c r="R515" s="117"/>
      <c r="S515" s="117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  <c r="AL515" s="118"/>
      <c r="AM515" s="118"/>
      <c r="AN515" s="118"/>
      <c r="AO515" s="118"/>
      <c r="AP515" s="118"/>
      <c r="AQ515" s="118"/>
      <c r="AR515" s="118"/>
      <c r="AS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64"/>
      <c r="O516" s="161"/>
      <c r="P516" s="118"/>
      <c r="Q516" s="118"/>
      <c r="R516" s="117"/>
      <c r="S516" s="117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  <c r="AL516" s="118"/>
      <c r="AM516" s="118"/>
      <c r="AN516" s="118"/>
      <c r="AO516" s="118"/>
      <c r="AP516" s="118"/>
      <c r="AQ516" s="118"/>
      <c r="AR516" s="118"/>
      <c r="AS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64"/>
      <c r="O517" s="161"/>
      <c r="P517" s="118"/>
      <c r="Q517" s="118"/>
      <c r="R517" s="117"/>
      <c r="S517" s="117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  <c r="AL517" s="118"/>
      <c r="AM517" s="118"/>
      <c r="AN517" s="118"/>
      <c r="AO517" s="118"/>
      <c r="AP517" s="118"/>
      <c r="AQ517" s="118"/>
      <c r="AR517" s="118"/>
      <c r="AS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64"/>
      <c r="O518" s="161"/>
      <c r="P518" s="118"/>
      <c r="Q518" s="118"/>
      <c r="R518" s="117"/>
      <c r="S518" s="117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8"/>
      <c r="AN518" s="118"/>
      <c r="AO518" s="118"/>
      <c r="AP518" s="118"/>
      <c r="AQ518" s="118"/>
      <c r="AR518" s="118"/>
      <c r="AS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64"/>
      <c r="O519" s="161"/>
      <c r="P519" s="118"/>
      <c r="Q519" s="118"/>
      <c r="R519" s="117"/>
      <c r="S519" s="117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  <c r="AL519" s="118"/>
      <c r="AM519" s="118"/>
      <c r="AN519" s="118"/>
      <c r="AO519" s="118"/>
      <c r="AP519" s="118"/>
      <c r="AQ519" s="118"/>
      <c r="AR519" s="118"/>
      <c r="AS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64"/>
      <c r="O520" s="161"/>
      <c r="P520" s="118"/>
      <c r="Q520" s="118"/>
      <c r="R520" s="117"/>
      <c r="S520" s="117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  <c r="AL520" s="118"/>
      <c r="AM520" s="118"/>
      <c r="AN520" s="118"/>
      <c r="AO520" s="118"/>
      <c r="AP520" s="118"/>
      <c r="AQ520" s="118"/>
      <c r="AR520" s="118"/>
      <c r="AS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64"/>
      <c r="O521" s="161"/>
      <c r="P521" s="118"/>
      <c r="Q521" s="118"/>
      <c r="R521" s="117"/>
      <c r="S521" s="117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AK521" s="118"/>
      <c r="AL521" s="118"/>
      <c r="AM521" s="118"/>
      <c r="AN521" s="118"/>
      <c r="AO521" s="118"/>
      <c r="AP521" s="118"/>
      <c r="AQ521" s="118"/>
      <c r="AR521" s="118"/>
      <c r="AS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64"/>
      <c r="O522" s="161"/>
      <c r="P522" s="118"/>
      <c r="Q522" s="118"/>
      <c r="R522" s="117"/>
      <c r="S522" s="117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  <c r="AL522" s="118"/>
      <c r="AM522" s="118"/>
      <c r="AN522" s="118"/>
      <c r="AO522" s="118"/>
      <c r="AP522" s="118"/>
      <c r="AQ522" s="118"/>
      <c r="AR522" s="118"/>
      <c r="AS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64"/>
      <c r="O523" s="161"/>
      <c r="P523" s="118"/>
      <c r="Q523" s="118"/>
      <c r="R523" s="117"/>
      <c r="S523" s="117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  <c r="AL523" s="118"/>
      <c r="AM523" s="118"/>
      <c r="AN523" s="118"/>
      <c r="AO523" s="118"/>
      <c r="AP523" s="118"/>
      <c r="AQ523" s="118"/>
      <c r="AR523" s="118"/>
      <c r="AS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64"/>
      <c r="O524" s="161"/>
      <c r="P524" s="118"/>
      <c r="Q524" s="118"/>
      <c r="R524" s="117"/>
      <c r="S524" s="117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  <c r="AL524" s="118"/>
      <c r="AM524" s="118"/>
      <c r="AN524" s="118"/>
      <c r="AO524" s="118"/>
      <c r="AP524" s="118"/>
      <c r="AQ524" s="118"/>
      <c r="AR524" s="118"/>
      <c r="AS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64"/>
      <c r="O525" s="161"/>
      <c r="P525" s="118"/>
      <c r="Q525" s="118"/>
      <c r="R525" s="117"/>
      <c r="S525" s="117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  <c r="AL525" s="118"/>
      <c r="AM525" s="118"/>
      <c r="AN525" s="118"/>
      <c r="AO525" s="118"/>
      <c r="AP525" s="118"/>
      <c r="AQ525" s="118"/>
      <c r="AR525" s="118"/>
      <c r="AS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64"/>
      <c r="O526" s="161"/>
      <c r="P526" s="118"/>
      <c r="Q526" s="118"/>
      <c r="R526" s="117"/>
      <c r="S526" s="117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  <c r="AL526" s="118"/>
      <c r="AM526" s="118"/>
      <c r="AN526" s="118"/>
      <c r="AO526" s="118"/>
      <c r="AP526" s="118"/>
      <c r="AQ526" s="118"/>
      <c r="AR526" s="118"/>
      <c r="AS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64"/>
      <c r="O527" s="161"/>
      <c r="P527" s="118"/>
      <c r="Q527" s="118"/>
      <c r="R527" s="117"/>
      <c r="S527" s="117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  <c r="AL527" s="118"/>
      <c r="AM527" s="118"/>
      <c r="AN527" s="118"/>
      <c r="AO527" s="118"/>
      <c r="AP527" s="118"/>
      <c r="AQ527" s="118"/>
      <c r="AR527" s="118"/>
      <c r="AS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64"/>
      <c r="O528" s="161"/>
      <c r="P528" s="118"/>
      <c r="Q528" s="118"/>
      <c r="R528" s="117"/>
      <c r="S528" s="117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  <c r="AL528" s="118"/>
      <c r="AM528" s="118"/>
      <c r="AN528" s="118"/>
      <c r="AO528" s="118"/>
      <c r="AP528" s="118"/>
      <c r="AQ528" s="118"/>
      <c r="AR528" s="118"/>
      <c r="AS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64"/>
      <c r="O529" s="161"/>
      <c r="P529" s="118"/>
      <c r="Q529" s="118"/>
      <c r="R529" s="117"/>
      <c r="S529" s="117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  <c r="AI529" s="118"/>
      <c r="AJ529" s="118"/>
      <c r="AK529" s="118"/>
      <c r="AL529" s="118"/>
      <c r="AM529" s="118"/>
      <c r="AN529" s="118"/>
      <c r="AO529" s="118"/>
      <c r="AP529" s="118"/>
      <c r="AQ529" s="118"/>
      <c r="AR529" s="118"/>
      <c r="AS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64"/>
      <c r="O530" s="161"/>
      <c r="P530" s="118"/>
      <c r="Q530" s="118"/>
      <c r="R530" s="117"/>
      <c r="S530" s="117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  <c r="AI530" s="118"/>
      <c r="AJ530" s="118"/>
      <c r="AK530" s="118"/>
      <c r="AL530" s="118"/>
      <c r="AM530" s="118"/>
      <c r="AN530" s="118"/>
      <c r="AO530" s="118"/>
      <c r="AP530" s="118"/>
      <c r="AQ530" s="118"/>
      <c r="AR530" s="118"/>
      <c r="AS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64"/>
      <c r="O531" s="161"/>
      <c r="P531" s="118"/>
      <c r="Q531" s="118"/>
      <c r="R531" s="117"/>
      <c r="S531" s="117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  <c r="AI531" s="118"/>
      <c r="AJ531" s="118"/>
      <c r="AK531" s="118"/>
      <c r="AL531" s="118"/>
      <c r="AM531" s="118"/>
      <c r="AN531" s="118"/>
      <c r="AO531" s="118"/>
      <c r="AP531" s="118"/>
      <c r="AQ531" s="118"/>
      <c r="AR531" s="118"/>
      <c r="AS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64"/>
      <c r="O532" s="161"/>
      <c r="P532" s="118"/>
      <c r="Q532" s="118"/>
      <c r="R532" s="117"/>
      <c r="S532" s="117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  <c r="AI532" s="118"/>
      <c r="AJ532" s="118"/>
      <c r="AK532" s="118"/>
      <c r="AL532" s="118"/>
      <c r="AM532" s="118"/>
      <c r="AN532" s="118"/>
      <c r="AO532" s="118"/>
      <c r="AP532" s="118"/>
      <c r="AQ532" s="118"/>
      <c r="AR532" s="118"/>
      <c r="AS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64"/>
      <c r="O533" s="161"/>
      <c r="P533" s="118"/>
      <c r="Q533" s="118"/>
      <c r="R533" s="117"/>
      <c r="S533" s="117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  <c r="AI533" s="118"/>
      <c r="AJ533" s="118"/>
      <c r="AK533" s="118"/>
      <c r="AL533" s="118"/>
      <c r="AM533" s="118"/>
      <c r="AN533" s="118"/>
      <c r="AO533" s="118"/>
      <c r="AP533" s="118"/>
      <c r="AQ533" s="118"/>
      <c r="AR533" s="118"/>
      <c r="AS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64"/>
      <c r="O534" s="161"/>
      <c r="P534" s="118"/>
      <c r="Q534" s="118"/>
      <c r="R534" s="117"/>
      <c r="S534" s="117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64"/>
      <c r="O535" s="161"/>
      <c r="P535" s="118"/>
      <c r="Q535" s="118"/>
      <c r="R535" s="117"/>
      <c r="S535" s="117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  <c r="AL535" s="118"/>
      <c r="AM535" s="118"/>
      <c r="AN535" s="118"/>
      <c r="AO535" s="118"/>
      <c r="AP535" s="118"/>
      <c r="AQ535" s="118"/>
      <c r="AR535" s="118"/>
      <c r="AS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64"/>
      <c r="O536" s="161"/>
      <c r="P536" s="118"/>
      <c r="Q536" s="118"/>
      <c r="R536" s="117"/>
      <c r="S536" s="117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  <c r="AL536" s="118"/>
      <c r="AM536" s="118"/>
      <c r="AN536" s="118"/>
      <c r="AO536" s="118"/>
      <c r="AP536" s="118"/>
      <c r="AQ536" s="118"/>
      <c r="AR536" s="118"/>
      <c r="AS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64"/>
      <c r="O537" s="161"/>
      <c r="P537" s="118"/>
      <c r="Q537" s="118"/>
      <c r="R537" s="117"/>
      <c r="S537" s="117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  <c r="AL537" s="118"/>
      <c r="AM537" s="118"/>
      <c r="AN537" s="118"/>
      <c r="AO537" s="118"/>
      <c r="AP537" s="118"/>
      <c r="AQ537" s="118"/>
      <c r="AR537" s="118"/>
      <c r="AS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64"/>
      <c r="O538" s="161"/>
      <c r="P538" s="118"/>
      <c r="Q538" s="118"/>
      <c r="R538" s="117"/>
      <c r="S538" s="117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  <c r="AL538" s="118"/>
      <c r="AM538" s="118"/>
      <c r="AN538" s="118"/>
      <c r="AO538" s="118"/>
      <c r="AP538" s="118"/>
      <c r="AQ538" s="118"/>
      <c r="AR538" s="118"/>
      <c r="AS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64"/>
      <c r="O539" s="161"/>
      <c r="P539" s="118"/>
      <c r="Q539" s="118"/>
      <c r="R539" s="117"/>
      <c r="S539" s="117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  <c r="AL539" s="118"/>
      <c r="AM539" s="118"/>
      <c r="AN539" s="118"/>
      <c r="AO539" s="118"/>
      <c r="AP539" s="118"/>
      <c r="AQ539" s="118"/>
      <c r="AR539" s="118"/>
      <c r="AS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64"/>
      <c r="O540" s="161"/>
      <c r="P540" s="118"/>
      <c r="Q540" s="118"/>
      <c r="R540" s="117"/>
      <c r="S540" s="117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  <c r="AL540" s="118"/>
      <c r="AM540" s="118"/>
      <c r="AN540" s="118"/>
      <c r="AO540" s="118"/>
      <c r="AP540" s="118"/>
      <c r="AQ540" s="118"/>
      <c r="AR540" s="118"/>
      <c r="AS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64"/>
      <c r="O541" s="161"/>
      <c r="P541" s="118"/>
      <c r="Q541" s="118"/>
      <c r="R541" s="117"/>
      <c r="S541" s="117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  <c r="AL541" s="118"/>
      <c r="AM541" s="118"/>
      <c r="AN541" s="118"/>
      <c r="AO541" s="118"/>
      <c r="AP541" s="118"/>
      <c r="AQ541" s="118"/>
      <c r="AR541" s="118"/>
      <c r="AS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64"/>
      <c r="O542" s="161"/>
      <c r="P542" s="118"/>
      <c r="Q542" s="118"/>
      <c r="R542" s="117"/>
      <c r="S542" s="117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  <c r="AL542" s="118"/>
      <c r="AM542" s="118"/>
      <c r="AN542" s="118"/>
      <c r="AO542" s="118"/>
      <c r="AP542" s="118"/>
      <c r="AQ542" s="118"/>
      <c r="AR542" s="118"/>
      <c r="AS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64"/>
      <c r="O543" s="161"/>
      <c r="P543" s="118"/>
      <c r="Q543" s="118"/>
      <c r="R543" s="117"/>
      <c r="S543" s="117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  <c r="AL543" s="118"/>
      <c r="AM543" s="118"/>
      <c r="AN543" s="118"/>
      <c r="AO543" s="118"/>
      <c r="AP543" s="118"/>
      <c r="AQ543" s="118"/>
      <c r="AR543" s="118"/>
      <c r="AS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64"/>
      <c r="O544" s="161"/>
      <c r="P544" s="118"/>
      <c r="Q544" s="118"/>
      <c r="R544" s="117"/>
      <c r="S544" s="117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64"/>
      <c r="O545" s="161"/>
      <c r="P545" s="118"/>
      <c r="Q545" s="118"/>
      <c r="R545" s="117"/>
      <c r="S545" s="117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  <c r="AL545" s="118"/>
      <c r="AM545" s="118"/>
      <c r="AN545" s="118"/>
      <c r="AO545" s="118"/>
      <c r="AP545" s="118"/>
      <c r="AQ545" s="118"/>
      <c r="AR545" s="118"/>
      <c r="AS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64"/>
      <c r="O546" s="161"/>
      <c r="P546" s="118"/>
      <c r="Q546" s="118"/>
      <c r="R546" s="117"/>
      <c r="S546" s="117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  <c r="AL546" s="118"/>
      <c r="AM546" s="118"/>
      <c r="AN546" s="118"/>
      <c r="AO546" s="118"/>
      <c r="AP546" s="118"/>
      <c r="AQ546" s="118"/>
      <c r="AR546" s="118"/>
      <c r="AS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64"/>
      <c r="O547" s="161"/>
      <c r="P547" s="118"/>
      <c r="Q547" s="118"/>
      <c r="R547" s="117"/>
      <c r="S547" s="117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  <c r="AL547" s="118"/>
      <c r="AM547" s="118"/>
      <c r="AN547" s="118"/>
      <c r="AO547" s="118"/>
      <c r="AP547" s="118"/>
      <c r="AQ547" s="118"/>
      <c r="AR547" s="118"/>
      <c r="AS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64"/>
      <c r="O548" s="161"/>
      <c r="P548" s="118"/>
      <c r="Q548" s="118"/>
      <c r="R548" s="117"/>
      <c r="S548" s="117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  <c r="AO548" s="118"/>
      <c r="AP548" s="118"/>
      <c r="AQ548" s="118"/>
      <c r="AR548" s="118"/>
      <c r="AS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64"/>
      <c r="O549" s="161"/>
      <c r="P549" s="118"/>
      <c r="Q549" s="118"/>
      <c r="R549" s="117"/>
      <c r="S549" s="117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  <c r="AL549" s="118"/>
      <c r="AM549" s="118"/>
      <c r="AN549" s="118"/>
      <c r="AO549" s="118"/>
      <c r="AP549" s="118"/>
      <c r="AQ549" s="118"/>
      <c r="AR549" s="118"/>
      <c r="AS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64"/>
      <c r="O550" s="161"/>
      <c r="P550" s="118"/>
      <c r="Q550" s="118"/>
      <c r="R550" s="117"/>
      <c r="S550" s="117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8"/>
      <c r="AM550" s="118"/>
      <c r="AN550" s="118"/>
      <c r="AO550" s="118"/>
      <c r="AP550" s="118"/>
      <c r="AQ550" s="118"/>
      <c r="AR550" s="118"/>
      <c r="AS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64"/>
      <c r="O551" s="161"/>
      <c r="P551" s="118"/>
      <c r="Q551" s="118"/>
      <c r="R551" s="117"/>
      <c r="S551" s="117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64"/>
      <c r="O552" s="161"/>
      <c r="P552" s="118"/>
      <c r="Q552" s="118"/>
      <c r="R552" s="117"/>
      <c r="S552" s="117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8"/>
      <c r="AM552" s="118"/>
      <c r="AN552" s="118"/>
      <c r="AO552" s="118"/>
      <c r="AP552" s="118"/>
      <c r="AQ552" s="118"/>
      <c r="AR552" s="118"/>
      <c r="AS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64"/>
      <c r="O553" s="161"/>
      <c r="P553" s="118"/>
      <c r="Q553" s="118"/>
      <c r="R553" s="117"/>
      <c r="S553" s="117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  <c r="AL553" s="118"/>
      <c r="AM553" s="118"/>
      <c r="AN553" s="118"/>
      <c r="AO553" s="118"/>
      <c r="AP553" s="118"/>
      <c r="AQ553" s="118"/>
      <c r="AR553" s="118"/>
      <c r="AS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64"/>
      <c r="O554" s="161"/>
      <c r="P554" s="118"/>
      <c r="Q554" s="118"/>
      <c r="R554" s="117"/>
      <c r="S554" s="117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  <c r="AL554" s="118"/>
      <c r="AM554" s="118"/>
      <c r="AN554" s="118"/>
      <c r="AO554" s="118"/>
      <c r="AP554" s="118"/>
      <c r="AQ554" s="118"/>
      <c r="AR554" s="118"/>
      <c r="AS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64"/>
      <c r="O555" s="161"/>
      <c r="P555" s="118"/>
      <c r="Q555" s="118"/>
      <c r="R555" s="117"/>
      <c r="S555" s="117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  <c r="AL555" s="118"/>
      <c r="AM555" s="118"/>
      <c r="AN555" s="118"/>
      <c r="AO555" s="118"/>
      <c r="AP555" s="118"/>
      <c r="AQ555" s="118"/>
      <c r="AR555" s="118"/>
      <c r="AS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64"/>
      <c r="O556" s="161"/>
      <c r="P556" s="118"/>
      <c r="Q556" s="118"/>
      <c r="R556" s="117"/>
      <c r="S556" s="117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8"/>
      <c r="AN556" s="118"/>
      <c r="AO556" s="118"/>
      <c r="AP556" s="118"/>
      <c r="AQ556" s="118"/>
      <c r="AR556" s="118"/>
      <c r="AS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64"/>
      <c r="O557" s="161"/>
      <c r="P557" s="118"/>
      <c r="Q557" s="118"/>
      <c r="R557" s="117"/>
      <c r="S557" s="117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  <c r="AL557" s="118"/>
      <c r="AM557" s="118"/>
      <c r="AN557" s="118"/>
      <c r="AO557" s="118"/>
      <c r="AP557" s="118"/>
      <c r="AQ557" s="118"/>
      <c r="AR557" s="118"/>
      <c r="AS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64"/>
      <c r="O558" s="161"/>
      <c r="P558" s="118"/>
      <c r="Q558" s="118"/>
      <c r="R558" s="117"/>
      <c r="S558" s="117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  <c r="AL558" s="118"/>
      <c r="AM558" s="118"/>
      <c r="AN558" s="118"/>
      <c r="AO558" s="118"/>
      <c r="AP558" s="118"/>
      <c r="AQ558" s="118"/>
      <c r="AR558" s="118"/>
      <c r="AS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64"/>
      <c r="O559" s="161"/>
      <c r="P559" s="118"/>
      <c r="Q559" s="118"/>
      <c r="R559" s="117"/>
      <c r="S559" s="117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  <c r="AL559" s="118"/>
      <c r="AM559" s="118"/>
      <c r="AN559" s="118"/>
      <c r="AO559" s="118"/>
      <c r="AP559" s="118"/>
      <c r="AQ559" s="118"/>
      <c r="AR559" s="118"/>
      <c r="AS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64"/>
      <c r="O560" s="161"/>
      <c r="P560" s="118"/>
      <c r="Q560" s="118"/>
      <c r="R560" s="117"/>
      <c r="S560" s="117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  <c r="AI560" s="118"/>
      <c r="AJ560" s="118"/>
      <c r="AK560" s="118"/>
      <c r="AL560" s="118"/>
      <c r="AM560" s="118"/>
      <c r="AN560" s="118"/>
      <c r="AO560" s="118"/>
      <c r="AP560" s="118"/>
      <c r="AQ560" s="118"/>
      <c r="AR560" s="118"/>
      <c r="AS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64"/>
      <c r="O561" s="161"/>
      <c r="P561" s="118"/>
      <c r="Q561" s="118"/>
      <c r="R561" s="117"/>
      <c r="S561" s="117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  <c r="AI561" s="118"/>
      <c r="AJ561" s="118"/>
      <c r="AK561" s="118"/>
      <c r="AL561" s="118"/>
      <c r="AM561" s="118"/>
      <c r="AN561" s="118"/>
      <c r="AO561" s="118"/>
      <c r="AP561" s="118"/>
      <c r="AQ561" s="118"/>
      <c r="AR561" s="118"/>
      <c r="AS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64"/>
      <c r="O562" s="161"/>
      <c r="P562" s="118"/>
      <c r="Q562" s="118"/>
      <c r="R562" s="117"/>
      <c r="S562" s="117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  <c r="AI562" s="118"/>
      <c r="AJ562" s="118"/>
      <c r="AK562" s="118"/>
      <c r="AL562" s="118"/>
      <c r="AM562" s="118"/>
      <c r="AN562" s="118"/>
      <c r="AO562" s="118"/>
      <c r="AP562" s="118"/>
      <c r="AQ562" s="118"/>
      <c r="AR562" s="118"/>
      <c r="AS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64"/>
      <c r="O563" s="161"/>
      <c r="P563" s="118"/>
      <c r="Q563" s="118"/>
      <c r="R563" s="117"/>
      <c r="S563" s="117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  <c r="AI563" s="118"/>
      <c r="AJ563" s="118"/>
      <c r="AK563" s="118"/>
      <c r="AL563" s="118"/>
      <c r="AM563" s="118"/>
      <c r="AN563" s="118"/>
      <c r="AO563" s="118"/>
      <c r="AP563" s="118"/>
      <c r="AQ563" s="118"/>
      <c r="AR563" s="118"/>
      <c r="AS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64"/>
      <c r="O564" s="161"/>
      <c r="P564" s="118"/>
      <c r="Q564" s="118"/>
      <c r="R564" s="117"/>
      <c r="S564" s="117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64"/>
      <c r="O565" s="161"/>
      <c r="P565" s="118"/>
      <c r="Q565" s="118"/>
      <c r="R565" s="117"/>
      <c r="S565" s="117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  <c r="AI565" s="118"/>
      <c r="AJ565" s="118"/>
      <c r="AK565" s="118"/>
      <c r="AL565" s="118"/>
      <c r="AM565" s="118"/>
      <c r="AN565" s="118"/>
      <c r="AO565" s="118"/>
      <c r="AP565" s="118"/>
      <c r="AQ565" s="118"/>
      <c r="AR565" s="118"/>
      <c r="AS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64"/>
      <c r="O566" s="161"/>
      <c r="P566" s="118"/>
      <c r="Q566" s="118"/>
      <c r="R566" s="117"/>
      <c r="S566" s="117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  <c r="AI566" s="118"/>
      <c r="AJ566" s="118"/>
      <c r="AK566" s="118"/>
      <c r="AL566" s="118"/>
      <c r="AM566" s="118"/>
      <c r="AN566" s="118"/>
      <c r="AO566" s="118"/>
      <c r="AP566" s="118"/>
      <c r="AQ566" s="118"/>
      <c r="AR566" s="118"/>
      <c r="AS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64"/>
      <c r="O567" s="161"/>
      <c r="P567" s="118"/>
      <c r="Q567" s="118"/>
      <c r="R567" s="117"/>
      <c r="S567" s="117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  <c r="AI567" s="118"/>
      <c r="AJ567" s="118"/>
      <c r="AK567" s="118"/>
      <c r="AL567" s="118"/>
      <c r="AM567" s="118"/>
      <c r="AN567" s="118"/>
      <c r="AO567" s="118"/>
      <c r="AP567" s="118"/>
      <c r="AQ567" s="118"/>
      <c r="AR567" s="118"/>
      <c r="AS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64"/>
      <c r="O568" s="161"/>
      <c r="P568" s="118"/>
      <c r="Q568" s="118"/>
      <c r="R568" s="117"/>
      <c r="S568" s="117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  <c r="AI568" s="118"/>
      <c r="AJ568" s="118"/>
      <c r="AK568" s="118"/>
      <c r="AL568" s="118"/>
      <c r="AM568" s="118"/>
      <c r="AN568" s="118"/>
      <c r="AO568" s="118"/>
      <c r="AP568" s="118"/>
      <c r="AQ568" s="118"/>
      <c r="AR568" s="118"/>
      <c r="AS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64"/>
      <c r="O569" s="161"/>
      <c r="P569" s="118"/>
      <c r="Q569" s="118"/>
      <c r="R569" s="117"/>
      <c r="S569" s="117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  <c r="AI569" s="118"/>
      <c r="AJ569" s="118"/>
      <c r="AK569" s="118"/>
      <c r="AL569" s="118"/>
      <c r="AM569" s="118"/>
      <c r="AN569" s="118"/>
      <c r="AO569" s="118"/>
      <c r="AP569" s="118"/>
      <c r="AQ569" s="118"/>
      <c r="AR569" s="118"/>
      <c r="AS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64"/>
      <c r="O570" s="161"/>
      <c r="P570" s="118"/>
      <c r="Q570" s="118"/>
      <c r="R570" s="117"/>
      <c r="S570" s="117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  <c r="AI570" s="118"/>
      <c r="AJ570" s="118"/>
      <c r="AK570" s="118"/>
      <c r="AL570" s="118"/>
      <c r="AM570" s="118"/>
      <c r="AN570" s="118"/>
      <c r="AO570" s="118"/>
      <c r="AP570" s="118"/>
      <c r="AQ570" s="118"/>
      <c r="AR570" s="118"/>
      <c r="AS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64"/>
      <c r="O571" s="161"/>
      <c r="P571" s="118"/>
      <c r="Q571" s="118"/>
      <c r="R571" s="117"/>
      <c r="S571" s="117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  <c r="AI571" s="118"/>
      <c r="AJ571" s="118"/>
      <c r="AK571" s="118"/>
      <c r="AL571" s="118"/>
      <c r="AM571" s="118"/>
      <c r="AN571" s="118"/>
      <c r="AO571" s="118"/>
      <c r="AP571" s="118"/>
      <c r="AQ571" s="118"/>
      <c r="AR571" s="118"/>
      <c r="AS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64"/>
      <c r="O572" s="161"/>
      <c r="P572" s="118"/>
      <c r="Q572" s="118"/>
      <c r="R572" s="117"/>
      <c r="S572" s="117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  <c r="AI572" s="118"/>
      <c r="AJ572" s="118"/>
      <c r="AK572" s="118"/>
      <c r="AL572" s="118"/>
      <c r="AM572" s="118"/>
      <c r="AN572" s="118"/>
      <c r="AO572" s="118"/>
      <c r="AP572" s="118"/>
      <c r="AQ572" s="118"/>
      <c r="AR572" s="118"/>
      <c r="AS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64"/>
      <c r="O573" s="161"/>
      <c r="P573" s="118"/>
      <c r="Q573" s="118"/>
      <c r="R573" s="117"/>
      <c r="S573" s="117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  <c r="AI573" s="118"/>
      <c r="AJ573" s="118"/>
      <c r="AK573" s="118"/>
      <c r="AL573" s="118"/>
      <c r="AM573" s="118"/>
      <c r="AN573" s="118"/>
      <c r="AO573" s="118"/>
      <c r="AP573" s="118"/>
      <c r="AQ573" s="118"/>
      <c r="AR573" s="118"/>
      <c r="AS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64"/>
      <c r="O574" s="161"/>
      <c r="P574" s="118"/>
      <c r="Q574" s="118"/>
      <c r="R574" s="117"/>
      <c r="S574" s="117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  <c r="AL574" s="118"/>
      <c r="AM574" s="118"/>
      <c r="AN574" s="118"/>
      <c r="AO574" s="118"/>
      <c r="AP574" s="118"/>
      <c r="AQ574" s="118"/>
      <c r="AR574" s="118"/>
      <c r="AS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64"/>
      <c r="O575" s="161"/>
      <c r="P575" s="118"/>
      <c r="Q575" s="118"/>
      <c r="R575" s="117"/>
      <c r="S575" s="117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  <c r="AL575" s="118"/>
      <c r="AM575" s="118"/>
      <c r="AN575" s="118"/>
      <c r="AO575" s="118"/>
      <c r="AP575" s="118"/>
      <c r="AQ575" s="118"/>
      <c r="AR575" s="118"/>
      <c r="AS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64"/>
      <c r="O576" s="161"/>
      <c r="P576" s="118"/>
      <c r="Q576" s="118"/>
      <c r="R576" s="117"/>
      <c r="S576" s="117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  <c r="AL576" s="118"/>
      <c r="AM576" s="118"/>
      <c r="AN576" s="118"/>
      <c r="AO576" s="118"/>
      <c r="AP576" s="118"/>
      <c r="AQ576" s="118"/>
      <c r="AR576" s="118"/>
      <c r="AS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64"/>
      <c r="O577" s="161"/>
      <c r="P577" s="118"/>
      <c r="Q577" s="118"/>
      <c r="R577" s="117"/>
      <c r="S577" s="117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  <c r="AI577" s="118"/>
      <c r="AJ577" s="118"/>
      <c r="AK577" s="118"/>
      <c r="AL577" s="118"/>
      <c r="AM577" s="118"/>
      <c r="AN577" s="118"/>
      <c r="AO577" s="118"/>
      <c r="AP577" s="118"/>
      <c r="AQ577" s="118"/>
      <c r="AR577" s="118"/>
      <c r="AS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64"/>
      <c r="O578" s="161"/>
      <c r="P578" s="118"/>
      <c r="Q578" s="118"/>
      <c r="R578" s="117"/>
      <c r="S578" s="117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64"/>
      <c r="O579" s="161"/>
      <c r="P579" s="118"/>
      <c r="Q579" s="118"/>
      <c r="R579" s="117"/>
      <c r="S579" s="117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  <c r="AI579" s="118"/>
      <c r="AJ579" s="118"/>
      <c r="AK579" s="118"/>
      <c r="AL579" s="118"/>
      <c r="AM579" s="118"/>
      <c r="AN579" s="118"/>
      <c r="AO579" s="118"/>
      <c r="AP579" s="118"/>
      <c r="AQ579" s="118"/>
      <c r="AR579" s="118"/>
      <c r="AS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64"/>
      <c r="O580" s="161"/>
      <c r="P580" s="118"/>
      <c r="Q580" s="118"/>
      <c r="R580" s="117"/>
      <c r="S580" s="117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  <c r="AI580" s="118"/>
      <c r="AJ580" s="118"/>
      <c r="AK580" s="118"/>
      <c r="AL580" s="118"/>
      <c r="AM580" s="118"/>
      <c r="AN580" s="118"/>
      <c r="AO580" s="118"/>
      <c r="AP580" s="118"/>
      <c r="AQ580" s="118"/>
      <c r="AR580" s="118"/>
      <c r="AS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64"/>
      <c r="O581" s="161"/>
      <c r="P581" s="118"/>
      <c r="Q581" s="118"/>
      <c r="R581" s="117"/>
      <c r="S581" s="117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118"/>
      <c r="AN581" s="118"/>
      <c r="AO581" s="118"/>
      <c r="AP581" s="118"/>
      <c r="AQ581" s="118"/>
      <c r="AR581" s="118"/>
      <c r="AS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64"/>
      <c r="O582" s="161"/>
      <c r="P582" s="118"/>
      <c r="Q582" s="118"/>
      <c r="R582" s="117"/>
      <c r="S582" s="117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118"/>
      <c r="AN582" s="118"/>
      <c r="AO582" s="118"/>
      <c r="AP582" s="118"/>
      <c r="AQ582" s="118"/>
      <c r="AR582" s="118"/>
      <c r="AS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64"/>
      <c r="O583" s="161"/>
      <c r="P583" s="118"/>
      <c r="Q583" s="118"/>
      <c r="R583" s="117"/>
      <c r="S583" s="117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  <c r="AL583" s="118"/>
      <c r="AM583" s="118"/>
      <c r="AN583" s="118"/>
      <c r="AO583" s="118"/>
      <c r="AP583" s="118"/>
      <c r="AQ583" s="118"/>
      <c r="AR583" s="118"/>
      <c r="AS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64"/>
      <c r="O584" s="161"/>
      <c r="P584" s="118"/>
      <c r="Q584" s="118"/>
      <c r="R584" s="117"/>
      <c r="S584" s="117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  <c r="AL584" s="118"/>
      <c r="AM584" s="118"/>
      <c r="AN584" s="118"/>
      <c r="AO584" s="118"/>
      <c r="AP584" s="118"/>
      <c r="AQ584" s="118"/>
      <c r="AR584" s="118"/>
      <c r="AS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64"/>
      <c r="O585" s="161"/>
      <c r="P585" s="118"/>
      <c r="Q585" s="118"/>
      <c r="R585" s="117"/>
      <c r="S585" s="117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  <c r="AL585" s="118"/>
      <c r="AM585" s="118"/>
      <c r="AN585" s="118"/>
      <c r="AO585" s="118"/>
      <c r="AP585" s="118"/>
      <c r="AQ585" s="118"/>
      <c r="AR585" s="118"/>
      <c r="AS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64"/>
      <c r="O586" s="161"/>
      <c r="P586" s="118"/>
      <c r="Q586" s="118"/>
      <c r="R586" s="117"/>
      <c r="S586" s="117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64"/>
      <c r="O587" s="161"/>
      <c r="P587" s="118"/>
      <c r="Q587" s="118"/>
      <c r="R587" s="117"/>
      <c r="S587" s="117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  <c r="AL587" s="118"/>
      <c r="AM587" s="118"/>
      <c r="AN587" s="118"/>
      <c r="AO587" s="118"/>
      <c r="AP587" s="118"/>
      <c r="AQ587" s="118"/>
      <c r="AR587" s="118"/>
      <c r="AS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64"/>
      <c r="O588" s="161"/>
      <c r="P588" s="118"/>
      <c r="Q588" s="118"/>
      <c r="R588" s="117"/>
      <c r="S588" s="117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118"/>
      <c r="AN588" s="118"/>
      <c r="AO588" s="118"/>
      <c r="AP588" s="118"/>
      <c r="AQ588" s="118"/>
      <c r="AR588" s="118"/>
      <c r="AS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64"/>
      <c r="O589" s="161"/>
      <c r="P589" s="118"/>
      <c r="Q589" s="118"/>
      <c r="R589" s="117"/>
      <c r="S589" s="117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  <c r="AL589" s="118"/>
      <c r="AM589" s="118"/>
      <c r="AN589" s="118"/>
      <c r="AO589" s="118"/>
      <c r="AP589" s="118"/>
      <c r="AQ589" s="118"/>
      <c r="AR589" s="118"/>
      <c r="AS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64"/>
      <c r="O590" s="161"/>
      <c r="P590" s="118"/>
      <c r="Q590" s="118"/>
      <c r="R590" s="117"/>
      <c r="S590" s="117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  <c r="AL590" s="118"/>
      <c r="AM590" s="118"/>
      <c r="AN590" s="118"/>
      <c r="AO590" s="118"/>
      <c r="AP590" s="118"/>
      <c r="AQ590" s="118"/>
      <c r="AR590" s="118"/>
      <c r="AS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64"/>
      <c r="O591" s="161"/>
      <c r="P591" s="118"/>
      <c r="Q591" s="118"/>
      <c r="R591" s="117"/>
      <c r="S591" s="117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  <c r="AL591" s="118"/>
      <c r="AM591" s="118"/>
      <c r="AN591" s="118"/>
      <c r="AO591" s="118"/>
      <c r="AP591" s="118"/>
      <c r="AQ591" s="118"/>
      <c r="AR591" s="118"/>
      <c r="AS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64"/>
      <c r="O592" s="161"/>
      <c r="P592" s="118"/>
      <c r="Q592" s="118"/>
      <c r="R592" s="117"/>
      <c r="S592" s="117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  <c r="AL592" s="118"/>
      <c r="AM592" s="118"/>
      <c r="AN592" s="118"/>
      <c r="AO592" s="118"/>
      <c r="AP592" s="118"/>
      <c r="AQ592" s="118"/>
      <c r="AR592" s="118"/>
      <c r="AS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64"/>
      <c r="O593" s="161"/>
      <c r="P593" s="118"/>
      <c r="Q593" s="118"/>
      <c r="R593" s="117"/>
      <c r="S593" s="117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  <c r="AL593" s="118"/>
      <c r="AM593" s="118"/>
      <c r="AN593" s="118"/>
      <c r="AO593" s="118"/>
      <c r="AP593" s="118"/>
      <c r="AQ593" s="118"/>
      <c r="AR593" s="118"/>
      <c r="AS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64"/>
      <c r="O594" s="161"/>
      <c r="P594" s="118"/>
      <c r="Q594" s="118"/>
      <c r="R594" s="117"/>
      <c r="S594" s="117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8"/>
      <c r="AN594" s="118"/>
      <c r="AO594" s="118"/>
      <c r="AP594" s="118"/>
      <c r="AQ594" s="118"/>
      <c r="AR594" s="118"/>
      <c r="AS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64"/>
      <c r="O595" s="161"/>
      <c r="P595" s="118"/>
      <c r="Q595" s="118"/>
      <c r="R595" s="117"/>
      <c r="S595" s="117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  <c r="AL595" s="118"/>
      <c r="AM595" s="118"/>
      <c r="AN595" s="118"/>
      <c r="AO595" s="118"/>
      <c r="AP595" s="118"/>
      <c r="AQ595" s="118"/>
      <c r="AR595" s="118"/>
      <c r="AS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64"/>
      <c r="O596" s="161"/>
      <c r="P596" s="118"/>
      <c r="Q596" s="118"/>
      <c r="R596" s="117"/>
      <c r="S596" s="117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  <c r="AL596" s="118"/>
      <c r="AM596" s="118"/>
      <c r="AN596" s="118"/>
      <c r="AO596" s="118"/>
      <c r="AP596" s="118"/>
      <c r="AQ596" s="118"/>
      <c r="AR596" s="118"/>
      <c r="AS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64"/>
      <c r="O597" s="161"/>
      <c r="P597" s="118"/>
      <c r="Q597" s="118"/>
      <c r="R597" s="117"/>
      <c r="S597" s="117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  <c r="AL597" s="118"/>
      <c r="AM597" s="118"/>
      <c r="AN597" s="118"/>
      <c r="AO597" s="118"/>
      <c r="AP597" s="118"/>
      <c r="AQ597" s="118"/>
      <c r="AR597" s="118"/>
      <c r="AS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64"/>
      <c r="O598" s="161"/>
      <c r="P598" s="118"/>
      <c r="Q598" s="118"/>
      <c r="R598" s="117"/>
      <c r="S598" s="117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  <c r="AL598" s="118"/>
      <c r="AM598" s="118"/>
      <c r="AN598" s="118"/>
      <c r="AO598" s="118"/>
      <c r="AP598" s="118"/>
      <c r="AQ598" s="118"/>
      <c r="AR598" s="118"/>
      <c r="AS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64"/>
      <c r="O599" s="161"/>
      <c r="P599" s="118"/>
      <c r="Q599" s="118"/>
      <c r="R599" s="117"/>
      <c r="S599" s="117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18"/>
      <c r="AS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64"/>
      <c r="O600" s="161"/>
      <c r="P600" s="118"/>
      <c r="Q600" s="118"/>
      <c r="R600" s="117"/>
      <c r="S600" s="117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18"/>
      <c r="AS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64"/>
      <c r="O601" s="161"/>
      <c r="P601" s="118"/>
      <c r="Q601" s="118"/>
      <c r="R601" s="117"/>
      <c r="S601" s="117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18"/>
      <c r="AS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64"/>
      <c r="O602" s="161"/>
      <c r="P602" s="118"/>
      <c r="Q602" s="118"/>
      <c r="R602" s="117"/>
      <c r="S602" s="117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18"/>
      <c r="AS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64"/>
      <c r="O603" s="161"/>
      <c r="P603" s="118"/>
      <c r="Q603" s="118"/>
      <c r="R603" s="117"/>
      <c r="S603" s="117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18"/>
      <c r="AS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64"/>
      <c r="O604" s="161"/>
      <c r="P604" s="118"/>
      <c r="Q604" s="118"/>
      <c r="R604" s="117"/>
      <c r="S604" s="117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64"/>
      <c r="O605" s="161"/>
      <c r="P605" s="118"/>
      <c r="Q605" s="118"/>
      <c r="R605" s="117"/>
      <c r="S605" s="117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18"/>
      <c r="AS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64"/>
      <c r="O606" s="161"/>
      <c r="P606" s="118"/>
      <c r="Q606" s="118"/>
      <c r="R606" s="117"/>
      <c r="S606" s="117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18"/>
      <c r="AS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64"/>
      <c r="O607" s="161"/>
      <c r="P607" s="118"/>
      <c r="Q607" s="118"/>
      <c r="R607" s="117"/>
      <c r="S607" s="117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18"/>
      <c r="AS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64"/>
      <c r="O608" s="161"/>
      <c r="P608" s="118"/>
      <c r="Q608" s="118"/>
      <c r="R608" s="117"/>
      <c r="S608" s="117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  <c r="AI608" s="118"/>
      <c r="AJ608" s="118"/>
      <c r="AK608" s="118"/>
      <c r="AL608" s="118"/>
      <c r="AM608" s="118"/>
      <c r="AN608" s="118"/>
      <c r="AO608" s="118"/>
      <c r="AP608" s="118"/>
      <c r="AQ608" s="118"/>
      <c r="AR608" s="118"/>
      <c r="AS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64"/>
      <c r="O609" s="161"/>
      <c r="P609" s="118"/>
      <c r="Q609" s="118"/>
      <c r="R609" s="117"/>
      <c r="S609" s="117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  <c r="AI609" s="118"/>
      <c r="AJ609" s="118"/>
      <c r="AK609" s="118"/>
      <c r="AL609" s="118"/>
      <c r="AM609" s="118"/>
      <c r="AN609" s="118"/>
      <c r="AO609" s="118"/>
      <c r="AP609" s="118"/>
      <c r="AQ609" s="118"/>
      <c r="AR609" s="118"/>
      <c r="AS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64"/>
      <c r="O610" s="161"/>
      <c r="P610" s="118"/>
      <c r="Q610" s="118"/>
      <c r="R610" s="117"/>
      <c r="S610" s="117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  <c r="AI610" s="118"/>
      <c r="AJ610" s="118"/>
      <c r="AK610" s="118"/>
      <c r="AL610" s="118"/>
      <c r="AM610" s="118"/>
      <c r="AN610" s="118"/>
      <c r="AO610" s="118"/>
      <c r="AP610" s="118"/>
      <c r="AQ610" s="118"/>
      <c r="AR610" s="118"/>
      <c r="AS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64"/>
      <c r="O611" s="161"/>
      <c r="P611" s="118"/>
      <c r="Q611" s="118"/>
      <c r="R611" s="117"/>
      <c r="S611" s="117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  <c r="AI611" s="118"/>
      <c r="AJ611" s="118"/>
      <c r="AK611" s="118"/>
      <c r="AL611" s="118"/>
      <c r="AM611" s="118"/>
      <c r="AN611" s="118"/>
      <c r="AO611" s="118"/>
      <c r="AP611" s="118"/>
      <c r="AQ611" s="118"/>
      <c r="AR611" s="118"/>
      <c r="AS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64"/>
      <c r="O612" s="161"/>
      <c r="P612" s="118"/>
      <c r="Q612" s="118"/>
      <c r="R612" s="117"/>
      <c r="S612" s="117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  <c r="AI612" s="118"/>
      <c r="AJ612" s="118"/>
      <c r="AK612" s="118"/>
      <c r="AL612" s="118"/>
      <c r="AM612" s="118"/>
      <c r="AN612" s="118"/>
      <c r="AO612" s="118"/>
      <c r="AP612" s="118"/>
      <c r="AQ612" s="118"/>
      <c r="AR612" s="118"/>
      <c r="AS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64"/>
      <c r="O613" s="161"/>
      <c r="P613" s="118"/>
      <c r="Q613" s="118"/>
      <c r="R613" s="117"/>
      <c r="S613" s="117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  <c r="AI613" s="118"/>
      <c r="AJ613" s="118"/>
      <c r="AK613" s="118"/>
      <c r="AL613" s="118"/>
      <c r="AM613" s="118"/>
      <c r="AN613" s="118"/>
      <c r="AO613" s="118"/>
      <c r="AP613" s="118"/>
      <c r="AQ613" s="118"/>
      <c r="AR613" s="118"/>
      <c r="AS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64"/>
      <c r="O614" s="161"/>
      <c r="P614" s="118"/>
      <c r="Q614" s="118"/>
      <c r="R614" s="117"/>
      <c r="S614" s="117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  <c r="AI614" s="118"/>
      <c r="AJ614" s="118"/>
      <c r="AK614" s="118"/>
      <c r="AL614" s="118"/>
      <c r="AM614" s="118"/>
      <c r="AN614" s="118"/>
      <c r="AO614" s="118"/>
      <c r="AP614" s="118"/>
      <c r="AQ614" s="118"/>
      <c r="AR614" s="118"/>
      <c r="AS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64"/>
      <c r="O615" s="161"/>
      <c r="P615" s="118"/>
      <c r="Q615" s="118"/>
      <c r="R615" s="117"/>
      <c r="S615" s="117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  <c r="AI615" s="118"/>
      <c r="AJ615" s="118"/>
      <c r="AK615" s="118"/>
      <c r="AL615" s="118"/>
      <c r="AM615" s="118"/>
      <c r="AN615" s="118"/>
      <c r="AO615" s="118"/>
      <c r="AP615" s="118"/>
      <c r="AQ615" s="118"/>
      <c r="AR615" s="118"/>
      <c r="AS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64"/>
      <c r="O616" s="161"/>
      <c r="P616" s="118"/>
      <c r="Q616" s="118"/>
      <c r="R616" s="117"/>
      <c r="S616" s="117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  <c r="AI616" s="118"/>
      <c r="AJ616" s="118"/>
      <c r="AK616" s="118"/>
      <c r="AL616" s="118"/>
      <c r="AM616" s="118"/>
      <c r="AN616" s="118"/>
      <c r="AO616" s="118"/>
      <c r="AP616" s="118"/>
      <c r="AQ616" s="118"/>
      <c r="AR616" s="118"/>
      <c r="AS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64"/>
      <c r="O617" s="161"/>
      <c r="P617" s="118"/>
      <c r="Q617" s="118"/>
      <c r="R617" s="117"/>
      <c r="S617" s="117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  <c r="AI617" s="118"/>
      <c r="AJ617" s="118"/>
      <c r="AK617" s="118"/>
      <c r="AL617" s="118"/>
      <c r="AM617" s="118"/>
      <c r="AN617" s="118"/>
      <c r="AO617" s="118"/>
      <c r="AP617" s="118"/>
      <c r="AQ617" s="118"/>
      <c r="AR617" s="118"/>
      <c r="AS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64"/>
      <c r="O618" s="161"/>
      <c r="P618" s="118"/>
      <c r="Q618" s="118"/>
      <c r="R618" s="117"/>
      <c r="S618" s="117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  <c r="AI618" s="118"/>
      <c r="AJ618" s="118"/>
      <c r="AK618" s="118"/>
      <c r="AL618" s="118"/>
      <c r="AM618" s="118"/>
      <c r="AN618" s="118"/>
      <c r="AO618" s="118"/>
      <c r="AP618" s="118"/>
      <c r="AQ618" s="118"/>
      <c r="AR618" s="118"/>
      <c r="AS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64"/>
      <c r="O619" s="161"/>
      <c r="P619" s="118"/>
      <c r="Q619" s="118"/>
      <c r="R619" s="117"/>
      <c r="S619" s="117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  <c r="AI619" s="118"/>
      <c r="AJ619" s="118"/>
      <c r="AK619" s="118"/>
      <c r="AL619" s="118"/>
      <c r="AM619" s="118"/>
      <c r="AN619" s="118"/>
      <c r="AO619" s="118"/>
      <c r="AP619" s="118"/>
      <c r="AQ619" s="118"/>
      <c r="AR619" s="118"/>
      <c r="AS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64"/>
      <c r="O620" s="161"/>
      <c r="P620" s="118"/>
      <c r="Q620" s="118"/>
      <c r="R620" s="117"/>
      <c r="S620" s="117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  <c r="AI620" s="118"/>
      <c r="AJ620" s="118"/>
      <c r="AK620" s="118"/>
      <c r="AL620" s="118"/>
      <c r="AM620" s="118"/>
      <c r="AN620" s="118"/>
      <c r="AO620" s="118"/>
      <c r="AP620" s="118"/>
      <c r="AQ620" s="118"/>
      <c r="AR620" s="118"/>
      <c r="AS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64"/>
      <c r="O621" s="161"/>
      <c r="P621" s="118"/>
      <c r="Q621" s="118"/>
      <c r="R621" s="117"/>
      <c r="S621" s="117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  <c r="AI621" s="118"/>
      <c r="AJ621" s="118"/>
      <c r="AK621" s="118"/>
      <c r="AL621" s="118"/>
      <c r="AM621" s="118"/>
      <c r="AN621" s="118"/>
      <c r="AO621" s="118"/>
      <c r="AP621" s="118"/>
      <c r="AQ621" s="118"/>
      <c r="AR621" s="118"/>
      <c r="AS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64"/>
      <c r="O622" s="161"/>
      <c r="P622" s="118"/>
      <c r="Q622" s="118"/>
      <c r="R622" s="117"/>
      <c r="S622" s="117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64"/>
      <c r="O623" s="161"/>
      <c r="P623" s="118"/>
      <c r="Q623" s="118"/>
      <c r="R623" s="117"/>
      <c r="S623" s="117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  <c r="AL623" s="118"/>
      <c r="AM623" s="118"/>
      <c r="AN623" s="118"/>
      <c r="AO623" s="118"/>
      <c r="AP623" s="118"/>
      <c r="AQ623" s="118"/>
      <c r="AR623" s="118"/>
      <c r="AS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64"/>
      <c r="O624" s="161"/>
      <c r="P624" s="118"/>
      <c r="Q624" s="118"/>
      <c r="R624" s="117"/>
      <c r="S624" s="117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  <c r="AL624" s="118"/>
      <c r="AM624" s="118"/>
      <c r="AN624" s="118"/>
      <c r="AO624" s="118"/>
      <c r="AP624" s="118"/>
      <c r="AQ624" s="118"/>
      <c r="AR624" s="118"/>
      <c r="AS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64"/>
      <c r="O625" s="161"/>
      <c r="P625" s="118"/>
      <c r="Q625" s="118"/>
      <c r="R625" s="117"/>
      <c r="S625" s="117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  <c r="AI625" s="118"/>
      <c r="AJ625" s="118"/>
      <c r="AK625" s="118"/>
      <c r="AL625" s="118"/>
      <c r="AM625" s="118"/>
      <c r="AN625" s="118"/>
      <c r="AO625" s="118"/>
      <c r="AP625" s="118"/>
      <c r="AQ625" s="118"/>
      <c r="AR625" s="118"/>
      <c r="AS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64"/>
      <c r="O626" s="161"/>
      <c r="P626" s="118"/>
      <c r="Q626" s="118"/>
      <c r="R626" s="117"/>
      <c r="S626" s="117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64"/>
      <c r="O627" s="161"/>
      <c r="P627" s="118"/>
      <c r="Q627" s="118"/>
      <c r="R627" s="117"/>
      <c r="S627" s="117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  <c r="AI627" s="118"/>
      <c r="AJ627" s="118"/>
      <c r="AK627" s="118"/>
      <c r="AL627" s="118"/>
      <c r="AM627" s="118"/>
      <c r="AN627" s="118"/>
      <c r="AO627" s="118"/>
      <c r="AP627" s="118"/>
      <c r="AQ627" s="118"/>
      <c r="AR627" s="118"/>
      <c r="AS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64"/>
      <c r="O628" s="161"/>
      <c r="P628" s="118"/>
      <c r="Q628" s="118"/>
      <c r="R628" s="117"/>
      <c r="S628" s="117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  <c r="AI628" s="118"/>
      <c r="AJ628" s="118"/>
      <c r="AK628" s="118"/>
      <c r="AL628" s="118"/>
      <c r="AM628" s="118"/>
      <c r="AN628" s="118"/>
      <c r="AO628" s="118"/>
      <c r="AP628" s="118"/>
      <c r="AQ628" s="118"/>
      <c r="AR628" s="118"/>
      <c r="AS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64"/>
      <c r="O629" s="161"/>
      <c r="P629" s="118"/>
      <c r="Q629" s="118"/>
      <c r="R629" s="117"/>
      <c r="S629" s="117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  <c r="AI629" s="118"/>
      <c r="AJ629" s="118"/>
      <c r="AK629" s="118"/>
      <c r="AL629" s="118"/>
      <c r="AM629" s="118"/>
      <c r="AN629" s="118"/>
      <c r="AO629" s="118"/>
      <c r="AP629" s="118"/>
      <c r="AQ629" s="118"/>
      <c r="AR629" s="118"/>
      <c r="AS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64"/>
      <c r="O630" s="161"/>
      <c r="P630" s="118"/>
      <c r="Q630" s="118"/>
      <c r="R630" s="117"/>
      <c r="S630" s="117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  <c r="AL630" s="118"/>
      <c r="AM630" s="118"/>
      <c r="AN630" s="118"/>
      <c r="AO630" s="118"/>
      <c r="AP630" s="118"/>
      <c r="AQ630" s="118"/>
      <c r="AR630" s="118"/>
      <c r="AS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64"/>
      <c r="O631" s="161"/>
      <c r="P631" s="118"/>
      <c r="Q631" s="118"/>
      <c r="R631" s="117"/>
      <c r="S631" s="117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  <c r="AL631" s="118"/>
      <c r="AM631" s="118"/>
      <c r="AN631" s="118"/>
      <c r="AO631" s="118"/>
      <c r="AP631" s="118"/>
      <c r="AQ631" s="118"/>
      <c r="AR631" s="118"/>
      <c r="AS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64"/>
      <c r="O632" s="161"/>
      <c r="P632" s="118"/>
      <c r="Q632" s="118"/>
      <c r="R632" s="117"/>
      <c r="S632" s="117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8"/>
      <c r="AN632" s="118"/>
      <c r="AO632" s="118"/>
      <c r="AP632" s="118"/>
      <c r="AQ632" s="118"/>
      <c r="AR632" s="118"/>
      <c r="AS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64"/>
      <c r="O633" s="161"/>
      <c r="P633" s="118"/>
      <c r="Q633" s="118"/>
      <c r="R633" s="117"/>
      <c r="S633" s="117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  <c r="AL633" s="118"/>
      <c r="AM633" s="118"/>
      <c r="AN633" s="118"/>
      <c r="AO633" s="118"/>
      <c r="AP633" s="118"/>
      <c r="AQ633" s="118"/>
      <c r="AR633" s="118"/>
      <c r="AS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64"/>
      <c r="O634" s="161"/>
      <c r="P634" s="118"/>
      <c r="Q634" s="118"/>
      <c r="R634" s="117"/>
      <c r="S634" s="117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  <c r="AL634" s="118"/>
      <c r="AM634" s="118"/>
      <c r="AN634" s="118"/>
      <c r="AO634" s="118"/>
      <c r="AP634" s="118"/>
      <c r="AQ634" s="118"/>
      <c r="AR634" s="118"/>
      <c r="AS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64"/>
      <c r="O635" s="161"/>
      <c r="P635" s="118"/>
      <c r="Q635" s="118"/>
      <c r="R635" s="117"/>
      <c r="S635" s="117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  <c r="AL635" s="118"/>
      <c r="AM635" s="118"/>
      <c r="AN635" s="118"/>
      <c r="AO635" s="118"/>
      <c r="AP635" s="118"/>
      <c r="AQ635" s="118"/>
      <c r="AR635" s="118"/>
      <c r="AS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64"/>
      <c r="O636" s="161"/>
      <c r="P636" s="118"/>
      <c r="Q636" s="118"/>
      <c r="R636" s="117"/>
      <c r="S636" s="117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  <c r="AL636" s="118"/>
      <c r="AM636" s="118"/>
      <c r="AN636" s="118"/>
      <c r="AO636" s="118"/>
      <c r="AP636" s="118"/>
      <c r="AQ636" s="118"/>
      <c r="AR636" s="118"/>
      <c r="AS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64"/>
      <c r="O637" s="161"/>
      <c r="P637" s="118"/>
      <c r="Q637" s="118"/>
      <c r="R637" s="117"/>
      <c r="S637" s="117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  <c r="AL637" s="118"/>
      <c r="AM637" s="118"/>
      <c r="AN637" s="118"/>
      <c r="AO637" s="118"/>
      <c r="AP637" s="118"/>
      <c r="AQ637" s="118"/>
      <c r="AR637" s="118"/>
      <c r="AS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64"/>
      <c r="O638" s="161"/>
      <c r="P638" s="118"/>
      <c r="Q638" s="118"/>
      <c r="R638" s="117"/>
      <c r="S638" s="117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  <c r="AL638" s="118"/>
      <c r="AM638" s="118"/>
      <c r="AN638" s="118"/>
      <c r="AO638" s="118"/>
      <c r="AP638" s="118"/>
      <c r="AQ638" s="118"/>
      <c r="AR638" s="118"/>
      <c r="AS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64"/>
      <c r="O639" s="161"/>
      <c r="P639" s="118"/>
      <c r="Q639" s="118"/>
      <c r="R639" s="117"/>
      <c r="S639" s="117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  <c r="AL639" s="118"/>
      <c r="AM639" s="118"/>
      <c r="AN639" s="118"/>
      <c r="AO639" s="118"/>
      <c r="AP639" s="118"/>
      <c r="AQ639" s="118"/>
      <c r="AR639" s="118"/>
      <c r="AS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64"/>
      <c r="O640" s="161"/>
      <c r="P640" s="118"/>
      <c r="Q640" s="118"/>
      <c r="R640" s="117"/>
      <c r="S640" s="117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64"/>
      <c r="O641" s="161"/>
      <c r="P641" s="118"/>
      <c r="Q641" s="118"/>
      <c r="R641" s="117"/>
      <c r="S641" s="117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  <c r="AL641" s="118"/>
      <c r="AM641" s="118"/>
      <c r="AN641" s="118"/>
      <c r="AO641" s="118"/>
      <c r="AP641" s="118"/>
      <c r="AQ641" s="118"/>
      <c r="AR641" s="118"/>
      <c r="AS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64"/>
      <c r="O642" s="161"/>
      <c r="P642" s="118"/>
      <c r="Q642" s="118"/>
      <c r="R642" s="117"/>
      <c r="S642" s="117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  <c r="AL642" s="118"/>
      <c r="AM642" s="118"/>
      <c r="AN642" s="118"/>
      <c r="AO642" s="118"/>
      <c r="AP642" s="118"/>
      <c r="AQ642" s="118"/>
      <c r="AR642" s="118"/>
      <c r="AS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64"/>
      <c r="O643" s="161"/>
      <c r="P643" s="118"/>
      <c r="Q643" s="118"/>
      <c r="R643" s="117"/>
      <c r="S643" s="117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  <c r="AL643" s="118"/>
      <c r="AM643" s="118"/>
      <c r="AN643" s="118"/>
      <c r="AO643" s="118"/>
      <c r="AP643" s="118"/>
      <c r="AQ643" s="118"/>
      <c r="AR643" s="118"/>
      <c r="AS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64"/>
      <c r="O644" s="161"/>
      <c r="P644" s="118"/>
      <c r="Q644" s="118"/>
      <c r="R644" s="117"/>
      <c r="S644" s="117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  <c r="AL644" s="118"/>
      <c r="AM644" s="118"/>
      <c r="AN644" s="118"/>
      <c r="AO644" s="118"/>
      <c r="AP644" s="118"/>
      <c r="AQ644" s="118"/>
      <c r="AR644" s="118"/>
      <c r="AS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64"/>
      <c r="O645" s="161"/>
      <c r="P645" s="118"/>
      <c r="Q645" s="118"/>
      <c r="R645" s="117"/>
      <c r="S645" s="117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  <c r="AL645" s="118"/>
      <c r="AM645" s="118"/>
      <c r="AN645" s="118"/>
      <c r="AO645" s="118"/>
      <c r="AP645" s="118"/>
      <c r="AQ645" s="118"/>
      <c r="AR645" s="118"/>
      <c r="AS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64"/>
      <c r="O646" s="161"/>
      <c r="P646" s="118"/>
      <c r="Q646" s="118"/>
      <c r="R646" s="117"/>
      <c r="S646" s="117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64"/>
      <c r="O647" s="161"/>
      <c r="P647" s="118"/>
      <c r="Q647" s="118"/>
      <c r="R647" s="117"/>
      <c r="S647" s="117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64"/>
      <c r="O648" s="161"/>
      <c r="P648" s="118"/>
      <c r="Q648" s="118"/>
      <c r="R648" s="117"/>
      <c r="S648" s="117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64"/>
      <c r="O649" s="161"/>
      <c r="P649" s="118"/>
      <c r="Q649" s="118"/>
      <c r="R649" s="117"/>
      <c r="S649" s="117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64"/>
      <c r="O650" s="161"/>
      <c r="P650" s="118"/>
      <c r="Q650" s="118"/>
      <c r="R650" s="117"/>
      <c r="S650" s="117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  <c r="AL650" s="118"/>
      <c r="AM650" s="118"/>
      <c r="AN650" s="118"/>
      <c r="AO650" s="118"/>
      <c r="AP650" s="118"/>
      <c r="AQ650" s="118"/>
      <c r="AR650" s="118"/>
      <c r="AS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64"/>
      <c r="O651" s="161"/>
      <c r="P651" s="118"/>
      <c r="Q651" s="118"/>
      <c r="R651" s="117"/>
      <c r="S651" s="117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  <c r="AL651" s="118"/>
      <c r="AM651" s="118"/>
      <c r="AN651" s="118"/>
      <c r="AO651" s="118"/>
      <c r="AP651" s="118"/>
      <c r="AQ651" s="118"/>
      <c r="AR651" s="118"/>
      <c r="AS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64"/>
      <c r="O652" s="161"/>
      <c r="P652" s="118"/>
      <c r="Q652" s="118"/>
      <c r="R652" s="117"/>
      <c r="S652" s="117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  <c r="AL652" s="118"/>
      <c r="AM652" s="118"/>
      <c r="AN652" s="118"/>
      <c r="AO652" s="118"/>
      <c r="AP652" s="118"/>
      <c r="AQ652" s="118"/>
      <c r="AR652" s="118"/>
      <c r="AS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64"/>
      <c r="O653" s="161"/>
      <c r="P653" s="118"/>
      <c r="Q653" s="118"/>
      <c r="R653" s="117"/>
      <c r="S653" s="117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  <c r="AL653" s="118"/>
      <c r="AM653" s="118"/>
      <c r="AN653" s="118"/>
      <c r="AO653" s="118"/>
      <c r="AP653" s="118"/>
      <c r="AQ653" s="118"/>
      <c r="AR653" s="118"/>
      <c r="AS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64"/>
      <c r="O654" s="161"/>
      <c r="P654" s="118"/>
      <c r="Q654" s="118"/>
      <c r="R654" s="117"/>
      <c r="S654" s="117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  <c r="AL654" s="118"/>
      <c r="AM654" s="118"/>
      <c r="AN654" s="118"/>
      <c r="AO654" s="118"/>
      <c r="AP654" s="118"/>
      <c r="AQ654" s="118"/>
      <c r="AR654" s="118"/>
      <c r="AS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64"/>
      <c r="O655" s="161"/>
      <c r="P655" s="118"/>
      <c r="Q655" s="118"/>
      <c r="R655" s="117"/>
      <c r="S655" s="117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  <c r="AL655" s="118"/>
      <c r="AM655" s="118"/>
      <c r="AN655" s="118"/>
      <c r="AO655" s="118"/>
      <c r="AP655" s="118"/>
      <c r="AQ655" s="118"/>
      <c r="AR655" s="118"/>
      <c r="AS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64"/>
      <c r="O656" s="161"/>
      <c r="P656" s="118"/>
      <c r="Q656" s="118"/>
      <c r="R656" s="117"/>
      <c r="S656" s="117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  <c r="AI656" s="118"/>
      <c r="AJ656" s="118"/>
      <c r="AK656" s="118"/>
      <c r="AL656" s="118"/>
      <c r="AM656" s="118"/>
      <c r="AN656" s="118"/>
      <c r="AO656" s="118"/>
      <c r="AP656" s="118"/>
      <c r="AQ656" s="118"/>
      <c r="AR656" s="118"/>
      <c r="AS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64"/>
      <c r="O657" s="161"/>
      <c r="P657" s="118"/>
      <c r="Q657" s="118"/>
      <c r="R657" s="117"/>
      <c r="S657" s="117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64"/>
      <c r="O658" s="161"/>
      <c r="P658" s="118"/>
      <c r="Q658" s="118"/>
      <c r="R658" s="117"/>
      <c r="S658" s="117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  <c r="AI658" s="118"/>
      <c r="AJ658" s="118"/>
      <c r="AK658" s="118"/>
      <c r="AL658" s="118"/>
      <c r="AM658" s="118"/>
      <c r="AN658" s="118"/>
      <c r="AO658" s="118"/>
      <c r="AP658" s="118"/>
      <c r="AQ658" s="118"/>
      <c r="AR658" s="118"/>
      <c r="AS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64"/>
      <c r="O659" s="161"/>
      <c r="P659" s="118"/>
      <c r="Q659" s="118"/>
      <c r="R659" s="117"/>
      <c r="S659" s="117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  <c r="AL659" s="118"/>
      <c r="AM659" s="118"/>
      <c r="AN659" s="118"/>
      <c r="AO659" s="118"/>
      <c r="AP659" s="118"/>
      <c r="AQ659" s="118"/>
      <c r="AR659" s="118"/>
      <c r="AS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64"/>
      <c r="O660" s="161"/>
      <c r="P660" s="118"/>
      <c r="Q660" s="118"/>
      <c r="R660" s="117"/>
      <c r="S660" s="117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  <c r="AL660" s="118"/>
      <c r="AM660" s="118"/>
      <c r="AN660" s="118"/>
      <c r="AO660" s="118"/>
      <c r="AP660" s="118"/>
      <c r="AQ660" s="118"/>
      <c r="AR660" s="118"/>
      <c r="AS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64"/>
      <c r="O661" s="161"/>
      <c r="P661" s="118"/>
      <c r="Q661" s="118"/>
      <c r="R661" s="117"/>
      <c r="S661" s="117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  <c r="AL661" s="118"/>
      <c r="AM661" s="118"/>
      <c r="AN661" s="118"/>
      <c r="AO661" s="118"/>
      <c r="AP661" s="118"/>
      <c r="AQ661" s="118"/>
      <c r="AR661" s="118"/>
      <c r="AS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64"/>
      <c r="O662" s="161"/>
      <c r="P662" s="118"/>
      <c r="Q662" s="118"/>
      <c r="R662" s="117"/>
      <c r="S662" s="117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  <c r="AL662" s="118"/>
      <c r="AM662" s="118"/>
      <c r="AN662" s="118"/>
      <c r="AO662" s="118"/>
      <c r="AP662" s="118"/>
      <c r="AQ662" s="118"/>
      <c r="AR662" s="118"/>
      <c r="AS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64"/>
      <c r="O663" s="161"/>
      <c r="P663" s="118"/>
      <c r="Q663" s="118"/>
      <c r="R663" s="117"/>
      <c r="S663" s="117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  <c r="AL663" s="118"/>
      <c r="AM663" s="118"/>
      <c r="AN663" s="118"/>
      <c r="AO663" s="118"/>
      <c r="AP663" s="118"/>
      <c r="AQ663" s="118"/>
      <c r="AR663" s="118"/>
      <c r="AS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64"/>
      <c r="O664" s="161"/>
      <c r="P664" s="118"/>
      <c r="Q664" s="118"/>
      <c r="R664" s="117"/>
      <c r="S664" s="117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  <c r="AL664" s="118"/>
      <c r="AM664" s="118"/>
      <c r="AN664" s="118"/>
      <c r="AO664" s="118"/>
      <c r="AP664" s="118"/>
      <c r="AQ664" s="118"/>
      <c r="AR664" s="118"/>
      <c r="AS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64"/>
      <c r="O665" s="161"/>
      <c r="P665" s="118"/>
      <c r="Q665" s="118"/>
      <c r="R665" s="117"/>
      <c r="S665" s="117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  <c r="AL665" s="118"/>
      <c r="AM665" s="118"/>
      <c r="AN665" s="118"/>
      <c r="AO665" s="118"/>
      <c r="AP665" s="118"/>
      <c r="AQ665" s="118"/>
      <c r="AR665" s="118"/>
      <c r="AS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64"/>
      <c r="O666" s="161"/>
      <c r="P666" s="118"/>
      <c r="Q666" s="118"/>
      <c r="R666" s="117"/>
      <c r="S666" s="117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  <c r="AL666" s="118"/>
      <c r="AM666" s="118"/>
      <c r="AN666" s="118"/>
      <c r="AO666" s="118"/>
      <c r="AP666" s="118"/>
      <c r="AQ666" s="118"/>
      <c r="AR666" s="118"/>
      <c r="AS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64"/>
      <c r="O667" s="161"/>
      <c r="P667" s="118"/>
      <c r="Q667" s="118"/>
      <c r="R667" s="117"/>
      <c r="S667" s="117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  <c r="AL667" s="118"/>
      <c r="AM667" s="118"/>
      <c r="AN667" s="118"/>
      <c r="AO667" s="118"/>
      <c r="AP667" s="118"/>
      <c r="AQ667" s="118"/>
      <c r="AR667" s="118"/>
      <c r="AS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64"/>
      <c r="O668" s="161"/>
      <c r="P668" s="118"/>
      <c r="Q668" s="118"/>
      <c r="R668" s="117"/>
      <c r="S668" s="117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  <c r="AL668" s="118"/>
      <c r="AM668" s="118"/>
      <c r="AN668" s="118"/>
      <c r="AO668" s="118"/>
      <c r="AP668" s="118"/>
      <c r="AQ668" s="118"/>
      <c r="AR668" s="118"/>
      <c r="AS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64"/>
      <c r="O669" s="161"/>
      <c r="P669" s="118"/>
      <c r="Q669" s="118"/>
      <c r="R669" s="117"/>
      <c r="S669" s="117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  <c r="AL669" s="118"/>
      <c r="AM669" s="118"/>
      <c r="AN669" s="118"/>
      <c r="AO669" s="118"/>
      <c r="AP669" s="118"/>
      <c r="AQ669" s="118"/>
      <c r="AR669" s="118"/>
      <c r="AS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64"/>
      <c r="O670" s="161"/>
      <c r="P670" s="118"/>
      <c r="Q670" s="118"/>
      <c r="R670" s="117"/>
      <c r="S670" s="117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8"/>
      <c r="AN670" s="118"/>
      <c r="AO670" s="118"/>
      <c r="AP670" s="118"/>
      <c r="AQ670" s="118"/>
      <c r="AR670" s="118"/>
      <c r="AS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64"/>
      <c r="O671" s="161"/>
      <c r="P671" s="118"/>
      <c r="Q671" s="118"/>
      <c r="R671" s="117"/>
      <c r="S671" s="117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  <c r="AL671" s="118"/>
      <c r="AM671" s="118"/>
      <c r="AN671" s="118"/>
      <c r="AO671" s="118"/>
      <c r="AP671" s="118"/>
      <c r="AQ671" s="118"/>
      <c r="AR671" s="118"/>
      <c r="AS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64"/>
      <c r="O672" s="161"/>
      <c r="P672" s="118"/>
      <c r="Q672" s="118"/>
      <c r="R672" s="117"/>
      <c r="S672" s="117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  <c r="AL672" s="118"/>
      <c r="AM672" s="118"/>
      <c r="AN672" s="118"/>
      <c r="AO672" s="118"/>
      <c r="AP672" s="118"/>
      <c r="AQ672" s="118"/>
      <c r="AR672" s="118"/>
      <c r="AS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64"/>
      <c r="O673" s="161"/>
      <c r="P673" s="118"/>
      <c r="Q673" s="118"/>
      <c r="R673" s="117"/>
      <c r="S673" s="117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  <c r="AL673" s="118"/>
      <c r="AM673" s="118"/>
      <c r="AN673" s="118"/>
      <c r="AO673" s="118"/>
      <c r="AP673" s="118"/>
      <c r="AQ673" s="118"/>
      <c r="AR673" s="118"/>
      <c r="AS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64"/>
      <c r="O674" s="161"/>
      <c r="P674" s="118"/>
      <c r="Q674" s="118"/>
      <c r="R674" s="117"/>
      <c r="S674" s="117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  <c r="AL674" s="118"/>
      <c r="AM674" s="118"/>
      <c r="AN674" s="118"/>
      <c r="AO674" s="118"/>
      <c r="AP674" s="118"/>
      <c r="AQ674" s="118"/>
      <c r="AR674" s="118"/>
      <c r="AS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64"/>
      <c r="O675" s="161"/>
      <c r="P675" s="118"/>
      <c r="Q675" s="118"/>
      <c r="R675" s="117"/>
      <c r="S675" s="117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  <c r="AL675" s="118"/>
      <c r="AM675" s="118"/>
      <c r="AN675" s="118"/>
      <c r="AO675" s="118"/>
      <c r="AP675" s="118"/>
      <c r="AQ675" s="118"/>
      <c r="AR675" s="118"/>
      <c r="AS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64"/>
      <c r="O676" s="161"/>
      <c r="P676" s="118"/>
      <c r="Q676" s="118"/>
      <c r="R676" s="117"/>
      <c r="S676" s="117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  <c r="AL676" s="118"/>
      <c r="AM676" s="118"/>
      <c r="AN676" s="118"/>
      <c r="AO676" s="118"/>
      <c r="AP676" s="118"/>
      <c r="AQ676" s="118"/>
      <c r="AR676" s="118"/>
      <c r="AS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64"/>
      <c r="O677" s="161"/>
      <c r="P677" s="118"/>
      <c r="Q677" s="118"/>
      <c r="R677" s="117"/>
      <c r="S677" s="117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  <c r="AL677" s="118"/>
      <c r="AM677" s="118"/>
      <c r="AN677" s="118"/>
      <c r="AO677" s="118"/>
      <c r="AP677" s="118"/>
      <c r="AQ677" s="118"/>
      <c r="AR677" s="118"/>
      <c r="AS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64"/>
      <c r="O678" s="161"/>
      <c r="P678" s="118"/>
      <c r="Q678" s="118"/>
      <c r="R678" s="117"/>
      <c r="S678" s="117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  <c r="AL678" s="118"/>
      <c r="AM678" s="118"/>
      <c r="AN678" s="118"/>
      <c r="AO678" s="118"/>
      <c r="AP678" s="118"/>
      <c r="AQ678" s="118"/>
      <c r="AR678" s="118"/>
      <c r="AS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64"/>
      <c r="O679" s="161"/>
      <c r="P679" s="118"/>
      <c r="Q679" s="118"/>
      <c r="R679" s="117"/>
      <c r="S679" s="117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  <c r="AL679" s="118"/>
      <c r="AM679" s="118"/>
      <c r="AN679" s="118"/>
      <c r="AO679" s="118"/>
      <c r="AP679" s="118"/>
      <c r="AQ679" s="118"/>
      <c r="AR679" s="118"/>
      <c r="AS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64"/>
      <c r="O680" s="161"/>
      <c r="P680" s="118"/>
      <c r="Q680" s="118"/>
      <c r="R680" s="117"/>
      <c r="S680" s="117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  <c r="AL680" s="118"/>
      <c r="AM680" s="118"/>
      <c r="AN680" s="118"/>
      <c r="AO680" s="118"/>
      <c r="AP680" s="118"/>
      <c r="AQ680" s="118"/>
      <c r="AR680" s="118"/>
      <c r="AS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64"/>
      <c r="O681" s="161"/>
      <c r="P681" s="118"/>
      <c r="Q681" s="118"/>
      <c r="R681" s="117"/>
      <c r="S681" s="117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  <c r="AL681" s="118"/>
      <c r="AM681" s="118"/>
      <c r="AN681" s="118"/>
      <c r="AO681" s="118"/>
      <c r="AP681" s="118"/>
      <c r="AQ681" s="118"/>
      <c r="AR681" s="118"/>
      <c r="AS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64"/>
      <c r="O682" s="161"/>
      <c r="P682" s="118"/>
      <c r="Q682" s="118"/>
      <c r="R682" s="117"/>
      <c r="S682" s="117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  <c r="AL682" s="118"/>
      <c r="AM682" s="118"/>
      <c r="AN682" s="118"/>
      <c r="AO682" s="118"/>
      <c r="AP682" s="118"/>
      <c r="AQ682" s="118"/>
      <c r="AR682" s="118"/>
      <c r="AS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64"/>
      <c r="O683" s="161"/>
      <c r="P683" s="118"/>
      <c r="Q683" s="118"/>
      <c r="R683" s="117"/>
      <c r="S683" s="117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  <c r="AL683" s="118"/>
      <c r="AM683" s="118"/>
      <c r="AN683" s="118"/>
      <c r="AO683" s="118"/>
      <c r="AP683" s="118"/>
      <c r="AQ683" s="118"/>
      <c r="AR683" s="118"/>
      <c r="AS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64"/>
      <c r="O684" s="161"/>
      <c r="P684" s="118"/>
      <c r="Q684" s="118"/>
      <c r="R684" s="117"/>
      <c r="S684" s="117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  <c r="AL684" s="118"/>
      <c r="AM684" s="118"/>
      <c r="AN684" s="118"/>
      <c r="AO684" s="118"/>
      <c r="AP684" s="118"/>
      <c r="AQ684" s="118"/>
      <c r="AR684" s="118"/>
      <c r="AS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64"/>
      <c r="O685" s="161"/>
      <c r="P685" s="118"/>
      <c r="Q685" s="118"/>
      <c r="R685" s="117"/>
      <c r="S685" s="117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  <c r="AL685" s="118"/>
      <c r="AM685" s="118"/>
      <c r="AN685" s="118"/>
      <c r="AO685" s="118"/>
      <c r="AP685" s="118"/>
      <c r="AQ685" s="118"/>
      <c r="AR685" s="118"/>
      <c r="AS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64"/>
      <c r="O686" s="161"/>
      <c r="P686" s="118"/>
      <c r="Q686" s="118"/>
      <c r="R686" s="117"/>
      <c r="S686" s="117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  <c r="AL686" s="118"/>
      <c r="AM686" s="118"/>
      <c r="AN686" s="118"/>
      <c r="AO686" s="118"/>
      <c r="AP686" s="118"/>
      <c r="AQ686" s="118"/>
      <c r="AR686" s="118"/>
      <c r="AS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64"/>
      <c r="O687" s="161"/>
      <c r="P687" s="118"/>
      <c r="Q687" s="118"/>
      <c r="R687" s="117"/>
      <c r="S687" s="117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  <c r="AL687" s="118"/>
      <c r="AM687" s="118"/>
      <c r="AN687" s="118"/>
      <c r="AO687" s="118"/>
      <c r="AP687" s="118"/>
      <c r="AQ687" s="118"/>
      <c r="AR687" s="118"/>
      <c r="AS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64"/>
      <c r="O688" s="161"/>
      <c r="P688" s="118"/>
      <c r="Q688" s="118"/>
      <c r="R688" s="117"/>
      <c r="S688" s="117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  <c r="AL688" s="118"/>
      <c r="AM688" s="118"/>
      <c r="AN688" s="118"/>
      <c r="AO688" s="118"/>
      <c r="AP688" s="118"/>
      <c r="AQ688" s="118"/>
      <c r="AR688" s="118"/>
      <c r="AS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64"/>
      <c r="O689" s="161"/>
      <c r="P689" s="118"/>
      <c r="Q689" s="118"/>
      <c r="R689" s="117"/>
      <c r="S689" s="117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  <c r="AL689" s="118"/>
      <c r="AM689" s="118"/>
      <c r="AN689" s="118"/>
      <c r="AO689" s="118"/>
      <c r="AP689" s="118"/>
      <c r="AQ689" s="118"/>
      <c r="AR689" s="118"/>
      <c r="AS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64"/>
      <c r="O690" s="161"/>
      <c r="P690" s="118"/>
      <c r="Q690" s="118"/>
      <c r="R690" s="117"/>
      <c r="S690" s="117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  <c r="AL690" s="118"/>
      <c r="AM690" s="118"/>
      <c r="AN690" s="118"/>
      <c r="AO690" s="118"/>
      <c r="AP690" s="118"/>
      <c r="AQ690" s="118"/>
      <c r="AR690" s="118"/>
      <c r="AS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64"/>
      <c r="O691" s="161"/>
      <c r="P691" s="118"/>
      <c r="Q691" s="118"/>
      <c r="R691" s="117"/>
      <c r="S691" s="117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  <c r="AL691" s="118"/>
      <c r="AM691" s="118"/>
      <c r="AN691" s="118"/>
      <c r="AO691" s="118"/>
      <c r="AP691" s="118"/>
      <c r="AQ691" s="118"/>
      <c r="AR691" s="118"/>
      <c r="AS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64"/>
      <c r="O692" s="161"/>
      <c r="P692" s="118"/>
      <c r="Q692" s="118"/>
      <c r="R692" s="117"/>
      <c r="S692" s="117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  <c r="AL692" s="118"/>
      <c r="AM692" s="118"/>
      <c r="AN692" s="118"/>
      <c r="AO692" s="118"/>
      <c r="AP692" s="118"/>
      <c r="AQ692" s="118"/>
      <c r="AR692" s="118"/>
      <c r="AS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64"/>
      <c r="O693" s="161"/>
      <c r="P693" s="118"/>
      <c r="Q693" s="118"/>
      <c r="R693" s="117"/>
      <c r="S693" s="117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  <c r="AL693" s="118"/>
      <c r="AM693" s="118"/>
      <c r="AN693" s="118"/>
      <c r="AO693" s="118"/>
      <c r="AP693" s="118"/>
      <c r="AQ693" s="118"/>
      <c r="AR693" s="118"/>
      <c r="AS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64"/>
      <c r="O694" s="161"/>
      <c r="P694" s="118"/>
      <c r="Q694" s="118"/>
      <c r="R694" s="117"/>
      <c r="S694" s="117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  <c r="AL694" s="118"/>
      <c r="AM694" s="118"/>
      <c r="AN694" s="118"/>
      <c r="AO694" s="118"/>
      <c r="AP694" s="118"/>
      <c r="AQ694" s="118"/>
      <c r="AR694" s="118"/>
      <c r="AS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64"/>
      <c r="O695" s="161"/>
      <c r="P695" s="118"/>
      <c r="Q695" s="118"/>
      <c r="R695" s="117"/>
      <c r="S695" s="117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  <c r="AI695" s="118"/>
      <c r="AJ695" s="118"/>
      <c r="AK695" s="118"/>
      <c r="AL695" s="118"/>
      <c r="AM695" s="118"/>
      <c r="AN695" s="118"/>
      <c r="AO695" s="118"/>
      <c r="AP695" s="118"/>
      <c r="AQ695" s="118"/>
      <c r="AR695" s="118"/>
      <c r="AS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64"/>
      <c r="O696" s="161"/>
      <c r="P696" s="118"/>
      <c r="Q696" s="118"/>
      <c r="R696" s="117"/>
      <c r="S696" s="117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  <c r="AI696" s="118"/>
      <c r="AJ696" s="118"/>
      <c r="AK696" s="118"/>
      <c r="AL696" s="118"/>
      <c r="AM696" s="118"/>
      <c r="AN696" s="118"/>
      <c r="AO696" s="118"/>
      <c r="AP696" s="118"/>
      <c r="AQ696" s="118"/>
      <c r="AR696" s="118"/>
      <c r="AS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64"/>
      <c r="O697" s="161"/>
      <c r="P697" s="118"/>
      <c r="Q697" s="118"/>
      <c r="R697" s="117"/>
      <c r="S697" s="117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  <c r="AI697" s="118"/>
      <c r="AJ697" s="118"/>
      <c r="AK697" s="118"/>
      <c r="AL697" s="118"/>
      <c r="AM697" s="118"/>
      <c r="AN697" s="118"/>
      <c r="AO697" s="118"/>
      <c r="AP697" s="118"/>
      <c r="AQ697" s="118"/>
      <c r="AR697" s="118"/>
      <c r="AS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64"/>
      <c r="O698" s="161"/>
      <c r="P698" s="118"/>
      <c r="Q698" s="118"/>
      <c r="R698" s="117"/>
      <c r="S698" s="117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  <c r="AI698" s="118"/>
      <c r="AJ698" s="118"/>
      <c r="AK698" s="118"/>
      <c r="AL698" s="118"/>
      <c r="AM698" s="118"/>
      <c r="AN698" s="118"/>
      <c r="AO698" s="118"/>
      <c r="AP698" s="118"/>
      <c r="AQ698" s="118"/>
      <c r="AR698" s="118"/>
      <c r="AS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64"/>
      <c r="O699" s="161"/>
      <c r="P699" s="118"/>
      <c r="Q699" s="118"/>
      <c r="R699" s="117"/>
      <c r="S699" s="117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  <c r="AI699" s="118"/>
      <c r="AJ699" s="118"/>
      <c r="AK699" s="118"/>
      <c r="AL699" s="118"/>
      <c r="AM699" s="118"/>
      <c r="AN699" s="118"/>
      <c r="AO699" s="118"/>
      <c r="AP699" s="118"/>
      <c r="AQ699" s="118"/>
      <c r="AR699" s="118"/>
      <c r="AS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64"/>
      <c r="O700" s="161"/>
      <c r="P700" s="118"/>
      <c r="Q700" s="118"/>
      <c r="R700" s="117"/>
      <c r="S700" s="117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  <c r="AI700" s="118"/>
      <c r="AJ700" s="118"/>
      <c r="AK700" s="118"/>
      <c r="AL700" s="118"/>
      <c r="AM700" s="118"/>
      <c r="AN700" s="118"/>
      <c r="AO700" s="118"/>
      <c r="AP700" s="118"/>
      <c r="AQ700" s="118"/>
      <c r="AR700" s="118"/>
      <c r="AS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64"/>
      <c r="O701" s="161"/>
      <c r="P701" s="118"/>
      <c r="Q701" s="118"/>
      <c r="R701" s="117"/>
      <c r="S701" s="117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  <c r="AI701" s="118"/>
      <c r="AJ701" s="118"/>
      <c r="AK701" s="118"/>
      <c r="AL701" s="118"/>
      <c r="AM701" s="118"/>
      <c r="AN701" s="118"/>
      <c r="AO701" s="118"/>
      <c r="AP701" s="118"/>
      <c r="AQ701" s="118"/>
      <c r="AR701" s="118"/>
      <c r="AS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64"/>
      <c r="O702" s="161"/>
      <c r="P702" s="118"/>
      <c r="Q702" s="118"/>
      <c r="R702" s="117"/>
      <c r="S702" s="117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  <c r="AI702" s="118"/>
      <c r="AJ702" s="118"/>
      <c r="AK702" s="118"/>
      <c r="AL702" s="118"/>
      <c r="AM702" s="118"/>
      <c r="AN702" s="118"/>
      <c r="AO702" s="118"/>
      <c r="AP702" s="118"/>
      <c r="AQ702" s="118"/>
      <c r="AR702" s="118"/>
      <c r="AS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64"/>
      <c r="O703" s="161"/>
      <c r="P703" s="118"/>
      <c r="Q703" s="118"/>
      <c r="R703" s="117"/>
      <c r="S703" s="117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  <c r="AI703" s="118"/>
      <c r="AJ703" s="118"/>
      <c r="AK703" s="118"/>
      <c r="AL703" s="118"/>
      <c r="AM703" s="118"/>
      <c r="AN703" s="118"/>
      <c r="AO703" s="118"/>
      <c r="AP703" s="118"/>
      <c r="AQ703" s="118"/>
      <c r="AR703" s="118"/>
      <c r="AS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64"/>
      <c r="O704" s="161"/>
      <c r="P704" s="118"/>
      <c r="Q704" s="118"/>
      <c r="R704" s="117"/>
      <c r="S704" s="117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  <c r="AI704" s="118"/>
      <c r="AJ704" s="118"/>
      <c r="AK704" s="118"/>
      <c r="AL704" s="118"/>
      <c r="AM704" s="118"/>
      <c r="AN704" s="118"/>
      <c r="AO704" s="118"/>
      <c r="AP704" s="118"/>
      <c r="AQ704" s="118"/>
      <c r="AR704" s="118"/>
      <c r="AS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64"/>
      <c r="O705" s="161"/>
      <c r="P705" s="118"/>
      <c r="Q705" s="118"/>
      <c r="R705" s="117"/>
      <c r="S705" s="117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  <c r="AI705" s="118"/>
      <c r="AJ705" s="118"/>
      <c r="AK705" s="118"/>
      <c r="AL705" s="118"/>
      <c r="AM705" s="118"/>
      <c r="AN705" s="118"/>
      <c r="AO705" s="118"/>
      <c r="AP705" s="118"/>
      <c r="AQ705" s="118"/>
      <c r="AR705" s="118"/>
      <c r="AS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64"/>
      <c r="O706" s="161"/>
      <c r="P706" s="118"/>
      <c r="Q706" s="118"/>
      <c r="R706" s="117"/>
      <c r="S706" s="117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  <c r="AI706" s="118"/>
      <c r="AJ706" s="118"/>
      <c r="AK706" s="118"/>
      <c r="AL706" s="118"/>
      <c r="AM706" s="118"/>
      <c r="AN706" s="118"/>
      <c r="AO706" s="118"/>
      <c r="AP706" s="118"/>
      <c r="AQ706" s="118"/>
      <c r="AR706" s="118"/>
      <c r="AS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64"/>
      <c r="O707" s="161"/>
      <c r="P707" s="118"/>
      <c r="Q707" s="118"/>
      <c r="R707" s="117"/>
      <c r="S707" s="117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  <c r="AI707" s="118"/>
      <c r="AJ707" s="118"/>
      <c r="AK707" s="118"/>
      <c r="AL707" s="118"/>
      <c r="AM707" s="118"/>
      <c r="AN707" s="118"/>
      <c r="AO707" s="118"/>
      <c r="AP707" s="118"/>
      <c r="AQ707" s="118"/>
      <c r="AR707" s="118"/>
      <c r="AS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64"/>
      <c r="O708" s="161"/>
      <c r="P708" s="118"/>
      <c r="Q708" s="118"/>
      <c r="R708" s="117"/>
      <c r="S708" s="117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8"/>
      <c r="AN708" s="118"/>
      <c r="AO708" s="118"/>
      <c r="AP708" s="118"/>
      <c r="AQ708" s="118"/>
      <c r="AR708" s="118"/>
      <c r="AS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64"/>
      <c r="O709" s="161"/>
      <c r="P709" s="118"/>
      <c r="Q709" s="118"/>
      <c r="R709" s="117"/>
      <c r="S709" s="117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  <c r="AI709" s="118"/>
      <c r="AJ709" s="118"/>
      <c r="AK709" s="118"/>
      <c r="AL709" s="118"/>
      <c r="AM709" s="118"/>
      <c r="AN709" s="118"/>
      <c r="AO709" s="118"/>
      <c r="AP709" s="118"/>
      <c r="AQ709" s="118"/>
      <c r="AR709" s="118"/>
      <c r="AS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64"/>
      <c r="O710" s="161"/>
      <c r="P710" s="118"/>
      <c r="Q710" s="118"/>
      <c r="R710" s="117"/>
      <c r="S710" s="117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64"/>
      <c r="O711" s="161"/>
      <c r="P711" s="118"/>
      <c r="Q711" s="118"/>
      <c r="R711" s="117"/>
      <c r="S711" s="117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  <c r="AI711" s="118"/>
      <c r="AJ711" s="118"/>
      <c r="AK711" s="118"/>
      <c r="AL711" s="118"/>
      <c r="AM711" s="118"/>
      <c r="AN711" s="118"/>
      <c r="AO711" s="118"/>
      <c r="AP711" s="118"/>
      <c r="AQ711" s="118"/>
      <c r="AR711" s="118"/>
      <c r="AS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64"/>
      <c r="O712" s="161"/>
      <c r="P712" s="118"/>
      <c r="Q712" s="118"/>
      <c r="R712" s="117"/>
      <c r="S712" s="117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  <c r="AI712" s="118"/>
      <c r="AJ712" s="118"/>
      <c r="AK712" s="118"/>
      <c r="AL712" s="118"/>
      <c r="AM712" s="118"/>
      <c r="AN712" s="118"/>
      <c r="AO712" s="118"/>
      <c r="AP712" s="118"/>
      <c r="AQ712" s="118"/>
      <c r="AR712" s="118"/>
      <c r="AS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64"/>
      <c r="O713" s="161"/>
      <c r="P713" s="118"/>
      <c r="Q713" s="118"/>
      <c r="R713" s="117"/>
      <c r="S713" s="117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  <c r="AI713" s="118"/>
      <c r="AJ713" s="118"/>
      <c r="AK713" s="118"/>
      <c r="AL713" s="118"/>
      <c r="AM713" s="118"/>
      <c r="AN713" s="118"/>
      <c r="AO713" s="118"/>
      <c r="AP713" s="118"/>
      <c r="AQ713" s="118"/>
      <c r="AR713" s="118"/>
      <c r="AS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64"/>
      <c r="O714" s="161"/>
      <c r="P714" s="118"/>
      <c r="Q714" s="118"/>
      <c r="R714" s="117"/>
      <c r="S714" s="117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/>
      <c r="AK714" s="118"/>
      <c r="AL714" s="118"/>
      <c r="AM714" s="118"/>
      <c r="AN714" s="118"/>
      <c r="AO714" s="118"/>
      <c r="AP714" s="118"/>
      <c r="AQ714" s="118"/>
      <c r="AR714" s="118"/>
      <c r="AS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64"/>
      <c r="O715" s="161"/>
      <c r="P715" s="118"/>
      <c r="Q715" s="118"/>
      <c r="R715" s="117"/>
      <c r="S715" s="117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  <c r="AI715" s="118"/>
      <c r="AJ715" s="118"/>
      <c r="AK715" s="118"/>
      <c r="AL715" s="118"/>
      <c r="AM715" s="118"/>
      <c r="AN715" s="118"/>
      <c r="AO715" s="118"/>
      <c r="AP715" s="118"/>
      <c r="AQ715" s="118"/>
      <c r="AR715" s="118"/>
      <c r="AS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64"/>
      <c r="O716" s="161"/>
      <c r="P716" s="118"/>
      <c r="Q716" s="118"/>
      <c r="R716" s="117"/>
      <c r="S716" s="117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  <c r="AI716" s="118"/>
      <c r="AJ716" s="118"/>
      <c r="AK716" s="118"/>
      <c r="AL716" s="118"/>
      <c r="AM716" s="118"/>
      <c r="AN716" s="118"/>
      <c r="AO716" s="118"/>
      <c r="AP716" s="118"/>
      <c r="AQ716" s="118"/>
      <c r="AR716" s="118"/>
      <c r="AS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64"/>
      <c r="O717" s="161"/>
      <c r="P717" s="118"/>
      <c r="Q717" s="118"/>
      <c r="R717" s="117"/>
      <c r="S717" s="117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  <c r="AI717" s="118"/>
      <c r="AJ717" s="118"/>
      <c r="AK717" s="118"/>
      <c r="AL717" s="118"/>
      <c r="AM717" s="118"/>
      <c r="AN717" s="118"/>
      <c r="AO717" s="118"/>
      <c r="AP717" s="118"/>
      <c r="AQ717" s="118"/>
      <c r="AR717" s="118"/>
      <c r="AS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64"/>
      <c r="O718" s="161"/>
      <c r="P718" s="118"/>
      <c r="Q718" s="118"/>
      <c r="R718" s="117"/>
      <c r="S718" s="117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  <c r="AI718" s="118"/>
      <c r="AJ718" s="118"/>
      <c r="AK718" s="118"/>
      <c r="AL718" s="118"/>
      <c r="AM718" s="118"/>
      <c r="AN718" s="118"/>
      <c r="AO718" s="118"/>
      <c r="AP718" s="118"/>
      <c r="AQ718" s="118"/>
      <c r="AR718" s="118"/>
      <c r="AS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64"/>
      <c r="O719" s="161"/>
      <c r="P719" s="118"/>
      <c r="Q719" s="118"/>
      <c r="R719" s="117"/>
      <c r="S719" s="117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  <c r="AI719" s="118"/>
      <c r="AJ719" s="118"/>
      <c r="AK719" s="118"/>
      <c r="AL719" s="118"/>
      <c r="AM719" s="118"/>
      <c r="AN719" s="118"/>
      <c r="AO719" s="118"/>
      <c r="AP719" s="118"/>
      <c r="AQ719" s="118"/>
      <c r="AR719" s="118"/>
      <c r="AS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64"/>
      <c r="O720" s="161"/>
      <c r="P720" s="118"/>
      <c r="Q720" s="118"/>
      <c r="R720" s="117"/>
      <c r="S720" s="117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  <c r="AI720" s="118"/>
      <c r="AJ720" s="118"/>
      <c r="AK720" s="118"/>
      <c r="AL720" s="118"/>
      <c r="AM720" s="118"/>
      <c r="AN720" s="118"/>
      <c r="AO720" s="118"/>
      <c r="AP720" s="118"/>
      <c r="AQ720" s="118"/>
      <c r="AR720" s="118"/>
      <c r="AS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64"/>
      <c r="O721" s="161"/>
      <c r="P721" s="118"/>
      <c r="Q721" s="118"/>
      <c r="R721" s="117"/>
      <c r="S721" s="117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  <c r="AI721" s="118"/>
      <c r="AJ721" s="118"/>
      <c r="AK721" s="118"/>
      <c r="AL721" s="118"/>
      <c r="AM721" s="118"/>
      <c r="AN721" s="118"/>
      <c r="AO721" s="118"/>
      <c r="AP721" s="118"/>
      <c r="AQ721" s="118"/>
      <c r="AR721" s="118"/>
      <c r="AS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64"/>
      <c r="O722" s="161"/>
      <c r="P722" s="118"/>
      <c r="Q722" s="118"/>
      <c r="R722" s="117"/>
      <c r="S722" s="117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  <c r="AI722" s="118"/>
      <c r="AJ722" s="118"/>
      <c r="AK722" s="118"/>
      <c r="AL722" s="118"/>
      <c r="AM722" s="118"/>
      <c r="AN722" s="118"/>
      <c r="AO722" s="118"/>
      <c r="AP722" s="118"/>
      <c r="AQ722" s="118"/>
      <c r="AR722" s="118"/>
      <c r="AS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64"/>
      <c r="O723" s="161"/>
      <c r="P723" s="118"/>
      <c r="Q723" s="118"/>
      <c r="R723" s="117"/>
      <c r="S723" s="117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/>
      <c r="AK723" s="118"/>
      <c r="AL723" s="118"/>
      <c r="AM723" s="118"/>
      <c r="AN723" s="118"/>
      <c r="AO723" s="118"/>
      <c r="AP723" s="118"/>
      <c r="AQ723" s="118"/>
      <c r="AR723" s="118"/>
      <c r="AS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64"/>
      <c r="O724" s="161"/>
      <c r="P724" s="118"/>
      <c r="Q724" s="118"/>
      <c r="R724" s="117"/>
      <c r="S724" s="117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  <c r="AI724" s="118"/>
      <c r="AJ724" s="118"/>
      <c r="AK724" s="118"/>
      <c r="AL724" s="118"/>
      <c r="AM724" s="118"/>
      <c r="AN724" s="118"/>
      <c r="AO724" s="118"/>
      <c r="AP724" s="118"/>
      <c r="AQ724" s="118"/>
      <c r="AR724" s="118"/>
      <c r="AS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64"/>
      <c r="O725" s="161"/>
      <c r="P725" s="118"/>
      <c r="Q725" s="118"/>
      <c r="R725" s="117"/>
      <c r="S725" s="117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  <c r="AI725" s="118"/>
      <c r="AJ725" s="118"/>
      <c r="AK725" s="118"/>
      <c r="AL725" s="118"/>
      <c r="AM725" s="118"/>
      <c r="AN725" s="118"/>
      <c r="AO725" s="118"/>
      <c r="AP725" s="118"/>
      <c r="AQ725" s="118"/>
      <c r="AR725" s="118"/>
      <c r="AS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64"/>
      <c r="O726" s="161"/>
      <c r="P726" s="118"/>
      <c r="Q726" s="118"/>
      <c r="R726" s="117"/>
      <c r="S726" s="117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  <c r="AI726" s="118"/>
      <c r="AJ726" s="118"/>
      <c r="AK726" s="118"/>
      <c r="AL726" s="118"/>
      <c r="AM726" s="118"/>
      <c r="AN726" s="118"/>
      <c r="AO726" s="118"/>
      <c r="AP726" s="118"/>
      <c r="AQ726" s="118"/>
      <c r="AR726" s="118"/>
      <c r="AS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64"/>
      <c r="O727" s="161"/>
      <c r="P727" s="118"/>
      <c r="Q727" s="118"/>
      <c r="R727" s="117"/>
      <c r="S727" s="117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  <c r="AI727" s="118"/>
      <c r="AJ727" s="118"/>
      <c r="AK727" s="118"/>
      <c r="AL727" s="118"/>
      <c r="AM727" s="118"/>
      <c r="AN727" s="118"/>
      <c r="AO727" s="118"/>
      <c r="AP727" s="118"/>
      <c r="AQ727" s="118"/>
      <c r="AR727" s="118"/>
      <c r="AS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64"/>
      <c r="O728" s="161"/>
      <c r="P728" s="118"/>
      <c r="Q728" s="118"/>
      <c r="R728" s="117"/>
      <c r="S728" s="117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  <c r="AI728" s="118"/>
      <c r="AJ728" s="118"/>
      <c r="AK728" s="118"/>
      <c r="AL728" s="118"/>
      <c r="AM728" s="118"/>
      <c r="AN728" s="118"/>
      <c r="AO728" s="118"/>
      <c r="AP728" s="118"/>
      <c r="AQ728" s="118"/>
      <c r="AR728" s="118"/>
      <c r="AS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64"/>
      <c r="O729" s="161"/>
      <c r="P729" s="118"/>
      <c r="Q729" s="118"/>
      <c r="R729" s="117"/>
      <c r="S729" s="117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  <c r="AI729" s="118"/>
      <c r="AJ729" s="118"/>
      <c r="AK729" s="118"/>
      <c r="AL729" s="118"/>
      <c r="AM729" s="118"/>
      <c r="AN729" s="118"/>
      <c r="AO729" s="118"/>
      <c r="AP729" s="118"/>
      <c r="AQ729" s="118"/>
      <c r="AR729" s="118"/>
      <c r="AS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64"/>
      <c r="O730" s="161"/>
      <c r="P730" s="118"/>
      <c r="Q730" s="118"/>
      <c r="R730" s="117"/>
      <c r="S730" s="117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/>
      <c r="AK730" s="118"/>
      <c r="AL730" s="118"/>
      <c r="AM730" s="118"/>
      <c r="AN730" s="118"/>
      <c r="AO730" s="118"/>
      <c r="AP730" s="118"/>
      <c r="AQ730" s="118"/>
      <c r="AR730" s="118"/>
      <c r="AS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64"/>
      <c r="O731" s="161"/>
      <c r="P731" s="118"/>
      <c r="Q731" s="118"/>
      <c r="R731" s="117"/>
      <c r="S731" s="117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/>
      <c r="AK731" s="118"/>
      <c r="AL731" s="118"/>
      <c r="AM731" s="118"/>
      <c r="AN731" s="118"/>
      <c r="AO731" s="118"/>
      <c r="AP731" s="118"/>
      <c r="AQ731" s="118"/>
      <c r="AR731" s="118"/>
      <c r="AS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64"/>
      <c r="O732" s="161"/>
      <c r="P732" s="118"/>
      <c r="Q732" s="118"/>
      <c r="R732" s="117"/>
      <c r="S732" s="117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  <c r="AI732" s="118"/>
      <c r="AJ732" s="118"/>
      <c r="AK732" s="118"/>
      <c r="AL732" s="118"/>
      <c r="AM732" s="118"/>
      <c r="AN732" s="118"/>
      <c r="AO732" s="118"/>
      <c r="AP732" s="118"/>
      <c r="AQ732" s="118"/>
      <c r="AR732" s="118"/>
      <c r="AS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64"/>
      <c r="O733" s="161"/>
      <c r="P733" s="118"/>
      <c r="Q733" s="118"/>
      <c r="R733" s="117"/>
      <c r="S733" s="117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  <c r="AI733" s="118"/>
      <c r="AJ733" s="118"/>
      <c r="AK733" s="118"/>
      <c r="AL733" s="118"/>
      <c r="AM733" s="118"/>
      <c r="AN733" s="118"/>
      <c r="AO733" s="118"/>
      <c r="AP733" s="118"/>
      <c r="AQ733" s="118"/>
      <c r="AR733" s="118"/>
      <c r="AS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64"/>
      <c r="O734" s="161"/>
      <c r="P734" s="118"/>
      <c r="Q734" s="118"/>
      <c r="R734" s="117"/>
      <c r="S734" s="117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  <c r="AI734" s="118"/>
      <c r="AJ734" s="118"/>
      <c r="AK734" s="118"/>
      <c r="AL734" s="118"/>
      <c r="AM734" s="118"/>
      <c r="AN734" s="118"/>
      <c r="AO734" s="118"/>
      <c r="AP734" s="118"/>
      <c r="AQ734" s="118"/>
      <c r="AR734" s="118"/>
      <c r="AS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64"/>
      <c r="O735" s="161"/>
      <c r="P735" s="118"/>
      <c r="Q735" s="118"/>
      <c r="R735" s="117"/>
      <c r="S735" s="117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  <c r="AI735" s="118"/>
      <c r="AJ735" s="118"/>
      <c r="AK735" s="118"/>
      <c r="AL735" s="118"/>
      <c r="AM735" s="118"/>
      <c r="AN735" s="118"/>
      <c r="AO735" s="118"/>
      <c r="AP735" s="118"/>
      <c r="AQ735" s="118"/>
      <c r="AR735" s="118"/>
      <c r="AS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64"/>
      <c r="O736" s="161"/>
      <c r="P736" s="118"/>
      <c r="Q736" s="118"/>
      <c r="R736" s="117"/>
      <c r="S736" s="117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  <c r="AI736" s="118"/>
      <c r="AJ736" s="118"/>
      <c r="AK736" s="118"/>
      <c r="AL736" s="118"/>
      <c r="AM736" s="118"/>
      <c r="AN736" s="118"/>
      <c r="AO736" s="118"/>
      <c r="AP736" s="118"/>
      <c r="AQ736" s="118"/>
      <c r="AR736" s="118"/>
      <c r="AS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64"/>
      <c r="O737" s="161"/>
      <c r="P737" s="118"/>
      <c r="Q737" s="118"/>
      <c r="R737" s="117"/>
      <c r="S737" s="117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  <c r="AI737" s="118"/>
      <c r="AJ737" s="118"/>
      <c r="AK737" s="118"/>
      <c r="AL737" s="118"/>
      <c r="AM737" s="118"/>
      <c r="AN737" s="118"/>
      <c r="AO737" s="118"/>
      <c r="AP737" s="118"/>
      <c r="AQ737" s="118"/>
      <c r="AR737" s="118"/>
      <c r="AS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64"/>
      <c r="O738" s="161"/>
      <c r="P738" s="118"/>
      <c r="Q738" s="118"/>
      <c r="R738" s="117"/>
      <c r="S738" s="117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  <c r="AI738" s="118"/>
      <c r="AJ738" s="118"/>
      <c r="AK738" s="118"/>
      <c r="AL738" s="118"/>
      <c r="AM738" s="118"/>
      <c r="AN738" s="118"/>
      <c r="AO738" s="118"/>
      <c r="AP738" s="118"/>
      <c r="AQ738" s="118"/>
      <c r="AR738" s="118"/>
      <c r="AS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64"/>
      <c r="O739" s="161"/>
      <c r="P739" s="118"/>
      <c r="Q739" s="118"/>
      <c r="R739" s="117"/>
      <c r="S739" s="117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  <c r="AI739" s="118"/>
      <c r="AJ739" s="118"/>
      <c r="AK739" s="118"/>
      <c r="AL739" s="118"/>
      <c r="AM739" s="118"/>
      <c r="AN739" s="118"/>
      <c r="AO739" s="118"/>
      <c r="AP739" s="118"/>
      <c r="AQ739" s="118"/>
      <c r="AR739" s="118"/>
      <c r="AS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64"/>
      <c r="O740" s="161"/>
      <c r="P740" s="118"/>
      <c r="Q740" s="118"/>
      <c r="R740" s="117"/>
      <c r="S740" s="117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  <c r="AI740" s="118"/>
      <c r="AJ740" s="118"/>
      <c r="AK740" s="118"/>
      <c r="AL740" s="118"/>
      <c r="AM740" s="118"/>
      <c r="AN740" s="118"/>
      <c r="AO740" s="118"/>
      <c r="AP740" s="118"/>
      <c r="AQ740" s="118"/>
      <c r="AR740" s="118"/>
      <c r="AS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64"/>
      <c r="O741" s="161"/>
      <c r="P741" s="118"/>
      <c r="Q741" s="118"/>
      <c r="R741" s="117"/>
      <c r="S741" s="117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  <c r="AI741" s="118"/>
      <c r="AJ741" s="118"/>
      <c r="AK741" s="118"/>
      <c r="AL741" s="118"/>
      <c r="AM741" s="118"/>
      <c r="AN741" s="118"/>
      <c r="AO741" s="118"/>
      <c r="AP741" s="118"/>
      <c r="AQ741" s="118"/>
      <c r="AR741" s="118"/>
      <c r="AS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64"/>
      <c r="O742" s="161"/>
      <c r="P742" s="118"/>
      <c r="Q742" s="118"/>
      <c r="R742" s="117"/>
      <c r="S742" s="117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  <c r="AI742" s="118"/>
      <c r="AJ742" s="118"/>
      <c r="AK742" s="118"/>
      <c r="AL742" s="118"/>
      <c r="AM742" s="118"/>
      <c r="AN742" s="118"/>
      <c r="AO742" s="118"/>
      <c r="AP742" s="118"/>
      <c r="AQ742" s="118"/>
      <c r="AR742" s="118"/>
      <c r="AS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64"/>
      <c r="O743" s="161"/>
      <c r="P743" s="118"/>
      <c r="Q743" s="118"/>
      <c r="R743" s="117"/>
      <c r="S743" s="117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  <c r="AI743" s="118"/>
      <c r="AJ743" s="118"/>
      <c r="AK743" s="118"/>
      <c r="AL743" s="118"/>
      <c r="AM743" s="118"/>
      <c r="AN743" s="118"/>
      <c r="AO743" s="118"/>
      <c r="AP743" s="118"/>
      <c r="AQ743" s="118"/>
      <c r="AR743" s="118"/>
      <c r="AS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64"/>
      <c r="O744" s="161"/>
      <c r="P744" s="118"/>
      <c r="Q744" s="118"/>
      <c r="R744" s="117"/>
      <c r="S744" s="117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  <c r="AI744" s="118"/>
      <c r="AJ744" s="118"/>
      <c r="AK744" s="118"/>
      <c r="AL744" s="118"/>
      <c r="AM744" s="118"/>
      <c r="AN744" s="118"/>
      <c r="AO744" s="118"/>
      <c r="AP744" s="118"/>
      <c r="AQ744" s="118"/>
      <c r="AR744" s="118"/>
      <c r="AS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64"/>
      <c r="O745" s="161"/>
      <c r="P745" s="118"/>
      <c r="Q745" s="118"/>
      <c r="R745" s="117"/>
      <c r="S745" s="117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  <c r="AI745" s="118"/>
      <c r="AJ745" s="118"/>
      <c r="AK745" s="118"/>
      <c r="AL745" s="118"/>
      <c r="AM745" s="118"/>
      <c r="AN745" s="118"/>
      <c r="AO745" s="118"/>
      <c r="AP745" s="118"/>
      <c r="AQ745" s="118"/>
      <c r="AR745" s="118"/>
      <c r="AS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64"/>
      <c r="O746" s="161"/>
      <c r="P746" s="118"/>
      <c r="Q746" s="118"/>
      <c r="R746" s="117"/>
      <c r="S746" s="117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8"/>
      <c r="AN746" s="118"/>
      <c r="AO746" s="118"/>
      <c r="AP746" s="118"/>
      <c r="AQ746" s="118"/>
      <c r="AR746" s="118"/>
      <c r="AS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64"/>
      <c r="O747" s="161"/>
      <c r="P747" s="118"/>
      <c r="Q747" s="118"/>
      <c r="R747" s="117"/>
      <c r="S747" s="117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  <c r="AI747" s="118"/>
      <c r="AJ747" s="118"/>
      <c r="AK747" s="118"/>
      <c r="AL747" s="118"/>
      <c r="AM747" s="118"/>
      <c r="AN747" s="118"/>
      <c r="AO747" s="118"/>
      <c r="AP747" s="118"/>
      <c r="AQ747" s="118"/>
      <c r="AR747" s="118"/>
      <c r="AS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64"/>
      <c r="O748" s="161"/>
      <c r="P748" s="118"/>
      <c r="Q748" s="118"/>
      <c r="R748" s="117"/>
      <c r="S748" s="117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  <c r="AI748" s="118"/>
      <c r="AJ748" s="118"/>
      <c r="AK748" s="118"/>
      <c r="AL748" s="118"/>
      <c r="AM748" s="118"/>
      <c r="AN748" s="118"/>
      <c r="AO748" s="118"/>
      <c r="AP748" s="118"/>
      <c r="AQ748" s="118"/>
      <c r="AR748" s="118"/>
      <c r="AS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64"/>
      <c r="O749" s="161"/>
      <c r="P749" s="118"/>
      <c r="Q749" s="118"/>
      <c r="R749" s="117"/>
      <c r="S749" s="117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  <c r="AI749" s="118"/>
      <c r="AJ749" s="118"/>
      <c r="AK749" s="118"/>
      <c r="AL749" s="118"/>
      <c r="AM749" s="118"/>
      <c r="AN749" s="118"/>
      <c r="AO749" s="118"/>
      <c r="AP749" s="118"/>
      <c r="AQ749" s="118"/>
      <c r="AR749" s="118"/>
      <c r="AS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64"/>
      <c r="O750" s="161"/>
      <c r="P750" s="118"/>
      <c r="Q750" s="118"/>
      <c r="R750" s="117"/>
      <c r="S750" s="117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  <c r="AI750" s="118"/>
      <c r="AJ750" s="118"/>
      <c r="AK750" s="118"/>
      <c r="AL750" s="118"/>
      <c r="AM750" s="118"/>
      <c r="AN750" s="118"/>
      <c r="AO750" s="118"/>
      <c r="AP750" s="118"/>
      <c r="AQ750" s="118"/>
      <c r="AR750" s="118"/>
      <c r="AS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64"/>
      <c r="O751" s="161"/>
      <c r="P751" s="118"/>
      <c r="Q751" s="118"/>
      <c r="R751" s="117"/>
      <c r="S751" s="117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  <c r="AI751" s="118"/>
      <c r="AJ751" s="118"/>
      <c r="AK751" s="118"/>
      <c r="AL751" s="118"/>
      <c r="AM751" s="118"/>
      <c r="AN751" s="118"/>
      <c r="AO751" s="118"/>
      <c r="AP751" s="118"/>
      <c r="AQ751" s="118"/>
      <c r="AR751" s="118"/>
      <c r="AS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64"/>
      <c r="O752" s="161"/>
      <c r="P752" s="118"/>
      <c r="Q752" s="118"/>
      <c r="R752" s="117"/>
      <c r="S752" s="117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  <c r="AI752" s="118"/>
      <c r="AJ752" s="118"/>
      <c r="AK752" s="118"/>
      <c r="AL752" s="118"/>
      <c r="AM752" s="118"/>
      <c r="AN752" s="118"/>
      <c r="AO752" s="118"/>
      <c r="AP752" s="118"/>
      <c r="AQ752" s="118"/>
      <c r="AR752" s="118"/>
      <c r="AS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64"/>
      <c r="O753" s="161"/>
      <c r="P753" s="118"/>
      <c r="Q753" s="118"/>
      <c r="R753" s="117"/>
      <c r="S753" s="117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  <c r="AI753" s="118"/>
      <c r="AJ753" s="118"/>
      <c r="AK753" s="118"/>
      <c r="AL753" s="118"/>
      <c r="AM753" s="118"/>
      <c r="AN753" s="118"/>
      <c r="AO753" s="118"/>
      <c r="AP753" s="118"/>
      <c r="AQ753" s="118"/>
      <c r="AR753" s="118"/>
      <c r="AS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64"/>
      <c r="O754" s="161"/>
      <c r="P754" s="118"/>
      <c r="Q754" s="118"/>
      <c r="R754" s="117"/>
      <c r="S754" s="117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  <c r="AI754" s="118"/>
      <c r="AJ754" s="118"/>
      <c r="AK754" s="118"/>
      <c r="AL754" s="118"/>
      <c r="AM754" s="118"/>
      <c r="AN754" s="118"/>
      <c r="AO754" s="118"/>
      <c r="AP754" s="118"/>
      <c r="AQ754" s="118"/>
      <c r="AR754" s="118"/>
      <c r="AS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64"/>
      <c r="O755" s="161"/>
      <c r="P755" s="118"/>
      <c r="Q755" s="118"/>
      <c r="R755" s="117"/>
      <c r="S755" s="117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  <c r="AI755" s="118"/>
      <c r="AJ755" s="118"/>
      <c r="AK755" s="118"/>
      <c r="AL755" s="118"/>
      <c r="AM755" s="118"/>
      <c r="AN755" s="118"/>
      <c r="AO755" s="118"/>
      <c r="AP755" s="118"/>
      <c r="AQ755" s="118"/>
      <c r="AR755" s="118"/>
      <c r="AS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64"/>
      <c r="O756" s="161"/>
      <c r="P756" s="118"/>
      <c r="Q756" s="118"/>
      <c r="R756" s="117"/>
      <c r="S756" s="117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  <c r="AI756" s="118"/>
      <c r="AJ756" s="118"/>
      <c r="AK756" s="118"/>
      <c r="AL756" s="118"/>
      <c r="AM756" s="118"/>
      <c r="AN756" s="118"/>
      <c r="AO756" s="118"/>
      <c r="AP756" s="118"/>
      <c r="AQ756" s="118"/>
      <c r="AR756" s="118"/>
      <c r="AS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64"/>
      <c r="O757" s="161"/>
      <c r="P757" s="118"/>
      <c r="Q757" s="118"/>
      <c r="R757" s="117"/>
      <c r="S757" s="117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  <c r="AI757" s="118"/>
      <c r="AJ757" s="118"/>
      <c r="AK757" s="118"/>
      <c r="AL757" s="118"/>
      <c r="AM757" s="118"/>
      <c r="AN757" s="118"/>
      <c r="AO757" s="118"/>
      <c r="AP757" s="118"/>
      <c r="AQ757" s="118"/>
      <c r="AR757" s="118"/>
      <c r="AS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64"/>
      <c r="O758" s="161"/>
      <c r="P758" s="118"/>
      <c r="Q758" s="118"/>
      <c r="R758" s="117"/>
      <c r="S758" s="117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  <c r="AI758" s="118"/>
      <c r="AJ758" s="118"/>
      <c r="AK758" s="118"/>
      <c r="AL758" s="118"/>
      <c r="AM758" s="118"/>
      <c r="AN758" s="118"/>
      <c r="AO758" s="118"/>
      <c r="AP758" s="118"/>
      <c r="AQ758" s="118"/>
      <c r="AR758" s="118"/>
      <c r="AS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64"/>
      <c r="O759" s="161"/>
      <c r="P759" s="118"/>
      <c r="Q759" s="118"/>
      <c r="R759" s="117"/>
      <c r="S759" s="117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  <c r="AI759" s="118"/>
      <c r="AJ759" s="118"/>
      <c r="AK759" s="118"/>
      <c r="AL759" s="118"/>
      <c r="AM759" s="118"/>
      <c r="AN759" s="118"/>
      <c r="AO759" s="118"/>
      <c r="AP759" s="118"/>
      <c r="AQ759" s="118"/>
      <c r="AR759" s="118"/>
      <c r="AS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64"/>
      <c r="O760" s="161"/>
      <c r="P760" s="118"/>
      <c r="Q760" s="118"/>
      <c r="R760" s="117"/>
      <c r="S760" s="117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  <c r="AI760" s="118"/>
      <c r="AJ760" s="118"/>
      <c r="AK760" s="118"/>
      <c r="AL760" s="118"/>
      <c r="AM760" s="118"/>
      <c r="AN760" s="118"/>
      <c r="AO760" s="118"/>
      <c r="AP760" s="118"/>
      <c r="AQ760" s="118"/>
      <c r="AR760" s="118"/>
      <c r="AS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64"/>
      <c r="O761" s="161"/>
      <c r="P761" s="118"/>
      <c r="Q761" s="118"/>
      <c r="R761" s="117"/>
      <c r="S761" s="117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  <c r="AI761" s="118"/>
      <c r="AJ761" s="118"/>
      <c r="AK761" s="118"/>
      <c r="AL761" s="118"/>
      <c r="AM761" s="118"/>
      <c r="AN761" s="118"/>
      <c r="AO761" s="118"/>
      <c r="AP761" s="118"/>
      <c r="AQ761" s="118"/>
      <c r="AR761" s="118"/>
      <c r="AS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64"/>
      <c r="O762" s="161"/>
      <c r="P762" s="118"/>
      <c r="Q762" s="118"/>
      <c r="R762" s="117"/>
      <c r="S762" s="117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  <c r="AI762" s="118"/>
      <c r="AJ762" s="118"/>
      <c r="AK762" s="118"/>
      <c r="AL762" s="118"/>
      <c r="AM762" s="118"/>
      <c r="AN762" s="118"/>
      <c r="AO762" s="118"/>
      <c r="AP762" s="118"/>
      <c r="AQ762" s="118"/>
      <c r="AR762" s="118"/>
      <c r="AS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64"/>
      <c r="O763" s="161"/>
      <c r="P763" s="118"/>
      <c r="Q763" s="118"/>
      <c r="R763" s="117"/>
      <c r="S763" s="117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64"/>
      <c r="O764" s="161"/>
      <c r="P764" s="118"/>
      <c r="Q764" s="118"/>
      <c r="R764" s="117"/>
      <c r="S764" s="117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  <c r="AI764" s="118"/>
      <c r="AJ764" s="118"/>
      <c r="AK764" s="118"/>
      <c r="AL764" s="118"/>
      <c r="AM764" s="118"/>
      <c r="AN764" s="118"/>
      <c r="AO764" s="118"/>
      <c r="AP764" s="118"/>
      <c r="AQ764" s="118"/>
      <c r="AR764" s="118"/>
      <c r="AS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64"/>
      <c r="O765" s="161"/>
      <c r="P765" s="118"/>
      <c r="Q765" s="118"/>
      <c r="R765" s="117"/>
      <c r="S765" s="117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  <c r="AI765" s="118"/>
      <c r="AJ765" s="118"/>
      <c r="AK765" s="118"/>
      <c r="AL765" s="118"/>
      <c r="AM765" s="118"/>
      <c r="AN765" s="118"/>
      <c r="AO765" s="118"/>
      <c r="AP765" s="118"/>
      <c r="AQ765" s="118"/>
      <c r="AR765" s="118"/>
      <c r="AS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64"/>
      <c r="O766" s="161"/>
      <c r="P766" s="118"/>
      <c r="Q766" s="118"/>
      <c r="R766" s="117"/>
      <c r="S766" s="117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  <c r="AI766" s="118"/>
      <c r="AJ766" s="118"/>
      <c r="AK766" s="118"/>
      <c r="AL766" s="118"/>
      <c r="AM766" s="118"/>
      <c r="AN766" s="118"/>
      <c r="AO766" s="118"/>
      <c r="AP766" s="118"/>
      <c r="AQ766" s="118"/>
      <c r="AR766" s="118"/>
      <c r="AS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64"/>
      <c r="O767" s="161"/>
      <c r="P767" s="118"/>
      <c r="Q767" s="118"/>
      <c r="R767" s="117"/>
      <c r="S767" s="117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  <c r="AI767" s="118"/>
      <c r="AJ767" s="118"/>
      <c r="AK767" s="118"/>
      <c r="AL767" s="118"/>
      <c r="AM767" s="118"/>
      <c r="AN767" s="118"/>
      <c r="AO767" s="118"/>
      <c r="AP767" s="118"/>
      <c r="AQ767" s="118"/>
      <c r="AR767" s="118"/>
      <c r="AS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64"/>
      <c r="O768" s="161"/>
      <c r="P768" s="118"/>
      <c r="Q768" s="118"/>
      <c r="R768" s="117"/>
      <c r="S768" s="117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  <c r="AI768" s="118"/>
      <c r="AJ768" s="118"/>
      <c r="AK768" s="118"/>
      <c r="AL768" s="118"/>
      <c r="AM768" s="118"/>
      <c r="AN768" s="118"/>
      <c r="AO768" s="118"/>
      <c r="AP768" s="118"/>
      <c r="AQ768" s="118"/>
      <c r="AR768" s="118"/>
      <c r="AS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64"/>
      <c r="O769" s="161"/>
      <c r="P769" s="118"/>
      <c r="Q769" s="118"/>
      <c r="R769" s="117"/>
      <c r="S769" s="117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  <c r="AI769" s="118"/>
      <c r="AJ769" s="118"/>
      <c r="AK769" s="118"/>
      <c r="AL769" s="118"/>
      <c r="AM769" s="118"/>
      <c r="AN769" s="118"/>
      <c r="AO769" s="118"/>
      <c r="AP769" s="118"/>
      <c r="AQ769" s="118"/>
      <c r="AR769" s="118"/>
      <c r="AS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64"/>
      <c r="O770" s="161"/>
      <c r="P770" s="118"/>
      <c r="Q770" s="118"/>
      <c r="R770" s="117"/>
      <c r="S770" s="117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  <c r="AI770" s="118"/>
      <c r="AJ770" s="118"/>
      <c r="AK770" s="118"/>
      <c r="AL770" s="118"/>
      <c r="AM770" s="118"/>
      <c r="AN770" s="118"/>
      <c r="AO770" s="118"/>
      <c r="AP770" s="118"/>
      <c r="AQ770" s="118"/>
      <c r="AR770" s="118"/>
      <c r="AS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64"/>
      <c r="O771" s="161"/>
      <c r="P771" s="118"/>
      <c r="Q771" s="118"/>
      <c r="R771" s="117"/>
      <c r="S771" s="117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  <c r="AI771" s="118"/>
      <c r="AJ771" s="118"/>
      <c r="AK771" s="118"/>
      <c r="AL771" s="118"/>
      <c r="AM771" s="118"/>
      <c r="AN771" s="118"/>
      <c r="AO771" s="118"/>
      <c r="AP771" s="118"/>
      <c r="AQ771" s="118"/>
      <c r="AR771" s="118"/>
      <c r="AS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64"/>
      <c r="O772" s="161"/>
      <c r="P772" s="118"/>
      <c r="Q772" s="118"/>
      <c r="R772" s="117"/>
      <c r="S772" s="117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  <c r="AI772" s="118"/>
      <c r="AJ772" s="118"/>
      <c r="AK772" s="118"/>
      <c r="AL772" s="118"/>
      <c r="AM772" s="118"/>
      <c r="AN772" s="118"/>
      <c r="AO772" s="118"/>
      <c r="AP772" s="118"/>
      <c r="AQ772" s="118"/>
      <c r="AR772" s="118"/>
      <c r="AS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64"/>
      <c r="O773" s="161"/>
      <c r="P773" s="118"/>
      <c r="Q773" s="118"/>
      <c r="R773" s="117"/>
      <c r="S773" s="117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  <c r="AI773" s="118"/>
      <c r="AJ773" s="118"/>
      <c r="AK773" s="118"/>
      <c r="AL773" s="118"/>
      <c r="AM773" s="118"/>
      <c r="AN773" s="118"/>
      <c r="AO773" s="118"/>
      <c r="AP773" s="118"/>
      <c r="AQ773" s="118"/>
      <c r="AR773" s="118"/>
      <c r="AS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64"/>
      <c r="O774" s="161"/>
      <c r="P774" s="118"/>
      <c r="Q774" s="118"/>
      <c r="R774" s="117"/>
      <c r="S774" s="117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  <c r="AI774" s="118"/>
      <c r="AJ774" s="118"/>
      <c r="AK774" s="118"/>
      <c r="AL774" s="118"/>
      <c r="AM774" s="118"/>
      <c r="AN774" s="118"/>
      <c r="AO774" s="118"/>
      <c r="AP774" s="118"/>
      <c r="AQ774" s="118"/>
      <c r="AR774" s="118"/>
      <c r="AS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64"/>
      <c r="O775" s="161"/>
      <c r="P775" s="118"/>
      <c r="Q775" s="118"/>
      <c r="R775" s="117"/>
      <c r="S775" s="117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  <c r="AL775" s="118"/>
      <c r="AM775" s="118"/>
      <c r="AN775" s="118"/>
      <c r="AO775" s="118"/>
      <c r="AP775" s="118"/>
      <c r="AQ775" s="118"/>
      <c r="AR775" s="118"/>
      <c r="AS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64"/>
      <c r="O776" s="161"/>
      <c r="P776" s="118"/>
      <c r="Q776" s="118"/>
      <c r="R776" s="117"/>
      <c r="S776" s="117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  <c r="AI776" s="118"/>
      <c r="AJ776" s="118"/>
      <c r="AK776" s="118"/>
      <c r="AL776" s="118"/>
      <c r="AM776" s="118"/>
      <c r="AN776" s="118"/>
      <c r="AO776" s="118"/>
      <c r="AP776" s="118"/>
      <c r="AQ776" s="118"/>
      <c r="AR776" s="118"/>
      <c r="AS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64"/>
      <c r="O777" s="161"/>
      <c r="P777" s="118"/>
      <c r="Q777" s="118"/>
      <c r="R777" s="117"/>
      <c r="S777" s="117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  <c r="AI777" s="118"/>
      <c r="AJ777" s="118"/>
      <c r="AK777" s="118"/>
      <c r="AL777" s="118"/>
      <c r="AM777" s="118"/>
      <c r="AN777" s="118"/>
      <c r="AO777" s="118"/>
      <c r="AP777" s="118"/>
      <c r="AQ777" s="118"/>
      <c r="AR777" s="118"/>
      <c r="AS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64"/>
      <c r="O778" s="161"/>
      <c r="P778" s="118"/>
      <c r="Q778" s="118"/>
      <c r="R778" s="117"/>
      <c r="S778" s="117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  <c r="AI778" s="118"/>
      <c r="AJ778" s="118"/>
      <c r="AK778" s="118"/>
      <c r="AL778" s="118"/>
      <c r="AM778" s="118"/>
      <c r="AN778" s="118"/>
      <c r="AO778" s="118"/>
      <c r="AP778" s="118"/>
      <c r="AQ778" s="118"/>
      <c r="AR778" s="118"/>
      <c r="AS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64"/>
      <c r="O779" s="161"/>
      <c r="P779" s="118"/>
      <c r="Q779" s="118"/>
      <c r="R779" s="117"/>
      <c r="S779" s="117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  <c r="AI779" s="118"/>
      <c r="AJ779" s="118"/>
      <c r="AK779" s="118"/>
      <c r="AL779" s="118"/>
      <c r="AM779" s="118"/>
      <c r="AN779" s="118"/>
      <c r="AO779" s="118"/>
      <c r="AP779" s="118"/>
      <c r="AQ779" s="118"/>
      <c r="AR779" s="118"/>
      <c r="AS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64"/>
      <c r="O780" s="161"/>
      <c r="P780" s="118"/>
      <c r="Q780" s="118"/>
      <c r="R780" s="117"/>
      <c r="S780" s="117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  <c r="AI780" s="118"/>
      <c r="AJ780" s="118"/>
      <c r="AK780" s="118"/>
      <c r="AL780" s="118"/>
      <c r="AM780" s="118"/>
      <c r="AN780" s="118"/>
      <c r="AO780" s="118"/>
      <c r="AP780" s="118"/>
      <c r="AQ780" s="118"/>
      <c r="AR780" s="118"/>
      <c r="AS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64"/>
      <c r="O781" s="161"/>
      <c r="P781" s="118"/>
      <c r="Q781" s="118"/>
      <c r="R781" s="117"/>
      <c r="S781" s="117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  <c r="AI781" s="118"/>
      <c r="AJ781" s="118"/>
      <c r="AK781" s="118"/>
      <c r="AL781" s="118"/>
      <c r="AM781" s="118"/>
      <c r="AN781" s="118"/>
      <c r="AO781" s="118"/>
      <c r="AP781" s="118"/>
      <c r="AQ781" s="118"/>
      <c r="AR781" s="118"/>
      <c r="AS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64"/>
      <c r="O782" s="161"/>
      <c r="P782" s="118"/>
      <c r="Q782" s="118"/>
      <c r="R782" s="117"/>
      <c r="S782" s="117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  <c r="AI782" s="118"/>
      <c r="AJ782" s="118"/>
      <c r="AK782" s="118"/>
      <c r="AL782" s="118"/>
      <c r="AM782" s="118"/>
      <c r="AN782" s="118"/>
      <c r="AO782" s="118"/>
      <c r="AP782" s="118"/>
      <c r="AQ782" s="118"/>
      <c r="AR782" s="118"/>
      <c r="AS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64"/>
      <c r="O783" s="161"/>
      <c r="P783" s="118"/>
      <c r="Q783" s="118"/>
      <c r="R783" s="117"/>
      <c r="S783" s="117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  <c r="AI783" s="118"/>
      <c r="AJ783" s="118"/>
      <c r="AK783" s="118"/>
      <c r="AL783" s="118"/>
      <c r="AM783" s="118"/>
      <c r="AN783" s="118"/>
      <c r="AO783" s="118"/>
      <c r="AP783" s="118"/>
      <c r="AQ783" s="118"/>
      <c r="AR783" s="118"/>
      <c r="AS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64"/>
      <c r="O784" s="161"/>
      <c r="P784" s="118"/>
      <c r="Q784" s="118"/>
      <c r="R784" s="117"/>
      <c r="S784" s="117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8"/>
      <c r="AN784" s="118"/>
      <c r="AO784" s="118"/>
      <c r="AP784" s="118"/>
      <c r="AQ784" s="118"/>
      <c r="AR784" s="118"/>
      <c r="AS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64"/>
      <c r="O785" s="161"/>
      <c r="P785" s="118"/>
      <c r="Q785" s="118"/>
      <c r="R785" s="117"/>
      <c r="S785" s="117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  <c r="AI785" s="118"/>
      <c r="AJ785" s="118"/>
      <c r="AK785" s="118"/>
      <c r="AL785" s="118"/>
      <c r="AM785" s="118"/>
      <c r="AN785" s="118"/>
      <c r="AO785" s="118"/>
      <c r="AP785" s="118"/>
      <c r="AQ785" s="118"/>
      <c r="AR785" s="118"/>
      <c r="AS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64"/>
      <c r="O786" s="161"/>
      <c r="P786" s="118"/>
      <c r="Q786" s="118"/>
      <c r="R786" s="117"/>
      <c r="S786" s="117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  <c r="AI786" s="118"/>
      <c r="AJ786" s="118"/>
      <c r="AK786" s="118"/>
      <c r="AL786" s="118"/>
      <c r="AM786" s="118"/>
      <c r="AN786" s="118"/>
      <c r="AO786" s="118"/>
      <c r="AP786" s="118"/>
      <c r="AQ786" s="118"/>
      <c r="AR786" s="118"/>
      <c r="AS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64"/>
      <c r="O787" s="161"/>
      <c r="P787" s="118"/>
      <c r="Q787" s="118"/>
      <c r="R787" s="117"/>
      <c r="S787" s="117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  <c r="AI787" s="118"/>
      <c r="AJ787" s="118"/>
      <c r="AK787" s="118"/>
      <c r="AL787" s="118"/>
      <c r="AM787" s="118"/>
      <c r="AN787" s="118"/>
      <c r="AO787" s="118"/>
      <c r="AP787" s="118"/>
      <c r="AQ787" s="118"/>
      <c r="AR787" s="118"/>
      <c r="AS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64"/>
      <c r="O788" s="161"/>
      <c r="P788" s="118"/>
      <c r="Q788" s="118"/>
      <c r="R788" s="117"/>
      <c r="S788" s="117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  <c r="AI788" s="118"/>
      <c r="AJ788" s="118"/>
      <c r="AK788" s="118"/>
      <c r="AL788" s="118"/>
      <c r="AM788" s="118"/>
      <c r="AN788" s="118"/>
      <c r="AO788" s="118"/>
      <c r="AP788" s="118"/>
      <c r="AQ788" s="118"/>
      <c r="AR788" s="118"/>
      <c r="AS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64"/>
      <c r="O789" s="161"/>
      <c r="P789" s="118"/>
      <c r="Q789" s="118"/>
      <c r="R789" s="117"/>
      <c r="S789" s="117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  <c r="AI789" s="118"/>
      <c r="AJ789" s="118"/>
      <c r="AK789" s="118"/>
      <c r="AL789" s="118"/>
      <c r="AM789" s="118"/>
      <c r="AN789" s="118"/>
      <c r="AO789" s="118"/>
      <c r="AP789" s="118"/>
      <c r="AQ789" s="118"/>
      <c r="AR789" s="118"/>
      <c r="AS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64"/>
      <c r="O790" s="161"/>
      <c r="P790" s="118"/>
      <c r="Q790" s="118"/>
      <c r="R790" s="117"/>
      <c r="S790" s="117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  <c r="AI790" s="118"/>
      <c r="AJ790" s="118"/>
      <c r="AK790" s="118"/>
      <c r="AL790" s="118"/>
      <c r="AM790" s="118"/>
      <c r="AN790" s="118"/>
      <c r="AO790" s="118"/>
      <c r="AP790" s="118"/>
      <c r="AQ790" s="118"/>
      <c r="AR790" s="118"/>
      <c r="AS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64"/>
      <c r="O791" s="161"/>
      <c r="P791" s="118"/>
      <c r="Q791" s="118"/>
      <c r="R791" s="117"/>
      <c r="S791" s="117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  <c r="AI791" s="118"/>
      <c r="AJ791" s="118"/>
      <c r="AK791" s="118"/>
      <c r="AL791" s="118"/>
      <c r="AM791" s="118"/>
      <c r="AN791" s="118"/>
      <c r="AO791" s="118"/>
      <c r="AP791" s="118"/>
      <c r="AQ791" s="118"/>
      <c r="AR791" s="118"/>
      <c r="AS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64"/>
      <c r="O792" s="161"/>
      <c r="P792" s="118"/>
      <c r="Q792" s="118"/>
      <c r="R792" s="117"/>
      <c r="S792" s="117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  <c r="AI792" s="118"/>
      <c r="AJ792" s="118"/>
      <c r="AK792" s="118"/>
      <c r="AL792" s="118"/>
      <c r="AM792" s="118"/>
      <c r="AN792" s="118"/>
      <c r="AO792" s="118"/>
      <c r="AP792" s="118"/>
      <c r="AQ792" s="118"/>
      <c r="AR792" s="118"/>
      <c r="AS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64"/>
      <c r="O793" s="161"/>
      <c r="P793" s="118"/>
      <c r="Q793" s="118"/>
      <c r="R793" s="117"/>
      <c r="S793" s="117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  <c r="AI793" s="118"/>
      <c r="AJ793" s="118"/>
      <c r="AK793" s="118"/>
      <c r="AL793" s="118"/>
      <c r="AM793" s="118"/>
      <c r="AN793" s="118"/>
      <c r="AO793" s="118"/>
      <c r="AP793" s="118"/>
      <c r="AQ793" s="118"/>
      <c r="AR793" s="118"/>
      <c r="AS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64"/>
      <c r="O794" s="161"/>
      <c r="P794" s="118"/>
      <c r="Q794" s="118"/>
      <c r="R794" s="117"/>
      <c r="S794" s="117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  <c r="AI794" s="118"/>
      <c r="AJ794" s="118"/>
      <c r="AK794" s="118"/>
      <c r="AL794" s="118"/>
      <c r="AM794" s="118"/>
      <c r="AN794" s="118"/>
      <c r="AO794" s="118"/>
      <c r="AP794" s="118"/>
      <c r="AQ794" s="118"/>
      <c r="AR794" s="118"/>
      <c r="AS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64"/>
      <c r="O795" s="161"/>
      <c r="P795" s="118"/>
      <c r="Q795" s="118"/>
      <c r="R795" s="117"/>
      <c r="S795" s="117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  <c r="AI795" s="118"/>
      <c r="AJ795" s="118"/>
      <c r="AK795" s="118"/>
      <c r="AL795" s="118"/>
      <c r="AM795" s="118"/>
      <c r="AN795" s="118"/>
      <c r="AO795" s="118"/>
      <c r="AP795" s="118"/>
      <c r="AQ795" s="118"/>
      <c r="AR795" s="118"/>
      <c r="AS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64"/>
      <c r="O796" s="161"/>
      <c r="P796" s="118"/>
      <c r="Q796" s="118"/>
      <c r="R796" s="117"/>
      <c r="S796" s="117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  <c r="AI796" s="118"/>
      <c r="AJ796" s="118"/>
      <c r="AK796" s="118"/>
      <c r="AL796" s="118"/>
      <c r="AM796" s="118"/>
      <c r="AN796" s="118"/>
      <c r="AO796" s="118"/>
      <c r="AP796" s="118"/>
      <c r="AQ796" s="118"/>
      <c r="AR796" s="118"/>
      <c r="AS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64"/>
      <c r="O797" s="161"/>
      <c r="P797" s="118"/>
      <c r="Q797" s="118"/>
      <c r="R797" s="117"/>
      <c r="S797" s="117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  <c r="AI797" s="118"/>
      <c r="AJ797" s="118"/>
      <c r="AK797" s="118"/>
      <c r="AL797" s="118"/>
      <c r="AM797" s="118"/>
      <c r="AN797" s="118"/>
      <c r="AO797" s="118"/>
      <c r="AP797" s="118"/>
      <c r="AQ797" s="118"/>
      <c r="AR797" s="118"/>
      <c r="AS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64"/>
      <c r="O798" s="161"/>
      <c r="P798" s="118"/>
      <c r="Q798" s="118"/>
      <c r="R798" s="117"/>
      <c r="S798" s="117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  <c r="AI798" s="118"/>
      <c r="AJ798" s="118"/>
      <c r="AK798" s="118"/>
      <c r="AL798" s="118"/>
      <c r="AM798" s="118"/>
      <c r="AN798" s="118"/>
      <c r="AO798" s="118"/>
      <c r="AP798" s="118"/>
      <c r="AQ798" s="118"/>
      <c r="AR798" s="118"/>
      <c r="AS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64"/>
      <c r="O799" s="161"/>
      <c r="P799" s="118"/>
      <c r="Q799" s="118"/>
      <c r="R799" s="117"/>
      <c r="S799" s="117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  <c r="AI799" s="118"/>
      <c r="AJ799" s="118"/>
      <c r="AK799" s="118"/>
      <c r="AL799" s="118"/>
      <c r="AM799" s="118"/>
      <c r="AN799" s="118"/>
      <c r="AO799" s="118"/>
      <c r="AP799" s="118"/>
      <c r="AQ799" s="118"/>
      <c r="AR799" s="118"/>
      <c r="AS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64"/>
      <c r="O800" s="161"/>
      <c r="P800" s="118"/>
      <c r="Q800" s="118"/>
      <c r="R800" s="117"/>
      <c r="S800" s="117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  <c r="AI800" s="118"/>
      <c r="AJ800" s="118"/>
      <c r="AK800" s="118"/>
      <c r="AL800" s="118"/>
      <c r="AM800" s="118"/>
      <c r="AN800" s="118"/>
      <c r="AO800" s="118"/>
      <c r="AP800" s="118"/>
      <c r="AQ800" s="118"/>
      <c r="AR800" s="118"/>
      <c r="AS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64"/>
      <c r="O801" s="161"/>
      <c r="P801" s="118"/>
      <c r="Q801" s="118"/>
      <c r="R801" s="117"/>
      <c r="S801" s="117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  <c r="AI801" s="118"/>
      <c r="AJ801" s="118"/>
      <c r="AK801" s="118"/>
      <c r="AL801" s="118"/>
      <c r="AM801" s="118"/>
      <c r="AN801" s="118"/>
      <c r="AO801" s="118"/>
      <c r="AP801" s="118"/>
      <c r="AQ801" s="118"/>
      <c r="AR801" s="118"/>
      <c r="AS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64"/>
      <c r="O802" s="161"/>
      <c r="P802" s="118"/>
      <c r="Q802" s="118"/>
      <c r="R802" s="117"/>
      <c r="S802" s="117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  <c r="AI802" s="118"/>
      <c r="AJ802" s="118"/>
      <c r="AK802" s="118"/>
      <c r="AL802" s="118"/>
      <c r="AM802" s="118"/>
      <c r="AN802" s="118"/>
      <c r="AO802" s="118"/>
      <c r="AP802" s="118"/>
      <c r="AQ802" s="118"/>
      <c r="AR802" s="118"/>
      <c r="AS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64"/>
      <c r="O803" s="161"/>
      <c r="P803" s="118"/>
      <c r="Q803" s="118"/>
      <c r="R803" s="117"/>
      <c r="S803" s="117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  <c r="AI803" s="118"/>
      <c r="AJ803" s="118"/>
      <c r="AK803" s="118"/>
      <c r="AL803" s="118"/>
      <c r="AM803" s="118"/>
      <c r="AN803" s="118"/>
      <c r="AO803" s="118"/>
      <c r="AP803" s="118"/>
      <c r="AQ803" s="118"/>
      <c r="AR803" s="118"/>
      <c r="AS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64"/>
      <c r="O804" s="161"/>
      <c r="P804" s="118"/>
      <c r="Q804" s="118"/>
      <c r="R804" s="117"/>
      <c r="S804" s="117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  <c r="AI804" s="118"/>
      <c r="AJ804" s="118"/>
      <c r="AK804" s="118"/>
      <c r="AL804" s="118"/>
      <c r="AM804" s="118"/>
      <c r="AN804" s="118"/>
      <c r="AO804" s="118"/>
      <c r="AP804" s="118"/>
      <c r="AQ804" s="118"/>
      <c r="AR804" s="118"/>
      <c r="AS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64"/>
      <c r="O805" s="161"/>
      <c r="P805" s="118"/>
      <c r="Q805" s="118"/>
      <c r="R805" s="117"/>
      <c r="S805" s="117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  <c r="AI805" s="118"/>
      <c r="AJ805" s="118"/>
      <c r="AK805" s="118"/>
      <c r="AL805" s="118"/>
      <c r="AM805" s="118"/>
      <c r="AN805" s="118"/>
      <c r="AO805" s="118"/>
      <c r="AP805" s="118"/>
      <c r="AQ805" s="118"/>
      <c r="AR805" s="118"/>
      <c r="AS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64"/>
      <c r="O806" s="161"/>
      <c r="P806" s="118"/>
      <c r="Q806" s="118"/>
      <c r="R806" s="117"/>
      <c r="S806" s="117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  <c r="AI806" s="118"/>
      <c r="AJ806" s="118"/>
      <c r="AK806" s="118"/>
      <c r="AL806" s="118"/>
      <c r="AM806" s="118"/>
      <c r="AN806" s="118"/>
      <c r="AO806" s="118"/>
      <c r="AP806" s="118"/>
      <c r="AQ806" s="118"/>
      <c r="AR806" s="118"/>
      <c r="AS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64"/>
      <c r="O807" s="161"/>
      <c r="P807" s="118"/>
      <c r="Q807" s="118"/>
      <c r="R807" s="117"/>
      <c r="S807" s="117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  <c r="AI807" s="118"/>
      <c r="AJ807" s="118"/>
      <c r="AK807" s="118"/>
      <c r="AL807" s="118"/>
      <c r="AM807" s="118"/>
      <c r="AN807" s="118"/>
      <c r="AO807" s="118"/>
      <c r="AP807" s="118"/>
      <c r="AQ807" s="118"/>
      <c r="AR807" s="118"/>
      <c r="AS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64"/>
      <c r="O808" s="161"/>
      <c r="P808" s="118"/>
      <c r="Q808" s="118"/>
      <c r="R808" s="117"/>
      <c r="S808" s="117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  <c r="AI808" s="118"/>
      <c r="AJ808" s="118"/>
      <c r="AK808" s="118"/>
      <c r="AL808" s="118"/>
      <c r="AM808" s="118"/>
      <c r="AN808" s="118"/>
      <c r="AO808" s="118"/>
      <c r="AP808" s="118"/>
      <c r="AQ808" s="118"/>
      <c r="AR808" s="118"/>
      <c r="AS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64"/>
      <c r="O809" s="161"/>
      <c r="P809" s="118"/>
      <c r="Q809" s="118"/>
      <c r="R809" s="117"/>
      <c r="S809" s="117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  <c r="AI809" s="118"/>
      <c r="AJ809" s="118"/>
      <c r="AK809" s="118"/>
      <c r="AL809" s="118"/>
      <c r="AM809" s="118"/>
      <c r="AN809" s="118"/>
      <c r="AO809" s="118"/>
      <c r="AP809" s="118"/>
      <c r="AQ809" s="118"/>
      <c r="AR809" s="118"/>
      <c r="AS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64"/>
      <c r="O810" s="161"/>
      <c r="P810" s="118"/>
      <c r="Q810" s="118"/>
      <c r="R810" s="117"/>
      <c r="S810" s="117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  <c r="AI810" s="118"/>
      <c r="AJ810" s="118"/>
      <c r="AK810" s="118"/>
      <c r="AL810" s="118"/>
      <c r="AM810" s="118"/>
      <c r="AN810" s="118"/>
      <c r="AO810" s="118"/>
      <c r="AP810" s="118"/>
      <c r="AQ810" s="118"/>
      <c r="AR810" s="118"/>
      <c r="AS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64"/>
      <c r="O811" s="161"/>
      <c r="P811" s="118"/>
      <c r="Q811" s="118"/>
      <c r="R811" s="117"/>
      <c r="S811" s="117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  <c r="AI811" s="118"/>
      <c r="AJ811" s="118"/>
      <c r="AK811" s="118"/>
      <c r="AL811" s="118"/>
      <c r="AM811" s="118"/>
      <c r="AN811" s="118"/>
      <c r="AO811" s="118"/>
      <c r="AP811" s="118"/>
      <c r="AQ811" s="118"/>
      <c r="AR811" s="118"/>
      <c r="AS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64"/>
      <c r="O812" s="161"/>
      <c r="P812" s="118"/>
      <c r="Q812" s="118"/>
      <c r="R812" s="117"/>
      <c r="S812" s="117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  <c r="AI812" s="118"/>
      <c r="AJ812" s="118"/>
      <c r="AK812" s="118"/>
      <c r="AL812" s="118"/>
      <c r="AM812" s="118"/>
      <c r="AN812" s="118"/>
      <c r="AO812" s="118"/>
      <c r="AP812" s="118"/>
      <c r="AQ812" s="118"/>
      <c r="AR812" s="118"/>
      <c r="AS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64"/>
      <c r="O813" s="161"/>
      <c r="P813" s="161"/>
      <c r="Q813" s="161"/>
      <c r="R813" s="117"/>
      <c r="S813" s="117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  <c r="AI813" s="118"/>
      <c r="AJ813" s="118"/>
      <c r="AK813" s="118"/>
      <c r="AL813" s="118"/>
      <c r="AM813" s="118"/>
      <c r="AN813" s="118"/>
      <c r="AO813" s="118"/>
      <c r="AP813" s="118"/>
      <c r="AQ813" s="118"/>
      <c r="AR813" s="118"/>
      <c r="AS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64"/>
      <c r="O814" s="161"/>
      <c r="P814" s="161"/>
      <c r="Q814" s="161"/>
      <c r="R814" s="117"/>
      <c r="S814" s="117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  <c r="AI814" s="118"/>
      <c r="AJ814" s="118"/>
      <c r="AK814" s="118"/>
      <c r="AL814" s="118"/>
      <c r="AM814" s="118"/>
      <c r="AN814" s="118"/>
      <c r="AO814" s="118"/>
      <c r="AP814" s="118"/>
      <c r="AQ814" s="118"/>
      <c r="AR814" s="118"/>
      <c r="AS814" s="118"/>
    </row>
    <row r="815">
      <c r="A815" s="118"/>
      <c r="B815" s="118"/>
      <c r="C815" s="118"/>
      <c r="D815" s="118"/>
      <c r="E815" s="118"/>
      <c r="F815" s="161"/>
      <c r="G815" s="161"/>
      <c r="H815" s="118"/>
      <c r="I815" s="118"/>
      <c r="J815" s="161"/>
      <c r="K815" s="161"/>
      <c r="L815" s="161"/>
      <c r="M815" s="161"/>
      <c r="N815" s="161"/>
      <c r="O815" s="161"/>
      <c r="P815" s="161"/>
      <c r="Q815" s="161"/>
      <c r="R815" s="117"/>
      <c r="S815" s="117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  <c r="AI815" s="118"/>
      <c r="AJ815" s="118"/>
      <c r="AK815" s="118"/>
      <c r="AL815" s="118"/>
      <c r="AM815" s="118"/>
      <c r="AN815" s="118"/>
      <c r="AO815" s="118"/>
      <c r="AP815" s="118"/>
      <c r="AQ815" s="118"/>
      <c r="AR815" s="118"/>
      <c r="AS815" s="118"/>
    </row>
    <row r="816">
      <c r="A816" s="118"/>
      <c r="B816" s="118"/>
      <c r="C816" s="118"/>
      <c r="D816" s="118"/>
      <c r="E816" s="118"/>
      <c r="F816" s="161"/>
      <c r="G816" s="161"/>
      <c r="H816" s="118"/>
      <c r="I816" s="118"/>
      <c r="J816" s="161"/>
      <c r="K816" s="161"/>
      <c r="L816" s="161"/>
      <c r="M816" s="161"/>
      <c r="N816" s="161"/>
      <c r="O816" s="161"/>
      <c r="P816" s="161"/>
      <c r="Q816" s="161"/>
      <c r="R816" s="117"/>
      <c r="S816" s="117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</row>
    <row r="817">
      <c r="A817" s="118"/>
      <c r="B817" s="118"/>
      <c r="C817" s="118"/>
      <c r="D817" s="118"/>
      <c r="E817" s="118"/>
      <c r="F817" s="161"/>
      <c r="G817" s="161"/>
      <c r="H817" s="118"/>
      <c r="I817" s="118"/>
      <c r="J817" s="161"/>
      <c r="K817" s="161"/>
      <c r="L817" s="161"/>
      <c r="M817" s="161"/>
      <c r="N817" s="161"/>
      <c r="O817" s="161"/>
      <c r="P817" s="161"/>
      <c r="Q817" s="161"/>
      <c r="R817" s="117"/>
      <c r="S817" s="117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  <c r="AI817" s="118"/>
      <c r="AJ817" s="118"/>
      <c r="AK817" s="118"/>
      <c r="AL817" s="118"/>
      <c r="AM817" s="118"/>
      <c r="AN817" s="118"/>
      <c r="AO817" s="118"/>
      <c r="AP817" s="118"/>
      <c r="AQ817" s="118"/>
      <c r="AR817" s="118"/>
      <c r="AS817" s="118"/>
    </row>
    <row r="818">
      <c r="A818" s="118"/>
      <c r="B818" s="118"/>
      <c r="C818" s="118"/>
      <c r="D818" s="118"/>
      <c r="E818" s="118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17"/>
      <c r="S818" s="117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  <c r="AI818" s="118"/>
      <c r="AJ818" s="118"/>
      <c r="AK818" s="118"/>
      <c r="AL818" s="118"/>
      <c r="AM818" s="118"/>
      <c r="AN818" s="118"/>
      <c r="AO818" s="118"/>
      <c r="AP818" s="118"/>
      <c r="AQ818" s="118"/>
      <c r="AR818" s="118"/>
      <c r="AS818" s="118"/>
    </row>
    <row r="819">
      <c r="A819" s="118"/>
      <c r="B819" s="118"/>
      <c r="C819" s="118"/>
      <c r="D819" s="118"/>
      <c r="E819" s="118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17"/>
      <c r="S819" s="117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  <c r="AI819" s="118"/>
      <c r="AJ819" s="118"/>
      <c r="AK819" s="118"/>
      <c r="AL819" s="118"/>
      <c r="AM819" s="118"/>
      <c r="AN819" s="118"/>
      <c r="AO819" s="118"/>
      <c r="AP819" s="118"/>
      <c r="AQ819" s="118"/>
      <c r="AR819" s="118"/>
      <c r="AS819" s="118"/>
    </row>
    <row r="820">
      <c r="A820" s="118"/>
      <c r="B820" s="118"/>
      <c r="C820" s="118"/>
      <c r="D820" s="118"/>
      <c r="E820" s="118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17"/>
      <c r="S820" s="117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  <c r="AI820" s="118"/>
      <c r="AJ820" s="118"/>
      <c r="AK820" s="118"/>
      <c r="AL820" s="118"/>
      <c r="AM820" s="118"/>
      <c r="AN820" s="118"/>
      <c r="AO820" s="118"/>
      <c r="AP820" s="118"/>
      <c r="AQ820" s="118"/>
      <c r="AR820" s="118"/>
      <c r="AS820" s="118"/>
    </row>
    <row r="821">
      <c r="A821" s="118"/>
      <c r="B821" s="118"/>
      <c r="C821" s="118"/>
      <c r="D821" s="118"/>
      <c r="E821" s="118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17"/>
      <c r="S821" s="117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  <c r="AI821" s="118"/>
      <c r="AJ821" s="118"/>
      <c r="AK821" s="118"/>
      <c r="AL821" s="118"/>
      <c r="AM821" s="118"/>
      <c r="AN821" s="118"/>
      <c r="AO821" s="118"/>
      <c r="AP821" s="118"/>
      <c r="AQ821" s="118"/>
      <c r="AR821" s="118"/>
      <c r="AS821" s="118"/>
    </row>
    <row r="822">
      <c r="A822" s="118"/>
      <c r="B822" s="118"/>
      <c r="C822" s="118"/>
      <c r="D822" s="118"/>
      <c r="E822" s="118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17"/>
      <c r="S822" s="117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8"/>
      <c r="AN822" s="118"/>
      <c r="AO822" s="118"/>
      <c r="AP822" s="118"/>
      <c r="AQ822" s="118"/>
      <c r="AR822" s="118"/>
      <c r="AS822" s="118"/>
    </row>
    <row r="823">
      <c r="A823" s="118"/>
      <c r="B823" s="118"/>
      <c r="C823" s="118"/>
      <c r="D823" s="118"/>
      <c r="E823" s="118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17"/>
      <c r="S823" s="117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  <c r="AI823" s="118"/>
      <c r="AJ823" s="118"/>
      <c r="AK823" s="118"/>
      <c r="AL823" s="118"/>
      <c r="AM823" s="118"/>
      <c r="AN823" s="118"/>
      <c r="AO823" s="118"/>
      <c r="AP823" s="118"/>
      <c r="AQ823" s="118"/>
      <c r="AR823" s="118"/>
      <c r="AS823" s="118"/>
    </row>
    <row r="824">
      <c r="A824" s="118"/>
      <c r="B824" s="118"/>
      <c r="C824" s="118"/>
      <c r="D824" s="118"/>
      <c r="E824" s="118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17"/>
      <c r="S824" s="117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  <c r="AI824" s="118"/>
      <c r="AJ824" s="118"/>
      <c r="AK824" s="118"/>
      <c r="AL824" s="118"/>
      <c r="AM824" s="118"/>
      <c r="AN824" s="118"/>
      <c r="AO824" s="118"/>
      <c r="AP824" s="118"/>
      <c r="AQ824" s="118"/>
      <c r="AR824" s="118"/>
      <c r="AS824" s="118"/>
    </row>
    <row r="825">
      <c r="A825" s="118"/>
      <c r="B825" s="118"/>
      <c r="C825" s="118"/>
      <c r="D825" s="118"/>
      <c r="E825" s="118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17"/>
      <c r="S825" s="117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  <c r="AI825" s="118"/>
      <c r="AJ825" s="118"/>
      <c r="AK825" s="118"/>
      <c r="AL825" s="118"/>
      <c r="AM825" s="118"/>
      <c r="AN825" s="118"/>
      <c r="AO825" s="118"/>
      <c r="AP825" s="118"/>
      <c r="AQ825" s="118"/>
      <c r="AR825" s="118"/>
      <c r="AS825" s="118"/>
    </row>
    <row r="826">
      <c r="A826" s="118"/>
      <c r="B826" s="118"/>
      <c r="C826" s="118"/>
      <c r="D826" s="118"/>
      <c r="E826" s="118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17"/>
      <c r="S826" s="117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  <c r="AI826" s="118"/>
      <c r="AJ826" s="118"/>
      <c r="AK826" s="118"/>
      <c r="AL826" s="118"/>
      <c r="AM826" s="118"/>
      <c r="AN826" s="118"/>
      <c r="AO826" s="118"/>
      <c r="AP826" s="118"/>
      <c r="AQ826" s="118"/>
      <c r="AR826" s="118"/>
      <c r="AS826" s="118"/>
    </row>
    <row r="827">
      <c r="A827" s="118"/>
      <c r="B827" s="118"/>
      <c r="C827" s="118"/>
      <c r="D827" s="118"/>
      <c r="E827" s="118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17"/>
      <c r="S827" s="117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  <c r="AI827" s="118"/>
      <c r="AJ827" s="118"/>
      <c r="AK827" s="118"/>
      <c r="AL827" s="118"/>
      <c r="AM827" s="118"/>
      <c r="AN827" s="118"/>
      <c r="AO827" s="118"/>
      <c r="AP827" s="118"/>
      <c r="AQ827" s="118"/>
      <c r="AR827" s="118"/>
      <c r="AS827" s="118"/>
    </row>
    <row r="828">
      <c r="A828" s="118"/>
      <c r="B828" s="118"/>
      <c r="C828" s="118"/>
      <c r="D828" s="118"/>
      <c r="E828" s="118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17"/>
      <c r="S828" s="117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  <c r="AI828" s="118"/>
      <c r="AJ828" s="118"/>
      <c r="AK828" s="118"/>
      <c r="AL828" s="118"/>
      <c r="AM828" s="118"/>
      <c r="AN828" s="118"/>
      <c r="AO828" s="118"/>
      <c r="AP828" s="118"/>
      <c r="AQ828" s="118"/>
      <c r="AR828" s="118"/>
      <c r="AS828" s="118"/>
    </row>
    <row r="829">
      <c r="A829" s="118"/>
      <c r="B829" s="118"/>
      <c r="C829" s="118"/>
      <c r="D829" s="118"/>
      <c r="E829" s="118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17"/>
      <c r="S829" s="117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  <c r="AL829" s="118"/>
      <c r="AM829" s="118"/>
      <c r="AN829" s="118"/>
      <c r="AO829" s="118"/>
      <c r="AP829" s="118"/>
      <c r="AQ829" s="118"/>
      <c r="AR829" s="118"/>
      <c r="AS829" s="118"/>
    </row>
    <row r="830">
      <c r="A830" s="118"/>
      <c r="B830" s="118"/>
      <c r="C830" s="118"/>
      <c r="D830" s="118"/>
      <c r="E830" s="118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17"/>
      <c r="S830" s="117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  <c r="AL830" s="118"/>
      <c r="AM830" s="118"/>
      <c r="AN830" s="118"/>
      <c r="AO830" s="118"/>
      <c r="AP830" s="118"/>
      <c r="AQ830" s="118"/>
      <c r="AR830" s="118"/>
      <c r="AS830" s="118"/>
    </row>
    <row r="831">
      <c r="A831" s="118"/>
      <c r="B831" s="118"/>
      <c r="C831" s="118"/>
      <c r="D831" s="118"/>
      <c r="E831" s="118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17"/>
      <c r="S831" s="117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  <c r="AI831" s="118"/>
      <c r="AJ831" s="118"/>
      <c r="AK831" s="118"/>
      <c r="AL831" s="118"/>
      <c r="AM831" s="118"/>
      <c r="AN831" s="118"/>
      <c r="AO831" s="118"/>
      <c r="AP831" s="118"/>
      <c r="AQ831" s="118"/>
      <c r="AR831" s="118"/>
      <c r="AS831" s="118"/>
    </row>
    <row r="832">
      <c r="A832" s="118"/>
      <c r="B832" s="118"/>
      <c r="C832" s="118"/>
      <c r="D832" s="118"/>
      <c r="E832" s="118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17"/>
      <c r="S832" s="117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  <c r="AI832" s="118"/>
      <c r="AJ832" s="118"/>
      <c r="AK832" s="118"/>
      <c r="AL832" s="118"/>
      <c r="AM832" s="118"/>
      <c r="AN832" s="118"/>
      <c r="AO832" s="118"/>
      <c r="AP832" s="118"/>
      <c r="AQ832" s="118"/>
      <c r="AR832" s="118"/>
      <c r="AS832" s="118"/>
    </row>
    <row r="833">
      <c r="A833" s="118"/>
      <c r="B833" s="118"/>
      <c r="C833" s="118"/>
      <c r="D833" s="118"/>
      <c r="E833" s="118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17"/>
      <c r="S833" s="117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  <c r="AI833" s="118"/>
      <c r="AJ833" s="118"/>
      <c r="AK833" s="118"/>
      <c r="AL833" s="118"/>
      <c r="AM833" s="118"/>
      <c r="AN833" s="118"/>
      <c r="AO833" s="118"/>
      <c r="AP833" s="118"/>
      <c r="AQ833" s="118"/>
      <c r="AR833" s="118"/>
      <c r="AS833" s="118"/>
    </row>
    <row r="834">
      <c r="A834" s="118"/>
      <c r="B834" s="118"/>
      <c r="C834" s="118"/>
      <c r="D834" s="118"/>
      <c r="E834" s="118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17"/>
      <c r="S834" s="117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  <c r="AI834" s="118"/>
      <c r="AJ834" s="118"/>
      <c r="AK834" s="118"/>
      <c r="AL834" s="118"/>
      <c r="AM834" s="118"/>
      <c r="AN834" s="118"/>
      <c r="AO834" s="118"/>
      <c r="AP834" s="118"/>
      <c r="AQ834" s="118"/>
      <c r="AR834" s="118"/>
      <c r="AS834" s="118"/>
    </row>
    <row r="835">
      <c r="A835" s="118"/>
      <c r="B835" s="118"/>
      <c r="C835" s="118"/>
      <c r="D835" s="118"/>
      <c r="E835" s="118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17"/>
      <c r="S835" s="117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  <c r="AI835" s="118"/>
      <c r="AJ835" s="118"/>
      <c r="AK835" s="118"/>
      <c r="AL835" s="118"/>
      <c r="AM835" s="118"/>
      <c r="AN835" s="118"/>
      <c r="AO835" s="118"/>
      <c r="AP835" s="118"/>
      <c r="AQ835" s="118"/>
      <c r="AR835" s="118"/>
      <c r="AS835" s="118"/>
    </row>
    <row r="836">
      <c r="A836" s="118"/>
      <c r="B836" s="118"/>
      <c r="C836" s="118"/>
      <c r="D836" s="118"/>
      <c r="E836" s="118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17"/>
      <c r="S836" s="117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  <c r="AI836" s="118"/>
      <c r="AJ836" s="118"/>
      <c r="AK836" s="118"/>
      <c r="AL836" s="118"/>
      <c r="AM836" s="118"/>
      <c r="AN836" s="118"/>
      <c r="AO836" s="118"/>
      <c r="AP836" s="118"/>
      <c r="AQ836" s="118"/>
      <c r="AR836" s="118"/>
      <c r="AS836" s="118"/>
    </row>
    <row r="837">
      <c r="A837" s="118"/>
      <c r="B837" s="118"/>
      <c r="C837" s="118"/>
      <c r="D837" s="118"/>
      <c r="E837" s="118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17"/>
      <c r="S837" s="117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  <c r="AI837" s="118"/>
      <c r="AJ837" s="118"/>
      <c r="AK837" s="118"/>
      <c r="AL837" s="118"/>
      <c r="AM837" s="118"/>
      <c r="AN837" s="118"/>
      <c r="AO837" s="118"/>
      <c r="AP837" s="118"/>
      <c r="AQ837" s="118"/>
      <c r="AR837" s="118"/>
      <c r="AS837" s="118"/>
    </row>
    <row r="838">
      <c r="A838" s="118"/>
      <c r="B838" s="118"/>
      <c r="C838" s="118"/>
      <c r="D838" s="118"/>
      <c r="E838" s="118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17"/>
      <c r="S838" s="117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  <c r="AI838" s="118"/>
      <c r="AJ838" s="118"/>
      <c r="AK838" s="118"/>
      <c r="AL838" s="118"/>
      <c r="AM838" s="118"/>
      <c r="AN838" s="118"/>
      <c r="AO838" s="118"/>
      <c r="AP838" s="118"/>
      <c r="AQ838" s="118"/>
      <c r="AR838" s="118"/>
      <c r="AS838" s="118"/>
    </row>
    <row r="839">
      <c r="A839" s="118"/>
      <c r="B839" s="118"/>
      <c r="C839" s="118"/>
      <c r="D839" s="118"/>
      <c r="E839" s="118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17"/>
      <c r="S839" s="117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  <c r="AI839" s="118"/>
      <c r="AJ839" s="118"/>
      <c r="AK839" s="118"/>
      <c r="AL839" s="118"/>
      <c r="AM839" s="118"/>
      <c r="AN839" s="118"/>
      <c r="AO839" s="118"/>
      <c r="AP839" s="118"/>
      <c r="AQ839" s="118"/>
      <c r="AR839" s="118"/>
      <c r="AS839" s="118"/>
    </row>
    <row r="840">
      <c r="A840" s="118"/>
      <c r="B840" s="118"/>
      <c r="C840" s="118"/>
      <c r="D840" s="118"/>
      <c r="E840" s="118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17"/>
      <c r="S840" s="117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  <c r="AI840" s="118"/>
      <c r="AJ840" s="118"/>
      <c r="AK840" s="118"/>
      <c r="AL840" s="118"/>
      <c r="AM840" s="118"/>
      <c r="AN840" s="118"/>
      <c r="AO840" s="118"/>
      <c r="AP840" s="118"/>
      <c r="AQ840" s="118"/>
      <c r="AR840" s="118"/>
      <c r="AS840" s="118"/>
    </row>
    <row r="841">
      <c r="A841" s="118"/>
      <c r="B841" s="118"/>
      <c r="C841" s="118"/>
      <c r="D841" s="118"/>
      <c r="E841" s="118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17"/>
      <c r="S841" s="117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  <c r="AI841" s="118"/>
      <c r="AJ841" s="118"/>
      <c r="AK841" s="118"/>
      <c r="AL841" s="118"/>
      <c r="AM841" s="118"/>
      <c r="AN841" s="118"/>
      <c r="AO841" s="118"/>
      <c r="AP841" s="118"/>
      <c r="AQ841" s="118"/>
      <c r="AR841" s="118"/>
      <c r="AS841" s="118"/>
    </row>
    <row r="842">
      <c r="A842" s="118"/>
      <c r="B842" s="118"/>
      <c r="C842" s="118"/>
      <c r="D842" s="118"/>
      <c r="E842" s="118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17"/>
      <c r="S842" s="117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  <c r="AI842" s="118"/>
      <c r="AJ842" s="118"/>
      <c r="AK842" s="118"/>
      <c r="AL842" s="118"/>
      <c r="AM842" s="118"/>
      <c r="AN842" s="118"/>
      <c r="AO842" s="118"/>
      <c r="AP842" s="118"/>
      <c r="AQ842" s="118"/>
      <c r="AR842" s="118"/>
      <c r="AS842" s="118"/>
    </row>
    <row r="843">
      <c r="A843" s="118"/>
      <c r="B843" s="118"/>
      <c r="C843" s="118"/>
      <c r="D843" s="118"/>
      <c r="E843" s="118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17"/>
      <c r="S843" s="117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  <c r="AI843" s="118"/>
      <c r="AJ843" s="118"/>
      <c r="AK843" s="118"/>
      <c r="AL843" s="118"/>
      <c r="AM843" s="118"/>
      <c r="AN843" s="118"/>
      <c r="AO843" s="118"/>
      <c r="AP843" s="118"/>
      <c r="AQ843" s="118"/>
      <c r="AR843" s="118"/>
      <c r="AS843" s="118"/>
    </row>
  </sheetData>
  <mergeCells count="15">
    <mergeCell ref="G3:G4"/>
    <mergeCell ref="H3:H4"/>
    <mergeCell ref="I3:I4"/>
    <mergeCell ref="J3:M3"/>
    <mergeCell ref="N3:N4"/>
    <mergeCell ref="O3:O4"/>
    <mergeCell ref="P3:P4"/>
    <mergeCell ref="Q3:Q4"/>
    <mergeCell ref="J1:M1"/>
    <mergeCell ref="A3:A4"/>
    <mergeCell ref="B3:B4"/>
    <mergeCell ref="C3:C4"/>
    <mergeCell ref="D3:D4"/>
    <mergeCell ref="E3:E4"/>
    <mergeCell ref="F3:F4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13"/>
    <col customWidth="1" min="3" max="3" width="4.13"/>
    <col customWidth="1" hidden="1" min="4" max="4" width="5.88"/>
    <col customWidth="1" min="5" max="5" width="18.75"/>
    <col customWidth="1" hidden="1" min="6" max="6" width="16.88"/>
    <col customWidth="1" hidden="1" min="7" max="7" width="17.88"/>
    <col customWidth="1" min="8" max="9" width="3.63"/>
    <col customWidth="1" min="10" max="10" width="16.88"/>
    <col customWidth="1" min="11" max="11" width="18.63"/>
    <col customWidth="1" min="12" max="12" width="16.63"/>
    <col customWidth="1" min="13" max="13" width="19.38"/>
    <col customWidth="1" min="14" max="14" width="5.13"/>
    <col customWidth="1" min="15" max="15" width="5.38"/>
    <col customWidth="1" min="16" max="16" width="22.13"/>
    <col customWidth="1" min="17" max="17" width="23.88"/>
    <col customWidth="1" min="18" max="18" width="16.38"/>
    <col customWidth="1" min="19" max="19" width="21.88"/>
    <col customWidth="1" min="20" max="20" width="17.38"/>
  </cols>
  <sheetData>
    <row r="1" ht="23.25" customHeight="1">
      <c r="A1" s="106" t="s">
        <v>262</v>
      </c>
      <c r="B1" s="107">
        <f>NOW()</f>
        <v>46137.95904</v>
      </c>
      <c r="C1" s="108">
        <f> COUNTIF(C5:C25, "&gt;0")</f>
        <v>8</v>
      </c>
      <c r="D1" s="109"/>
      <c r="F1" s="110"/>
      <c r="G1" s="110"/>
      <c r="H1" s="111"/>
      <c r="I1" s="111"/>
      <c r="J1" s="112" t="s">
        <v>125</v>
      </c>
      <c r="N1" s="113"/>
      <c r="O1" s="114">
        <v>46152.0</v>
      </c>
      <c r="P1" s="181" t="s">
        <v>126</v>
      </c>
      <c r="Q1" s="115"/>
      <c r="R1" s="116"/>
      <c r="S1" s="117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</row>
    <row r="2" ht="29.25" customHeight="1">
      <c r="A2" s="119">
        <v>19.0</v>
      </c>
      <c r="B2" s="120" t="s">
        <v>709</v>
      </c>
      <c r="C2" s="182"/>
      <c r="D2" s="212"/>
      <c r="E2" s="122"/>
      <c r="F2" s="122"/>
      <c r="G2" s="122"/>
      <c r="H2" s="122">
        <f t="shared" ref="H2:I2" si="1">COUNTIF(H4:H23, "&gt;0")</f>
        <v>0</v>
      </c>
      <c r="I2" s="122">
        <f t="shared" si="1"/>
        <v>1</v>
      </c>
      <c r="J2" s="122"/>
      <c r="K2" s="122"/>
      <c r="L2" s="213">
        <v>4.0</v>
      </c>
      <c r="M2" s="122"/>
      <c r="N2" s="124">
        <f>COUNTIF(N4:N22, "&gt;0")</f>
        <v>17</v>
      </c>
      <c r="O2" s="124">
        <f>COUNTIF(O4:O24, "&gt;0")</f>
        <v>6</v>
      </c>
      <c r="P2" s="125">
        <v>46137.0</v>
      </c>
      <c r="Q2" s="214"/>
      <c r="R2" s="117"/>
      <c r="S2" s="117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ht="22.5" customHeight="1">
      <c r="A3" s="129" t="s">
        <v>5</v>
      </c>
      <c r="B3" s="129" t="s">
        <v>6</v>
      </c>
      <c r="C3" s="129" t="s">
        <v>9</v>
      </c>
      <c r="D3" s="129"/>
      <c r="E3" s="129" t="s">
        <v>18</v>
      </c>
      <c r="F3" s="130" t="s">
        <v>131</v>
      </c>
      <c r="G3" s="129" t="s">
        <v>132</v>
      </c>
      <c r="H3" s="129"/>
      <c r="I3" s="129"/>
      <c r="J3" s="131" t="s">
        <v>133</v>
      </c>
      <c r="K3" s="132"/>
      <c r="L3" s="132"/>
      <c r="M3" s="133"/>
      <c r="N3" s="129" t="s">
        <v>134</v>
      </c>
      <c r="O3" s="129" t="s">
        <v>135</v>
      </c>
      <c r="P3" s="130" t="s">
        <v>136</v>
      </c>
      <c r="Q3" s="129" t="s">
        <v>137</v>
      </c>
      <c r="R3" s="117"/>
      <c r="S3" s="117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</row>
    <row r="4" ht="27.0" customHeight="1">
      <c r="A4" s="50"/>
      <c r="B4" s="50"/>
      <c r="C4" s="50"/>
      <c r="D4" s="50"/>
      <c r="E4" s="50"/>
      <c r="F4" s="50"/>
      <c r="G4" s="50"/>
      <c r="H4" s="50"/>
      <c r="I4" s="50"/>
      <c r="J4" s="137" t="s">
        <v>140</v>
      </c>
      <c r="K4" s="137" t="s">
        <v>141</v>
      </c>
      <c r="L4" s="137" t="s">
        <v>142</v>
      </c>
      <c r="M4" s="137" t="s">
        <v>143</v>
      </c>
      <c r="N4" s="50"/>
      <c r="O4" s="50"/>
      <c r="P4" s="50"/>
      <c r="Q4" s="50"/>
      <c r="R4" s="117"/>
      <c r="S4" s="117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</row>
    <row r="5" ht="31.5" customHeight="1">
      <c r="A5" s="245">
        <v>1.0</v>
      </c>
      <c r="B5" s="272" t="s">
        <v>93</v>
      </c>
      <c r="C5" s="140"/>
      <c r="D5" s="69"/>
      <c r="E5" s="89" t="s">
        <v>94</v>
      </c>
      <c r="F5" s="59"/>
      <c r="G5" s="59"/>
      <c r="H5" s="85"/>
      <c r="I5" s="141"/>
      <c r="J5" s="141" t="s">
        <v>710</v>
      </c>
      <c r="K5" s="223" t="s">
        <v>711</v>
      </c>
      <c r="L5" s="141" t="s">
        <v>712</v>
      </c>
      <c r="M5" s="141" t="s">
        <v>371</v>
      </c>
      <c r="N5" s="142">
        <v>1.0</v>
      </c>
      <c r="O5" s="142"/>
      <c r="P5" s="59" t="s">
        <v>167</v>
      </c>
      <c r="Q5" s="59"/>
      <c r="R5" s="273" t="s">
        <v>713</v>
      </c>
      <c r="S5" s="146" t="s">
        <v>714</v>
      </c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ht="30.0" customHeight="1">
      <c r="A6" s="193">
        <f t="shared" ref="A6:A23" si="2">A5+1</f>
        <v>2</v>
      </c>
      <c r="B6" s="266" t="s">
        <v>95</v>
      </c>
      <c r="C6" s="274"/>
      <c r="D6" s="275"/>
      <c r="E6" s="276" t="s">
        <v>80</v>
      </c>
      <c r="F6" s="144"/>
      <c r="G6" s="144"/>
      <c r="H6" s="277"/>
      <c r="I6" s="278">
        <v>1.0</v>
      </c>
      <c r="J6" s="185" t="s">
        <v>265</v>
      </c>
      <c r="K6" s="185" t="s">
        <v>265</v>
      </c>
      <c r="L6" s="185" t="s">
        <v>265</v>
      </c>
      <c r="M6" s="185" t="s">
        <v>265</v>
      </c>
      <c r="N6" s="233"/>
      <c r="O6" s="126"/>
      <c r="P6" s="185" t="s">
        <v>715</v>
      </c>
      <c r="Q6" s="59"/>
      <c r="R6" s="273" t="s">
        <v>716</v>
      </c>
      <c r="S6" s="146" t="s">
        <v>717</v>
      </c>
      <c r="T6" s="279" t="s">
        <v>718</v>
      </c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ht="30.75" customHeight="1">
      <c r="A7" s="245">
        <f t="shared" si="2"/>
        <v>3</v>
      </c>
      <c r="B7" s="272" t="s">
        <v>97</v>
      </c>
      <c r="C7" s="66"/>
      <c r="D7" s="69"/>
      <c r="E7" s="89" t="s">
        <v>98</v>
      </c>
      <c r="F7" s="280" t="s">
        <v>719</v>
      </c>
      <c r="G7" s="281" t="s">
        <v>720</v>
      </c>
      <c r="H7" s="282"/>
      <c r="I7" s="280"/>
      <c r="J7" s="281" t="s">
        <v>721</v>
      </c>
      <c r="K7" s="281" t="s">
        <v>722</v>
      </c>
      <c r="L7" s="281" t="s">
        <v>723</v>
      </c>
      <c r="M7" s="281" t="s">
        <v>694</v>
      </c>
      <c r="N7" s="142">
        <v>1.0</v>
      </c>
      <c r="O7" s="126"/>
      <c r="P7" s="59"/>
      <c r="Q7" s="64"/>
      <c r="R7" s="117"/>
      <c r="S7" s="117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ht="28.5" customHeight="1">
      <c r="A8" s="245">
        <f t="shared" si="2"/>
        <v>4</v>
      </c>
      <c r="B8" s="272" t="s">
        <v>99</v>
      </c>
      <c r="C8" s="66"/>
      <c r="D8" s="69"/>
      <c r="E8" s="89" t="s">
        <v>80</v>
      </c>
      <c r="F8" s="283" t="s">
        <v>557</v>
      </c>
      <c r="G8" s="284" t="s">
        <v>298</v>
      </c>
      <c r="H8" s="282"/>
      <c r="I8" s="280"/>
      <c r="J8" s="281" t="s">
        <v>558</v>
      </c>
      <c r="K8" s="281" t="s">
        <v>559</v>
      </c>
      <c r="L8" s="281" t="s">
        <v>557</v>
      </c>
      <c r="M8" s="281" t="s">
        <v>560</v>
      </c>
      <c r="N8" s="142">
        <v>1.0</v>
      </c>
      <c r="O8" s="126"/>
      <c r="P8" s="201"/>
      <c r="Q8" s="64"/>
      <c r="R8" s="117"/>
      <c r="S8" s="117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9">
      <c r="A9" s="245">
        <f t="shared" si="2"/>
        <v>5</v>
      </c>
      <c r="B9" s="141" t="s">
        <v>724</v>
      </c>
      <c r="C9" s="140">
        <v>5.0</v>
      </c>
      <c r="D9" s="69"/>
      <c r="E9" s="89" t="s">
        <v>96</v>
      </c>
      <c r="F9" s="63" t="s">
        <v>725</v>
      </c>
      <c r="G9" s="285" t="s">
        <v>298</v>
      </c>
      <c r="H9" s="59"/>
      <c r="I9" s="141"/>
      <c r="J9" s="235" t="s">
        <v>726</v>
      </c>
      <c r="K9" s="261" t="s">
        <v>727</v>
      </c>
      <c r="L9" s="159" t="s">
        <v>725</v>
      </c>
      <c r="M9" s="203" t="s">
        <v>728</v>
      </c>
      <c r="N9" s="142">
        <v>1.0</v>
      </c>
      <c r="O9" s="142">
        <v>1.0</v>
      </c>
      <c r="P9" s="201"/>
      <c r="Q9" s="59"/>
      <c r="R9" s="117"/>
      <c r="S9" s="117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</row>
    <row r="10" ht="30.75" customHeight="1">
      <c r="A10" s="245">
        <f t="shared" si="2"/>
        <v>6</v>
      </c>
      <c r="B10" s="141" t="s">
        <v>729</v>
      </c>
      <c r="C10" s="140">
        <v>5.0</v>
      </c>
      <c r="D10" s="69"/>
      <c r="E10" s="89" t="s">
        <v>98</v>
      </c>
      <c r="F10" s="63" t="s">
        <v>83</v>
      </c>
      <c r="G10" s="85" t="s">
        <v>158</v>
      </c>
      <c r="H10" s="286"/>
      <c r="I10" s="139"/>
      <c r="J10" s="235" t="s">
        <v>48</v>
      </c>
      <c r="K10" s="261" t="s">
        <v>159</v>
      </c>
      <c r="L10" s="148" t="s">
        <v>83</v>
      </c>
      <c r="M10" s="141" t="s">
        <v>366</v>
      </c>
      <c r="N10" s="142">
        <v>1.0</v>
      </c>
      <c r="O10" s="142">
        <v>1.0</v>
      </c>
      <c r="P10" s="201"/>
      <c r="Q10" s="59"/>
      <c r="R10" s="117"/>
      <c r="S10" s="117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</row>
    <row r="11" ht="28.5" customHeight="1">
      <c r="A11" s="245">
        <f t="shared" si="2"/>
        <v>7</v>
      </c>
      <c r="B11" s="272" t="s">
        <v>730</v>
      </c>
      <c r="C11" s="154">
        <v>5.0</v>
      </c>
      <c r="D11" s="69"/>
      <c r="E11" s="89" t="s">
        <v>98</v>
      </c>
      <c r="F11" s="59" t="s">
        <v>731</v>
      </c>
      <c r="G11" s="59" t="s">
        <v>732</v>
      </c>
      <c r="H11" s="59"/>
      <c r="I11" s="141"/>
      <c r="J11" s="141" t="s">
        <v>733</v>
      </c>
      <c r="K11" s="223" t="s">
        <v>734</v>
      </c>
      <c r="L11" s="141" t="s">
        <v>731</v>
      </c>
      <c r="M11" s="141" t="s">
        <v>735</v>
      </c>
      <c r="N11" s="142">
        <v>1.0</v>
      </c>
      <c r="O11" s="142"/>
      <c r="P11" s="59" t="s">
        <v>736</v>
      </c>
      <c r="Q11" s="59"/>
      <c r="R11" s="117"/>
      <c r="S11" s="117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</row>
    <row r="12" ht="30.75" customHeight="1">
      <c r="A12" s="245">
        <f t="shared" si="2"/>
        <v>8</v>
      </c>
      <c r="B12" s="272" t="s">
        <v>100</v>
      </c>
      <c r="C12" s="66"/>
      <c r="D12" s="69"/>
      <c r="E12" s="89" t="s">
        <v>101</v>
      </c>
      <c r="F12" s="59" t="s">
        <v>83</v>
      </c>
      <c r="G12" s="59" t="s">
        <v>158</v>
      </c>
      <c r="H12" s="85"/>
      <c r="I12" s="141"/>
      <c r="J12" s="141" t="s">
        <v>28</v>
      </c>
      <c r="K12" s="223" t="s">
        <v>159</v>
      </c>
      <c r="L12" s="148" t="s">
        <v>83</v>
      </c>
      <c r="M12" s="141" t="s">
        <v>366</v>
      </c>
      <c r="N12" s="142">
        <v>1.0</v>
      </c>
      <c r="O12" s="126"/>
      <c r="P12" s="59"/>
      <c r="Q12" s="59"/>
      <c r="R12" s="117"/>
      <c r="S12" s="117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</row>
    <row r="13" ht="45.75" customHeight="1">
      <c r="A13" s="245">
        <f t="shared" si="2"/>
        <v>9</v>
      </c>
      <c r="B13" s="272" t="s">
        <v>737</v>
      </c>
      <c r="C13" s="154">
        <v>5.0</v>
      </c>
      <c r="D13" s="69"/>
      <c r="E13" s="89" t="s">
        <v>98</v>
      </c>
      <c r="F13" s="59" t="s">
        <v>738</v>
      </c>
      <c r="G13" s="85" t="s">
        <v>739</v>
      </c>
      <c r="H13" s="85"/>
      <c r="I13" s="141"/>
      <c r="J13" s="141" t="s">
        <v>740</v>
      </c>
      <c r="K13" s="266" t="s">
        <v>741</v>
      </c>
      <c r="L13" s="287" t="s">
        <v>742</v>
      </c>
      <c r="M13" s="141" t="s">
        <v>743</v>
      </c>
      <c r="N13" s="142">
        <v>1.0</v>
      </c>
      <c r="O13" s="142"/>
      <c r="P13" s="59" t="s">
        <v>167</v>
      </c>
      <c r="Q13" s="59" t="s">
        <v>744</v>
      </c>
      <c r="R13" s="273" t="s">
        <v>745</v>
      </c>
      <c r="S13" s="146" t="s">
        <v>746</v>
      </c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</row>
    <row r="14" ht="42.75" customHeight="1">
      <c r="A14" s="245">
        <f t="shared" si="2"/>
        <v>10</v>
      </c>
      <c r="B14" s="272" t="s">
        <v>102</v>
      </c>
      <c r="C14" s="66"/>
      <c r="D14" s="69"/>
      <c r="E14" s="89" t="s">
        <v>33</v>
      </c>
      <c r="F14" s="59" t="s">
        <v>747</v>
      </c>
      <c r="G14" s="59" t="s">
        <v>748</v>
      </c>
      <c r="H14" s="85"/>
      <c r="I14" s="141"/>
      <c r="J14" s="141" t="s">
        <v>749</v>
      </c>
      <c r="K14" s="223" t="s">
        <v>750</v>
      </c>
      <c r="L14" s="141" t="s">
        <v>751</v>
      </c>
      <c r="M14" s="141" t="s">
        <v>752</v>
      </c>
      <c r="N14" s="142">
        <v>1.0</v>
      </c>
      <c r="O14" s="126"/>
      <c r="P14" s="59"/>
      <c r="Q14" s="64"/>
      <c r="R14" s="117"/>
      <c r="S14" s="117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</row>
    <row r="15" ht="54.75" customHeight="1">
      <c r="A15" s="245">
        <f t="shared" si="2"/>
        <v>11</v>
      </c>
      <c r="B15" s="141" t="s">
        <v>103</v>
      </c>
      <c r="C15" s="140">
        <v>5.0</v>
      </c>
      <c r="D15" s="69"/>
      <c r="E15" s="89" t="s">
        <v>96</v>
      </c>
      <c r="F15" s="288" t="s">
        <v>753</v>
      </c>
      <c r="G15" s="288" t="s">
        <v>754</v>
      </c>
      <c r="H15" s="289"/>
      <c r="I15" s="139"/>
      <c r="J15" s="141" t="s">
        <v>755</v>
      </c>
      <c r="K15" s="147" t="s">
        <v>756</v>
      </c>
      <c r="L15" s="242" t="s">
        <v>757</v>
      </c>
      <c r="M15" s="141" t="s">
        <v>758</v>
      </c>
      <c r="N15" s="142">
        <v>1.0</v>
      </c>
      <c r="O15" s="142">
        <v>1.0</v>
      </c>
      <c r="P15" s="59"/>
      <c r="Q15" s="59"/>
      <c r="R15" s="273" t="s">
        <v>759</v>
      </c>
      <c r="S15" s="146" t="s">
        <v>760</v>
      </c>
      <c r="T15" s="180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</row>
    <row r="16">
      <c r="A16" s="245">
        <f t="shared" si="2"/>
        <v>12</v>
      </c>
      <c r="B16" s="141" t="s">
        <v>761</v>
      </c>
      <c r="C16" s="140">
        <v>5.0</v>
      </c>
      <c r="D16" s="69"/>
      <c r="E16" s="89" t="s">
        <v>98</v>
      </c>
      <c r="F16" s="85" t="s">
        <v>83</v>
      </c>
      <c r="G16" s="59" t="s">
        <v>158</v>
      </c>
      <c r="H16" s="68"/>
      <c r="I16" s="194"/>
      <c r="J16" s="141" t="s">
        <v>48</v>
      </c>
      <c r="K16" s="147" t="s">
        <v>159</v>
      </c>
      <c r="L16" s="148" t="s">
        <v>83</v>
      </c>
      <c r="M16" s="141" t="s">
        <v>366</v>
      </c>
      <c r="N16" s="142">
        <v>1.0</v>
      </c>
      <c r="O16" s="142">
        <v>1.0</v>
      </c>
      <c r="P16" s="59"/>
      <c r="Q16" s="59"/>
      <c r="R16" s="117"/>
      <c r="S16" s="117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</row>
    <row r="17" ht="30.75" customHeight="1">
      <c r="A17" s="245">
        <f t="shared" si="2"/>
        <v>13</v>
      </c>
      <c r="B17" s="272" t="s">
        <v>762</v>
      </c>
      <c r="C17" s="66"/>
      <c r="D17" s="69"/>
      <c r="E17" s="89" t="s">
        <v>98</v>
      </c>
      <c r="F17" s="85" t="s">
        <v>504</v>
      </c>
      <c r="G17" s="59" t="s">
        <v>505</v>
      </c>
      <c r="H17" s="72"/>
      <c r="I17" s="139"/>
      <c r="J17" s="141" t="s">
        <v>506</v>
      </c>
      <c r="K17" s="147" t="s">
        <v>507</v>
      </c>
      <c r="L17" s="242" t="s">
        <v>504</v>
      </c>
      <c r="M17" s="141" t="s">
        <v>508</v>
      </c>
      <c r="N17" s="142">
        <v>1.0</v>
      </c>
      <c r="O17" s="126"/>
      <c r="P17" s="59"/>
      <c r="Q17" s="59"/>
      <c r="R17" s="117"/>
      <c r="S17" s="117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</row>
    <row r="18" ht="39.0" customHeight="1">
      <c r="A18" s="245">
        <f t="shared" si="2"/>
        <v>14</v>
      </c>
      <c r="B18" s="141" t="s">
        <v>763</v>
      </c>
      <c r="C18" s="140">
        <v>5.0</v>
      </c>
      <c r="D18" s="69"/>
      <c r="E18" s="89" t="s">
        <v>26</v>
      </c>
      <c r="F18" s="85" t="s">
        <v>83</v>
      </c>
      <c r="G18" s="85" t="s">
        <v>158</v>
      </c>
      <c r="H18" s="290"/>
      <c r="I18" s="200"/>
      <c r="J18" s="157" t="s">
        <v>48</v>
      </c>
      <c r="K18" s="147" t="s">
        <v>159</v>
      </c>
      <c r="L18" s="148" t="s">
        <v>83</v>
      </c>
      <c r="M18" s="141" t="s">
        <v>366</v>
      </c>
      <c r="N18" s="142">
        <v>1.0</v>
      </c>
      <c r="O18" s="142">
        <v>1.0</v>
      </c>
      <c r="P18" s="59"/>
      <c r="Q18" s="59"/>
      <c r="R18" s="117"/>
      <c r="S18" s="117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</row>
    <row r="19" ht="34.5" customHeight="1">
      <c r="A19" s="245">
        <f t="shared" si="2"/>
        <v>15</v>
      </c>
      <c r="B19" s="272" t="s">
        <v>104</v>
      </c>
      <c r="C19" s="66"/>
      <c r="D19" s="69"/>
      <c r="E19" s="89" t="s">
        <v>96</v>
      </c>
      <c r="F19" s="291" t="s">
        <v>764</v>
      </c>
      <c r="G19" s="59" t="s">
        <v>765</v>
      </c>
      <c r="H19" s="290"/>
      <c r="I19" s="200"/>
      <c r="J19" s="157" t="s">
        <v>766</v>
      </c>
      <c r="K19" s="147" t="s">
        <v>767</v>
      </c>
      <c r="L19" s="242" t="s">
        <v>764</v>
      </c>
      <c r="M19" s="147" t="s">
        <v>371</v>
      </c>
      <c r="N19" s="142">
        <v>1.0</v>
      </c>
      <c r="O19" s="126"/>
      <c r="P19" s="59"/>
      <c r="Q19" s="59"/>
      <c r="R19" s="117"/>
      <c r="S19" s="117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</row>
    <row r="20" ht="42.0" customHeight="1">
      <c r="A20" s="245">
        <f t="shared" si="2"/>
        <v>16</v>
      </c>
      <c r="B20" s="272" t="s">
        <v>768</v>
      </c>
      <c r="C20" s="66"/>
      <c r="D20" s="69"/>
      <c r="E20" s="89" t="s">
        <v>98</v>
      </c>
      <c r="F20" s="85" t="s">
        <v>557</v>
      </c>
      <c r="G20" s="59" t="s">
        <v>298</v>
      </c>
      <c r="H20" s="272"/>
      <c r="I20" s="292"/>
      <c r="J20" s="292" t="s">
        <v>558</v>
      </c>
      <c r="K20" s="147" t="s">
        <v>559</v>
      </c>
      <c r="L20" s="292" t="s">
        <v>557</v>
      </c>
      <c r="M20" s="292" t="s">
        <v>560</v>
      </c>
      <c r="N20" s="142">
        <v>1.0</v>
      </c>
      <c r="O20" s="293"/>
      <c r="P20" s="201" t="s">
        <v>769</v>
      </c>
      <c r="Q20" s="59"/>
      <c r="R20" s="117"/>
      <c r="S20" s="117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</row>
    <row r="21" ht="73.5" customHeight="1">
      <c r="A21" s="245">
        <f t="shared" si="2"/>
        <v>17</v>
      </c>
      <c r="B21" s="60" t="s">
        <v>107</v>
      </c>
      <c r="C21" s="66"/>
      <c r="D21" s="69"/>
      <c r="E21" s="73" t="s">
        <v>108</v>
      </c>
      <c r="F21" s="85" t="s">
        <v>109</v>
      </c>
      <c r="G21" s="59" t="s">
        <v>739</v>
      </c>
      <c r="H21" s="272"/>
      <c r="I21" s="292"/>
      <c r="J21" s="292" t="s">
        <v>46</v>
      </c>
      <c r="K21" s="147" t="s">
        <v>770</v>
      </c>
      <c r="L21" s="292" t="s">
        <v>109</v>
      </c>
      <c r="M21" s="292" t="s">
        <v>771</v>
      </c>
      <c r="N21" s="142">
        <v>1.0</v>
      </c>
      <c r="O21" s="126"/>
      <c r="P21" s="59"/>
      <c r="Q21" s="59"/>
      <c r="R21" s="117"/>
      <c r="S21" s="117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</row>
    <row r="22" ht="33.0" customHeight="1">
      <c r="A22" s="245">
        <f t="shared" si="2"/>
        <v>18</v>
      </c>
      <c r="B22" s="141" t="s">
        <v>772</v>
      </c>
      <c r="C22" s="140">
        <v>5.0</v>
      </c>
      <c r="D22" s="69"/>
      <c r="E22" s="73" t="s">
        <v>24</v>
      </c>
      <c r="F22" s="85" t="s">
        <v>293</v>
      </c>
      <c r="G22" s="59" t="s">
        <v>163</v>
      </c>
      <c r="H22" s="272"/>
      <c r="I22" s="292"/>
      <c r="J22" s="292" t="s">
        <v>291</v>
      </c>
      <c r="K22" s="147" t="s">
        <v>292</v>
      </c>
      <c r="L22" s="292" t="s">
        <v>293</v>
      </c>
      <c r="M22" s="292" t="s">
        <v>294</v>
      </c>
      <c r="N22" s="142">
        <v>1.0</v>
      </c>
      <c r="O22" s="142">
        <v>1.0</v>
      </c>
      <c r="P22" s="201"/>
      <c r="Q22" s="59"/>
      <c r="R22" s="117"/>
      <c r="S22" s="117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</row>
    <row r="23" ht="34.5" customHeight="1">
      <c r="A23" s="245">
        <f t="shared" si="2"/>
        <v>19</v>
      </c>
      <c r="B23" s="294" t="s">
        <v>773</v>
      </c>
      <c r="C23" s="295"/>
      <c r="D23" s="296"/>
      <c r="E23" s="294" t="s">
        <v>96</v>
      </c>
      <c r="F23" s="294"/>
      <c r="G23" s="294"/>
      <c r="H23" s="294"/>
      <c r="I23" s="294"/>
      <c r="J23" s="294" t="s">
        <v>774</v>
      </c>
      <c r="K23" s="297" t="s">
        <v>775</v>
      </c>
      <c r="L23" s="197" t="s">
        <v>776</v>
      </c>
      <c r="M23" s="197" t="s">
        <v>777</v>
      </c>
      <c r="N23" s="298"/>
      <c r="O23" s="298"/>
      <c r="P23" s="299" t="s">
        <v>778</v>
      </c>
      <c r="Q23" s="59"/>
      <c r="R23" s="117"/>
      <c r="S23" s="117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</row>
    <row r="24" ht="22.5" customHeight="1">
      <c r="A24" s="162">
        <v>46152.0</v>
      </c>
      <c r="B24" s="163" t="s">
        <v>126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64"/>
      <c r="O24" s="161"/>
      <c r="P24" s="118"/>
      <c r="Q24" s="118"/>
      <c r="R24" s="117"/>
      <c r="S24" s="117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64"/>
      <c r="O25" s="161"/>
      <c r="P25" s="118"/>
      <c r="Q25" s="118"/>
      <c r="R25" s="117"/>
      <c r="S25" s="117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64"/>
      <c r="O26" s="161"/>
      <c r="P26" s="118"/>
      <c r="Q26" s="118"/>
      <c r="R26" s="117"/>
      <c r="S26" s="117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64"/>
      <c r="O27" s="161"/>
      <c r="P27" s="118"/>
      <c r="Q27" s="118"/>
      <c r="R27" s="117"/>
      <c r="S27" s="117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64"/>
      <c r="O28" s="161"/>
      <c r="P28" s="118"/>
      <c r="Q28" s="118"/>
      <c r="R28" s="117"/>
      <c r="S28" s="117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64"/>
      <c r="O29" s="161"/>
      <c r="P29" s="118"/>
      <c r="Q29" s="118"/>
      <c r="R29" s="117"/>
      <c r="S29" s="117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64"/>
      <c r="O30" s="161"/>
      <c r="P30" s="118"/>
      <c r="Q30" s="118"/>
      <c r="R30" s="117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64"/>
      <c r="O31" s="161"/>
      <c r="P31" s="118"/>
      <c r="Q31" s="118"/>
      <c r="R31" s="117"/>
      <c r="S31" s="117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64"/>
      <c r="O32" s="161"/>
      <c r="P32" s="118"/>
      <c r="Q32" s="118"/>
      <c r="R32" s="117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64"/>
      <c r="O33" s="161"/>
      <c r="P33" s="118"/>
      <c r="Q33" s="118"/>
      <c r="R33" s="117"/>
      <c r="S33" s="117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64"/>
      <c r="O34" s="161"/>
      <c r="P34" s="118"/>
      <c r="Q34" s="118"/>
      <c r="R34" s="117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64"/>
      <c r="O35" s="161"/>
      <c r="P35" s="118"/>
      <c r="Q35" s="118"/>
      <c r="R35" s="117"/>
      <c r="S35" s="117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64"/>
      <c r="O36" s="161"/>
      <c r="P36" s="118"/>
      <c r="Q36" s="118"/>
      <c r="R36" s="117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64"/>
      <c r="O37" s="161"/>
      <c r="P37" s="118"/>
      <c r="Q37" s="118"/>
      <c r="R37" s="117"/>
      <c r="S37" s="117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64"/>
      <c r="O38" s="161"/>
      <c r="P38" s="118"/>
      <c r="Q38" s="118"/>
      <c r="R38" s="117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64"/>
      <c r="O39" s="161"/>
      <c r="P39" s="118"/>
      <c r="Q39" s="118"/>
      <c r="R39" s="117"/>
      <c r="S39" s="117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64"/>
      <c r="O40" s="161"/>
      <c r="P40" s="118"/>
      <c r="Q40" s="118"/>
      <c r="R40" s="117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64"/>
      <c r="O41" s="161"/>
      <c r="P41" s="118"/>
      <c r="Q41" s="118"/>
      <c r="R41" s="117"/>
      <c r="S41" s="117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64"/>
      <c r="O42" s="161"/>
      <c r="P42" s="118"/>
      <c r="Q42" s="118"/>
      <c r="R42" s="117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64"/>
      <c r="O43" s="161"/>
      <c r="P43" s="118"/>
      <c r="Q43" s="118"/>
      <c r="R43" s="117"/>
      <c r="S43" s="117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64"/>
      <c r="O44" s="161"/>
      <c r="P44" s="118"/>
      <c r="Q44" s="118"/>
      <c r="R44" s="117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64"/>
      <c r="O45" s="161"/>
      <c r="P45" s="118"/>
      <c r="Q45" s="118"/>
      <c r="R45" s="117"/>
      <c r="S45" s="117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64"/>
      <c r="O46" s="161"/>
      <c r="P46" s="118"/>
      <c r="Q46" s="118"/>
      <c r="R46" s="117"/>
      <c r="S46" s="117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64"/>
      <c r="O47" s="161"/>
      <c r="P47" s="118"/>
      <c r="Q47" s="118"/>
      <c r="R47" s="117"/>
      <c r="S47" s="117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64"/>
      <c r="O48" s="161"/>
      <c r="P48" s="118"/>
      <c r="Q48" s="118"/>
      <c r="R48" s="117"/>
      <c r="S48" s="117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64"/>
      <c r="O49" s="161"/>
      <c r="P49" s="118"/>
      <c r="Q49" s="118"/>
      <c r="R49" s="117"/>
      <c r="S49" s="117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64"/>
      <c r="O50" s="161"/>
      <c r="P50" s="118"/>
      <c r="Q50" s="118"/>
      <c r="R50" s="117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64"/>
      <c r="O51" s="161"/>
      <c r="P51" s="118"/>
      <c r="Q51" s="118"/>
      <c r="R51" s="117"/>
      <c r="S51" s="117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64"/>
      <c r="O52" s="161"/>
      <c r="P52" s="118"/>
      <c r="Q52" s="118"/>
      <c r="R52" s="117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64"/>
      <c r="O53" s="161"/>
      <c r="P53" s="118"/>
      <c r="Q53" s="118"/>
      <c r="R53" s="117"/>
      <c r="S53" s="117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64"/>
      <c r="O54" s="161"/>
      <c r="P54" s="118"/>
      <c r="Q54" s="118"/>
      <c r="R54" s="117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64"/>
      <c r="O55" s="161"/>
      <c r="P55" s="118"/>
      <c r="Q55" s="118"/>
      <c r="R55" s="117"/>
      <c r="S55" s="117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64"/>
      <c r="O56" s="161"/>
      <c r="P56" s="118"/>
      <c r="Q56" s="118"/>
      <c r="R56" s="117"/>
      <c r="S56" s="117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64"/>
      <c r="O57" s="161"/>
      <c r="P57" s="118"/>
      <c r="Q57" s="118"/>
      <c r="R57" s="117"/>
      <c r="S57" s="117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64"/>
      <c r="O58" s="161"/>
      <c r="P58" s="118"/>
      <c r="Q58" s="118"/>
      <c r="R58" s="117"/>
      <c r="S58" s="117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64"/>
      <c r="O59" s="161"/>
      <c r="P59" s="118"/>
      <c r="Q59" s="118"/>
      <c r="R59" s="117"/>
      <c r="S59" s="117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64"/>
      <c r="O60" s="161"/>
      <c r="P60" s="118"/>
      <c r="Q60" s="118"/>
      <c r="R60" s="117"/>
      <c r="S60" s="117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64"/>
      <c r="O61" s="161"/>
      <c r="P61" s="118"/>
      <c r="Q61" s="118"/>
      <c r="R61" s="117"/>
      <c r="S61" s="117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64"/>
      <c r="O62" s="161"/>
      <c r="P62" s="118"/>
      <c r="Q62" s="118"/>
      <c r="R62" s="117"/>
      <c r="S62" s="117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64"/>
      <c r="O63" s="161"/>
      <c r="P63" s="118"/>
      <c r="Q63" s="118"/>
      <c r="R63" s="117"/>
      <c r="S63" s="117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64"/>
      <c r="O64" s="161"/>
      <c r="P64" s="118"/>
      <c r="Q64" s="118"/>
      <c r="R64" s="117"/>
      <c r="S64" s="117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64"/>
      <c r="O65" s="161"/>
      <c r="P65" s="118"/>
      <c r="Q65" s="118"/>
      <c r="R65" s="117"/>
      <c r="S65" s="117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64"/>
      <c r="O66" s="161"/>
      <c r="P66" s="118"/>
      <c r="Q66" s="118"/>
      <c r="R66" s="117"/>
      <c r="S66" s="117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64"/>
      <c r="O67" s="161"/>
      <c r="P67" s="118"/>
      <c r="Q67" s="118"/>
      <c r="R67" s="117"/>
      <c r="S67" s="117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64"/>
      <c r="O68" s="161"/>
      <c r="P68" s="118"/>
      <c r="Q68" s="118"/>
      <c r="R68" s="117"/>
      <c r="S68" s="117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64"/>
      <c r="O69" s="161"/>
      <c r="P69" s="118"/>
      <c r="Q69" s="118"/>
      <c r="R69" s="117"/>
      <c r="S69" s="117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64"/>
      <c r="O70" s="161"/>
      <c r="P70" s="118"/>
      <c r="Q70" s="118"/>
      <c r="R70" s="117"/>
      <c r="S70" s="117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64"/>
      <c r="O71" s="161"/>
      <c r="P71" s="118"/>
      <c r="Q71" s="118"/>
      <c r="R71" s="117"/>
      <c r="S71" s="117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64"/>
      <c r="O72" s="161"/>
      <c r="P72" s="118"/>
      <c r="Q72" s="118"/>
      <c r="R72" s="117"/>
      <c r="S72" s="117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64"/>
      <c r="O73" s="161"/>
      <c r="P73" s="118"/>
      <c r="Q73" s="118"/>
      <c r="R73" s="117"/>
      <c r="S73" s="117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64"/>
      <c r="O74" s="161"/>
      <c r="P74" s="118"/>
      <c r="Q74" s="118"/>
      <c r="R74" s="117"/>
      <c r="S74" s="117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64"/>
      <c r="O75" s="161"/>
      <c r="P75" s="118"/>
      <c r="Q75" s="118"/>
      <c r="R75" s="117"/>
      <c r="S75" s="117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64"/>
      <c r="O76" s="161"/>
      <c r="P76" s="118"/>
      <c r="Q76" s="118"/>
      <c r="R76" s="117"/>
      <c r="S76" s="117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64"/>
      <c r="O77" s="161"/>
      <c r="P77" s="118"/>
      <c r="Q77" s="118"/>
      <c r="R77" s="117"/>
      <c r="S77" s="117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64"/>
      <c r="O78" s="161"/>
      <c r="P78" s="118"/>
      <c r="Q78" s="118"/>
      <c r="R78" s="117"/>
      <c r="S78" s="117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64"/>
      <c r="O79" s="161"/>
      <c r="P79" s="118"/>
      <c r="Q79" s="118"/>
      <c r="R79" s="117"/>
      <c r="S79" s="117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64"/>
      <c r="O80" s="161"/>
      <c r="P80" s="118"/>
      <c r="Q80" s="118"/>
      <c r="R80" s="117"/>
      <c r="S80" s="117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64"/>
      <c r="O81" s="161"/>
      <c r="P81" s="118"/>
      <c r="Q81" s="118"/>
      <c r="R81" s="117"/>
      <c r="S81" s="117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64"/>
      <c r="O82" s="161"/>
      <c r="P82" s="118"/>
      <c r="Q82" s="118"/>
      <c r="R82" s="117"/>
      <c r="S82" s="117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64"/>
      <c r="O83" s="161"/>
      <c r="P83" s="118"/>
      <c r="Q83" s="118"/>
      <c r="R83" s="117"/>
      <c r="S83" s="117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64"/>
      <c r="O84" s="161"/>
      <c r="P84" s="118"/>
      <c r="Q84" s="118"/>
      <c r="R84" s="117"/>
      <c r="S84" s="117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64"/>
      <c r="O85" s="161"/>
      <c r="P85" s="118"/>
      <c r="Q85" s="118"/>
      <c r="R85" s="117"/>
      <c r="S85" s="117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64"/>
      <c r="O86" s="161"/>
      <c r="P86" s="118"/>
      <c r="Q86" s="118"/>
      <c r="R86" s="117"/>
      <c r="S86" s="117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64"/>
      <c r="O87" s="161"/>
      <c r="P87" s="118"/>
      <c r="Q87" s="118"/>
      <c r="R87" s="117"/>
      <c r="S87" s="117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64"/>
      <c r="O88" s="161"/>
      <c r="P88" s="118"/>
      <c r="Q88" s="118"/>
      <c r="R88" s="117"/>
      <c r="S88" s="117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64"/>
      <c r="O89" s="161"/>
      <c r="P89" s="118"/>
      <c r="Q89" s="118"/>
      <c r="R89" s="117"/>
      <c r="S89" s="117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64"/>
      <c r="O90" s="161"/>
      <c r="P90" s="118"/>
      <c r="Q90" s="118"/>
      <c r="R90" s="117"/>
      <c r="S90" s="117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64"/>
      <c r="O91" s="161"/>
      <c r="P91" s="118"/>
      <c r="Q91" s="118"/>
      <c r="R91" s="117"/>
      <c r="S91" s="117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64"/>
      <c r="O92" s="161"/>
      <c r="P92" s="118"/>
      <c r="Q92" s="118"/>
      <c r="R92" s="117"/>
      <c r="S92" s="117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64"/>
      <c r="O93" s="161"/>
      <c r="P93" s="118"/>
      <c r="Q93" s="118"/>
      <c r="R93" s="117"/>
      <c r="S93" s="117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64"/>
      <c r="O94" s="161"/>
      <c r="P94" s="118"/>
      <c r="Q94" s="118"/>
      <c r="R94" s="117"/>
      <c r="S94" s="117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64"/>
      <c r="O95" s="161"/>
      <c r="P95" s="118"/>
      <c r="Q95" s="118"/>
      <c r="R95" s="117"/>
      <c r="S95" s="117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64"/>
      <c r="O96" s="161"/>
      <c r="P96" s="118"/>
      <c r="Q96" s="118"/>
      <c r="R96" s="117"/>
      <c r="S96" s="117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64"/>
      <c r="O97" s="161"/>
      <c r="P97" s="118"/>
      <c r="Q97" s="118"/>
      <c r="R97" s="117"/>
      <c r="S97" s="117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64"/>
      <c r="O98" s="161"/>
      <c r="P98" s="118"/>
      <c r="Q98" s="118"/>
      <c r="R98" s="117"/>
      <c r="S98" s="117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64"/>
      <c r="O99" s="161"/>
      <c r="P99" s="118"/>
      <c r="Q99" s="118"/>
      <c r="R99" s="117"/>
      <c r="S99" s="117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64"/>
      <c r="O100" s="161"/>
      <c r="P100" s="118"/>
      <c r="Q100" s="118"/>
      <c r="R100" s="117"/>
      <c r="S100" s="117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64"/>
      <c r="O101" s="161"/>
      <c r="P101" s="118"/>
      <c r="Q101" s="118"/>
      <c r="R101" s="117"/>
      <c r="S101" s="117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64"/>
      <c r="O102" s="161"/>
      <c r="P102" s="118"/>
      <c r="Q102" s="118"/>
      <c r="R102" s="117"/>
      <c r="S102" s="117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64"/>
      <c r="O103" s="161"/>
      <c r="P103" s="118"/>
      <c r="Q103" s="118"/>
      <c r="R103" s="117"/>
      <c r="S103" s="117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64"/>
      <c r="O104" s="161"/>
      <c r="P104" s="118"/>
      <c r="Q104" s="118"/>
      <c r="R104" s="117"/>
      <c r="S104" s="117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64"/>
      <c r="O105" s="161"/>
      <c r="P105" s="118"/>
      <c r="Q105" s="118"/>
      <c r="R105" s="117"/>
      <c r="S105" s="117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64"/>
      <c r="O106" s="161"/>
      <c r="P106" s="118"/>
      <c r="Q106" s="118"/>
      <c r="R106" s="117"/>
      <c r="S106" s="117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64"/>
      <c r="O107" s="161"/>
      <c r="P107" s="118"/>
      <c r="Q107" s="118"/>
      <c r="R107" s="117"/>
      <c r="S107" s="117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64"/>
      <c r="O108" s="161"/>
      <c r="P108" s="118"/>
      <c r="Q108" s="118"/>
      <c r="R108" s="117"/>
      <c r="S108" s="117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64"/>
      <c r="O109" s="161"/>
      <c r="P109" s="118"/>
      <c r="Q109" s="118"/>
      <c r="R109" s="117"/>
      <c r="S109" s="117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64"/>
      <c r="O110" s="161"/>
      <c r="P110" s="118"/>
      <c r="Q110" s="118"/>
      <c r="R110" s="117"/>
      <c r="S110" s="117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64"/>
      <c r="O111" s="161"/>
      <c r="P111" s="118"/>
      <c r="Q111" s="118"/>
      <c r="R111" s="117"/>
      <c r="S111" s="117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64"/>
      <c r="O112" s="161"/>
      <c r="P112" s="118"/>
      <c r="Q112" s="118"/>
      <c r="R112" s="117"/>
      <c r="S112" s="117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64"/>
      <c r="O113" s="161"/>
      <c r="P113" s="118"/>
      <c r="Q113" s="118"/>
      <c r="R113" s="117"/>
      <c r="S113" s="117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64"/>
      <c r="O114" s="161"/>
      <c r="P114" s="118"/>
      <c r="Q114" s="118"/>
      <c r="R114" s="117"/>
      <c r="S114" s="117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64"/>
      <c r="O115" s="161"/>
      <c r="P115" s="118"/>
      <c r="Q115" s="118"/>
      <c r="R115" s="117"/>
      <c r="S115" s="117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64"/>
      <c r="O116" s="161"/>
      <c r="P116" s="118"/>
      <c r="Q116" s="118"/>
      <c r="R116" s="117"/>
      <c r="S116" s="117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64"/>
      <c r="O117" s="161"/>
      <c r="P117" s="118"/>
      <c r="Q117" s="118"/>
      <c r="R117" s="117"/>
      <c r="S117" s="117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64"/>
      <c r="O118" s="161"/>
      <c r="P118" s="118"/>
      <c r="Q118" s="118"/>
      <c r="R118" s="117"/>
      <c r="S118" s="117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64"/>
      <c r="O119" s="161"/>
      <c r="P119" s="118"/>
      <c r="Q119" s="118"/>
      <c r="R119" s="117"/>
      <c r="S119" s="117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64"/>
      <c r="O120" s="161"/>
      <c r="P120" s="118"/>
      <c r="Q120" s="118"/>
      <c r="R120" s="117"/>
      <c r="S120" s="117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64"/>
      <c r="O121" s="161"/>
      <c r="P121" s="118"/>
      <c r="Q121" s="118"/>
      <c r="R121" s="117"/>
      <c r="S121" s="117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64"/>
      <c r="O122" s="161"/>
      <c r="P122" s="118"/>
      <c r="Q122" s="118"/>
      <c r="R122" s="117"/>
      <c r="S122" s="117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64"/>
      <c r="O123" s="161"/>
      <c r="P123" s="118"/>
      <c r="Q123" s="118"/>
      <c r="R123" s="117"/>
      <c r="S123" s="117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64"/>
      <c r="O124" s="161"/>
      <c r="P124" s="118"/>
      <c r="Q124" s="118"/>
      <c r="R124" s="117"/>
      <c r="S124" s="117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64"/>
      <c r="O125" s="161"/>
      <c r="P125" s="118"/>
      <c r="Q125" s="118"/>
      <c r="R125" s="117"/>
      <c r="S125" s="117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64"/>
      <c r="O126" s="161"/>
      <c r="P126" s="118"/>
      <c r="Q126" s="118"/>
      <c r="R126" s="117"/>
      <c r="S126" s="117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64"/>
      <c r="O127" s="161"/>
      <c r="P127" s="118"/>
      <c r="Q127" s="118"/>
      <c r="R127" s="117"/>
      <c r="S127" s="117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64"/>
      <c r="O128" s="161"/>
      <c r="P128" s="118"/>
      <c r="Q128" s="118"/>
      <c r="R128" s="117"/>
      <c r="S128" s="117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64"/>
      <c r="O129" s="161"/>
      <c r="P129" s="118"/>
      <c r="Q129" s="118"/>
      <c r="R129" s="117"/>
      <c r="S129" s="117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64"/>
      <c r="O130" s="161"/>
      <c r="P130" s="118"/>
      <c r="Q130" s="118"/>
      <c r="R130" s="117"/>
      <c r="S130" s="117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64"/>
      <c r="O131" s="161"/>
      <c r="P131" s="118"/>
      <c r="Q131" s="118"/>
      <c r="R131" s="117"/>
      <c r="S131" s="117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64"/>
      <c r="O132" s="161"/>
      <c r="P132" s="118"/>
      <c r="Q132" s="118"/>
      <c r="R132" s="117"/>
      <c r="S132" s="117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64"/>
      <c r="O133" s="161"/>
      <c r="P133" s="118"/>
      <c r="Q133" s="118"/>
      <c r="R133" s="117"/>
      <c r="S133" s="117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64"/>
      <c r="O134" s="161"/>
      <c r="P134" s="118"/>
      <c r="Q134" s="118"/>
      <c r="R134" s="117"/>
      <c r="S134" s="117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64"/>
      <c r="O135" s="161"/>
      <c r="P135" s="118"/>
      <c r="Q135" s="118"/>
      <c r="R135" s="117"/>
      <c r="S135" s="117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64"/>
      <c r="O136" s="161"/>
      <c r="P136" s="118"/>
      <c r="Q136" s="118"/>
      <c r="R136" s="117"/>
      <c r="S136" s="117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64"/>
      <c r="O137" s="161"/>
      <c r="P137" s="118"/>
      <c r="Q137" s="118"/>
      <c r="R137" s="117"/>
      <c r="S137" s="117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64"/>
      <c r="O138" s="161"/>
      <c r="P138" s="118"/>
      <c r="Q138" s="118"/>
      <c r="R138" s="117"/>
      <c r="S138" s="117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64"/>
      <c r="O139" s="161"/>
      <c r="P139" s="118"/>
      <c r="Q139" s="118"/>
      <c r="R139" s="117"/>
      <c r="S139" s="117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64"/>
      <c r="O140" s="161"/>
      <c r="P140" s="118"/>
      <c r="Q140" s="118"/>
      <c r="R140" s="117"/>
      <c r="S140" s="117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64"/>
      <c r="O141" s="161"/>
      <c r="P141" s="118"/>
      <c r="Q141" s="118"/>
      <c r="R141" s="117"/>
      <c r="S141" s="117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64"/>
      <c r="O142" s="161"/>
      <c r="P142" s="118"/>
      <c r="Q142" s="118"/>
      <c r="R142" s="117"/>
      <c r="S142" s="117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64"/>
      <c r="O143" s="161"/>
      <c r="P143" s="118"/>
      <c r="Q143" s="118"/>
      <c r="R143" s="117"/>
      <c r="S143" s="117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64"/>
      <c r="O144" s="161"/>
      <c r="P144" s="118"/>
      <c r="Q144" s="118"/>
      <c r="R144" s="117"/>
      <c r="S144" s="117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64"/>
      <c r="O145" s="161"/>
      <c r="P145" s="118"/>
      <c r="Q145" s="118"/>
      <c r="R145" s="117"/>
      <c r="S145" s="117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64"/>
      <c r="O146" s="161"/>
      <c r="P146" s="118"/>
      <c r="Q146" s="118"/>
      <c r="R146" s="117"/>
      <c r="S146" s="117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64"/>
      <c r="O147" s="161"/>
      <c r="P147" s="118"/>
      <c r="Q147" s="118"/>
      <c r="R147" s="117"/>
      <c r="S147" s="117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64"/>
      <c r="O148" s="161"/>
      <c r="P148" s="118"/>
      <c r="Q148" s="118"/>
      <c r="R148" s="117"/>
      <c r="S148" s="117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64"/>
      <c r="O149" s="161"/>
      <c r="P149" s="118"/>
      <c r="Q149" s="118"/>
      <c r="R149" s="117"/>
      <c r="S149" s="117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64"/>
      <c r="O150" s="161"/>
      <c r="P150" s="118"/>
      <c r="Q150" s="118"/>
      <c r="R150" s="117"/>
      <c r="S150" s="117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64"/>
      <c r="O151" s="161"/>
      <c r="P151" s="118"/>
      <c r="Q151" s="118"/>
      <c r="R151" s="117"/>
      <c r="S151" s="117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64"/>
      <c r="O152" s="161"/>
      <c r="P152" s="118"/>
      <c r="Q152" s="118"/>
      <c r="R152" s="117"/>
      <c r="S152" s="117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64"/>
      <c r="O153" s="161"/>
      <c r="P153" s="118"/>
      <c r="Q153" s="118"/>
      <c r="R153" s="117"/>
      <c r="S153" s="117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64"/>
      <c r="O154" s="161"/>
      <c r="P154" s="118"/>
      <c r="Q154" s="118"/>
      <c r="R154" s="117"/>
      <c r="S154" s="117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64"/>
      <c r="O155" s="161"/>
      <c r="P155" s="118"/>
      <c r="Q155" s="118"/>
      <c r="R155" s="117"/>
      <c r="S155" s="117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64"/>
      <c r="O156" s="161"/>
      <c r="P156" s="118"/>
      <c r="Q156" s="118"/>
      <c r="R156" s="117"/>
      <c r="S156" s="117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64"/>
      <c r="O157" s="161"/>
      <c r="P157" s="118"/>
      <c r="Q157" s="118"/>
      <c r="R157" s="117"/>
      <c r="S157" s="117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64"/>
      <c r="O158" s="161"/>
      <c r="P158" s="118"/>
      <c r="Q158" s="118"/>
      <c r="R158" s="117"/>
      <c r="S158" s="117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64"/>
      <c r="O159" s="161"/>
      <c r="P159" s="118"/>
      <c r="Q159" s="118"/>
      <c r="R159" s="117"/>
      <c r="S159" s="117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64"/>
      <c r="O160" s="161"/>
      <c r="P160" s="118"/>
      <c r="Q160" s="118"/>
      <c r="R160" s="117"/>
      <c r="S160" s="117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64"/>
      <c r="O161" s="161"/>
      <c r="P161" s="118"/>
      <c r="Q161" s="118"/>
      <c r="R161" s="117"/>
      <c r="S161" s="117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64"/>
      <c r="O162" s="161"/>
      <c r="P162" s="118"/>
      <c r="Q162" s="118"/>
      <c r="R162" s="117"/>
      <c r="S162" s="117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64"/>
      <c r="O163" s="161"/>
      <c r="P163" s="118"/>
      <c r="Q163" s="118"/>
      <c r="R163" s="117"/>
      <c r="S163" s="117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64"/>
      <c r="O164" s="161"/>
      <c r="P164" s="118"/>
      <c r="Q164" s="118"/>
      <c r="R164" s="117"/>
      <c r="S164" s="117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64"/>
      <c r="O165" s="161"/>
      <c r="P165" s="118"/>
      <c r="Q165" s="118"/>
      <c r="R165" s="117"/>
      <c r="S165" s="117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64"/>
      <c r="O166" s="161"/>
      <c r="P166" s="118"/>
      <c r="Q166" s="118"/>
      <c r="R166" s="117"/>
      <c r="S166" s="117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64"/>
      <c r="O167" s="161"/>
      <c r="P167" s="118"/>
      <c r="Q167" s="118"/>
      <c r="R167" s="117"/>
      <c r="S167" s="117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64"/>
      <c r="O168" s="161"/>
      <c r="P168" s="118"/>
      <c r="Q168" s="118"/>
      <c r="R168" s="117"/>
      <c r="S168" s="117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64"/>
      <c r="O169" s="161"/>
      <c r="P169" s="118"/>
      <c r="Q169" s="118"/>
      <c r="R169" s="117"/>
      <c r="S169" s="117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64"/>
      <c r="O170" s="161"/>
      <c r="P170" s="118"/>
      <c r="Q170" s="118"/>
      <c r="R170" s="117"/>
      <c r="S170" s="117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64"/>
      <c r="O171" s="161"/>
      <c r="P171" s="118"/>
      <c r="Q171" s="118"/>
      <c r="R171" s="117"/>
      <c r="S171" s="117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64"/>
      <c r="O172" s="161"/>
      <c r="P172" s="118"/>
      <c r="Q172" s="118"/>
      <c r="R172" s="117"/>
      <c r="S172" s="117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64"/>
      <c r="O173" s="161"/>
      <c r="P173" s="118"/>
      <c r="Q173" s="118"/>
      <c r="R173" s="117"/>
      <c r="S173" s="117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64"/>
      <c r="O174" s="161"/>
      <c r="P174" s="118"/>
      <c r="Q174" s="118"/>
      <c r="R174" s="117"/>
      <c r="S174" s="117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64"/>
      <c r="O175" s="161"/>
      <c r="P175" s="118"/>
      <c r="Q175" s="118"/>
      <c r="R175" s="117"/>
      <c r="S175" s="117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64"/>
      <c r="O176" s="161"/>
      <c r="P176" s="118"/>
      <c r="Q176" s="118"/>
      <c r="R176" s="117"/>
      <c r="S176" s="117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64"/>
      <c r="O177" s="161"/>
      <c r="P177" s="118"/>
      <c r="Q177" s="118"/>
      <c r="R177" s="117"/>
      <c r="S177" s="117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64"/>
      <c r="O178" s="161"/>
      <c r="P178" s="118"/>
      <c r="Q178" s="118"/>
      <c r="R178" s="117"/>
      <c r="S178" s="117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64"/>
      <c r="O179" s="161"/>
      <c r="P179" s="118"/>
      <c r="Q179" s="118"/>
      <c r="R179" s="117"/>
      <c r="S179" s="117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64"/>
      <c r="O180" s="161"/>
      <c r="P180" s="118"/>
      <c r="Q180" s="118"/>
      <c r="R180" s="117"/>
      <c r="S180" s="117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64"/>
      <c r="O181" s="161"/>
      <c r="P181" s="118"/>
      <c r="Q181" s="118"/>
      <c r="R181" s="117"/>
      <c r="S181" s="117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64"/>
      <c r="O182" s="161"/>
      <c r="P182" s="118"/>
      <c r="Q182" s="118"/>
      <c r="R182" s="117"/>
      <c r="S182" s="117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64"/>
      <c r="O183" s="161"/>
      <c r="P183" s="118"/>
      <c r="Q183" s="118"/>
      <c r="R183" s="117"/>
      <c r="S183" s="117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64"/>
      <c r="O184" s="161"/>
      <c r="P184" s="118"/>
      <c r="Q184" s="118"/>
      <c r="R184" s="117"/>
      <c r="S184" s="117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64"/>
      <c r="O185" s="161"/>
      <c r="P185" s="118"/>
      <c r="Q185" s="118"/>
      <c r="R185" s="117"/>
      <c r="S185" s="117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64"/>
      <c r="O186" s="161"/>
      <c r="P186" s="118"/>
      <c r="Q186" s="118"/>
      <c r="R186" s="117"/>
      <c r="S186" s="117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64"/>
      <c r="O187" s="161"/>
      <c r="P187" s="118"/>
      <c r="Q187" s="118"/>
      <c r="R187" s="117"/>
      <c r="S187" s="117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64"/>
      <c r="O188" s="161"/>
      <c r="P188" s="118"/>
      <c r="Q188" s="118"/>
      <c r="R188" s="117"/>
      <c r="S188" s="117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64"/>
      <c r="O189" s="161"/>
      <c r="P189" s="118"/>
      <c r="Q189" s="118"/>
      <c r="R189" s="117"/>
      <c r="S189" s="117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64"/>
      <c r="O190" s="161"/>
      <c r="P190" s="118"/>
      <c r="Q190" s="118"/>
      <c r="R190" s="117"/>
      <c r="S190" s="117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64"/>
      <c r="O191" s="161"/>
      <c r="P191" s="118"/>
      <c r="Q191" s="118"/>
      <c r="R191" s="117"/>
      <c r="S191" s="117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64"/>
      <c r="O192" s="161"/>
      <c r="P192" s="118"/>
      <c r="Q192" s="118"/>
      <c r="R192" s="117"/>
      <c r="S192" s="117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64"/>
      <c r="O193" s="161"/>
      <c r="P193" s="118"/>
      <c r="Q193" s="118"/>
      <c r="R193" s="117"/>
      <c r="S193" s="117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64"/>
      <c r="O194" s="161"/>
      <c r="P194" s="118"/>
      <c r="Q194" s="118"/>
      <c r="R194" s="117"/>
      <c r="S194" s="117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64"/>
      <c r="O195" s="161"/>
      <c r="P195" s="118"/>
      <c r="Q195" s="118"/>
      <c r="R195" s="117"/>
      <c r="S195" s="117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64"/>
      <c r="O196" s="161"/>
      <c r="P196" s="118"/>
      <c r="Q196" s="118"/>
      <c r="R196" s="117"/>
      <c r="S196" s="117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64"/>
      <c r="O197" s="161"/>
      <c r="P197" s="118"/>
      <c r="Q197" s="118"/>
      <c r="R197" s="117"/>
      <c r="S197" s="117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64"/>
      <c r="O198" s="161"/>
      <c r="P198" s="118"/>
      <c r="Q198" s="118"/>
      <c r="R198" s="117"/>
      <c r="S198" s="117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64"/>
      <c r="O199" s="161"/>
      <c r="P199" s="118"/>
      <c r="Q199" s="118"/>
      <c r="R199" s="117"/>
      <c r="S199" s="117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64"/>
      <c r="O200" s="161"/>
      <c r="P200" s="118"/>
      <c r="Q200" s="118"/>
      <c r="R200" s="117"/>
      <c r="S200" s="117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64"/>
      <c r="O201" s="161"/>
      <c r="P201" s="118"/>
      <c r="Q201" s="118"/>
      <c r="R201" s="117"/>
      <c r="S201" s="117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64"/>
      <c r="O202" s="161"/>
      <c r="P202" s="118"/>
      <c r="Q202" s="118"/>
      <c r="R202" s="117"/>
      <c r="S202" s="117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64"/>
      <c r="O203" s="161"/>
      <c r="P203" s="118"/>
      <c r="Q203" s="118"/>
      <c r="R203" s="117"/>
      <c r="S203" s="117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64"/>
      <c r="O204" s="161"/>
      <c r="P204" s="118"/>
      <c r="Q204" s="118"/>
      <c r="R204" s="117"/>
      <c r="S204" s="117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64"/>
      <c r="O205" s="161"/>
      <c r="P205" s="118"/>
      <c r="Q205" s="118"/>
      <c r="R205" s="117"/>
      <c r="S205" s="117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64"/>
      <c r="O206" s="161"/>
      <c r="P206" s="118"/>
      <c r="Q206" s="118"/>
      <c r="R206" s="117"/>
      <c r="S206" s="117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64"/>
      <c r="O207" s="161"/>
      <c r="P207" s="118"/>
      <c r="Q207" s="118"/>
      <c r="R207" s="117"/>
      <c r="S207" s="117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64"/>
      <c r="O208" s="161"/>
      <c r="P208" s="118"/>
      <c r="Q208" s="118"/>
      <c r="R208" s="117"/>
      <c r="S208" s="117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64"/>
      <c r="O209" s="161"/>
      <c r="P209" s="118"/>
      <c r="Q209" s="118"/>
      <c r="R209" s="117"/>
      <c r="S209" s="117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64"/>
      <c r="O210" s="161"/>
      <c r="P210" s="118"/>
      <c r="Q210" s="118"/>
      <c r="R210" s="117"/>
      <c r="S210" s="117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64"/>
      <c r="O211" s="161"/>
      <c r="P211" s="118"/>
      <c r="Q211" s="118"/>
      <c r="R211" s="117"/>
      <c r="S211" s="117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64"/>
      <c r="O212" s="161"/>
      <c r="P212" s="118"/>
      <c r="Q212" s="118"/>
      <c r="R212" s="117"/>
      <c r="S212" s="117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64"/>
      <c r="O213" s="161"/>
      <c r="P213" s="118"/>
      <c r="Q213" s="118"/>
      <c r="R213" s="117"/>
      <c r="S213" s="117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64"/>
      <c r="O214" s="161"/>
      <c r="P214" s="118"/>
      <c r="Q214" s="118"/>
      <c r="R214" s="117"/>
      <c r="S214" s="117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64"/>
      <c r="O215" s="161"/>
      <c r="P215" s="118"/>
      <c r="Q215" s="118"/>
      <c r="R215" s="117"/>
      <c r="S215" s="117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64"/>
      <c r="O216" s="161"/>
      <c r="P216" s="118"/>
      <c r="Q216" s="118"/>
      <c r="R216" s="117"/>
      <c r="S216" s="117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64"/>
      <c r="O217" s="161"/>
      <c r="P217" s="118"/>
      <c r="Q217" s="118"/>
      <c r="R217" s="117"/>
      <c r="S217" s="117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64"/>
      <c r="O218" s="161"/>
      <c r="P218" s="118"/>
      <c r="Q218" s="118"/>
      <c r="R218" s="117"/>
      <c r="S218" s="117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64"/>
      <c r="O219" s="161"/>
      <c r="P219" s="118"/>
      <c r="Q219" s="118"/>
      <c r="R219" s="117"/>
      <c r="S219" s="117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64"/>
      <c r="O220" s="161"/>
      <c r="P220" s="118"/>
      <c r="Q220" s="118"/>
      <c r="R220" s="117"/>
      <c r="S220" s="117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64"/>
      <c r="O221" s="161"/>
      <c r="P221" s="118"/>
      <c r="Q221" s="118"/>
      <c r="R221" s="117"/>
      <c r="S221" s="117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64"/>
      <c r="O222" s="161"/>
      <c r="P222" s="118"/>
      <c r="Q222" s="118"/>
      <c r="R222" s="117"/>
      <c r="S222" s="117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64"/>
      <c r="O223" s="161"/>
      <c r="P223" s="118"/>
      <c r="Q223" s="118"/>
      <c r="R223" s="117"/>
      <c r="S223" s="117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64"/>
      <c r="O224" s="161"/>
      <c r="P224" s="118"/>
      <c r="Q224" s="118"/>
      <c r="R224" s="117"/>
      <c r="S224" s="117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64"/>
      <c r="O225" s="161"/>
      <c r="P225" s="118"/>
      <c r="Q225" s="118"/>
      <c r="R225" s="117"/>
      <c r="S225" s="117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64"/>
      <c r="O226" s="161"/>
      <c r="P226" s="118"/>
      <c r="Q226" s="118"/>
      <c r="R226" s="117"/>
      <c r="S226" s="117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64"/>
      <c r="O227" s="161"/>
      <c r="P227" s="118"/>
      <c r="Q227" s="118"/>
      <c r="R227" s="117"/>
      <c r="S227" s="117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64"/>
      <c r="O228" s="161"/>
      <c r="P228" s="118"/>
      <c r="Q228" s="118"/>
      <c r="R228" s="117"/>
      <c r="S228" s="117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64"/>
      <c r="O229" s="161"/>
      <c r="P229" s="118"/>
      <c r="Q229" s="118"/>
      <c r="R229" s="117"/>
      <c r="S229" s="117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64"/>
      <c r="O230" s="161"/>
      <c r="P230" s="118"/>
      <c r="Q230" s="118"/>
      <c r="R230" s="117"/>
      <c r="S230" s="117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64"/>
      <c r="O231" s="161"/>
      <c r="P231" s="118"/>
      <c r="Q231" s="118"/>
      <c r="R231" s="117"/>
      <c r="S231" s="117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64"/>
      <c r="O232" s="161"/>
      <c r="P232" s="118"/>
      <c r="Q232" s="118"/>
      <c r="R232" s="117"/>
      <c r="S232" s="117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64"/>
      <c r="O233" s="161"/>
      <c r="P233" s="118"/>
      <c r="Q233" s="118"/>
      <c r="R233" s="117"/>
      <c r="S233" s="117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64"/>
      <c r="O234" s="161"/>
      <c r="P234" s="118"/>
      <c r="Q234" s="118"/>
      <c r="R234" s="117"/>
      <c r="S234" s="117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64"/>
      <c r="O235" s="161"/>
      <c r="P235" s="118"/>
      <c r="Q235" s="118"/>
      <c r="R235" s="117"/>
      <c r="S235" s="117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64"/>
      <c r="O236" s="161"/>
      <c r="P236" s="118"/>
      <c r="Q236" s="118"/>
      <c r="R236" s="117"/>
      <c r="S236" s="117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64"/>
      <c r="O237" s="161"/>
      <c r="P237" s="118"/>
      <c r="Q237" s="118"/>
      <c r="R237" s="117"/>
      <c r="S237" s="117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64"/>
      <c r="O238" s="161"/>
      <c r="P238" s="118"/>
      <c r="Q238" s="118"/>
      <c r="R238" s="117"/>
      <c r="S238" s="117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64"/>
      <c r="O239" s="161"/>
      <c r="P239" s="118"/>
      <c r="Q239" s="118"/>
      <c r="R239" s="117"/>
      <c r="S239" s="117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64"/>
      <c r="O240" s="161"/>
      <c r="P240" s="118"/>
      <c r="Q240" s="118"/>
      <c r="R240" s="117"/>
      <c r="S240" s="117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64"/>
      <c r="O241" s="161"/>
      <c r="P241" s="118"/>
      <c r="Q241" s="118"/>
      <c r="R241" s="117"/>
      <c r="S241" s="117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64"/>
      <c r="O242" s="161"/>
      <c r="P242" s="118"/>
      <c r="Q242" s="118"/>
      <c r="R242" s="117"/>
      <c r="S242" s="117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64"/>
      <c r="O243" s="161"/>
      <c r="P243" s="118"/>
      <c r="Q243" s="118"/>
      <c r="R243" s="117"/>
      <c r="S243" s="117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64"/>
      <c r="O244" s="161"/>
      <c r="P244" s="118"/>
      <c r="Q244" s="118"/>
      <c r="R244" s="117"/>
      <c r="S244" s="117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64"/>
      <c r="O245" s="161"/>
      <c r="P245" s="118"/>
      <c r="Q245" s="118"/>
      <c r="R245" s="117"/>
      <c r="S245" s="117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/>
      <c r="AR245" s="118"/>
      <c r="AS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64"/>
      <c r="O246" s="161"/>
      <c r="P246" s="118"/>
      <c r="Q246" s="118"/>
      <c r="R246" s="117"/>
      <c r="S246" s="117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64"/>
      <c r="O247" s="161"/>
      <c r="P247" s="118"/>
      <c r="Q247" s="118"/>
      <c r="R247" s="117"/>
      <c r="S247" s="117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64"/>
      <c r="O248" s="161"/>
      <c r="P248" s="118"/>
      <c r="Q248" s="118"/>
      <c r="R248" s="117"/>
      <c r="S248" s="117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64"/>
      <c r="O249" s="161"/>
      <c r="P249" s="118"/>
      <c r="Q249" s="118"/>
      <c r="R249" s="117"/>
      <c r="S249" s="117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AQ249" s="118"/>
      <c r="AR249" s="118"/>
      <c r="AS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64"/>
      <c r="O250" s="161"/>
      <c r="P250" s="118"/>
      <c r="Q250" s="118"/>
      <c r="R250" s="117"/>
      <c r="S250" s="117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64"/>
      <c r="O251" s="161"/>
      <c r="P251" s="118"/>
      <c r="Q251" s="118"/>
      <c r="R251" s="117"/>
      <c r="S251" s="117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/>
      <c r="AS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64"/>
      <c r="O252" s="161"/>
      <c r="P252" s="118"/>
      <c r="Q252" s="118"/>
      <c r="R252" s="117"/>
      <c r="S252" s="117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AQ252" s="118"/>
      <c r="AR252" s="118"/>
      <c r="AS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64"/>
      <c r="O253" s="161"/>
      <c r="P253" s="118"/>
      <c r="Q253" s="118"/>
      <c r="R253" s="117"/>
      <c r="S253" s="117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64"/>
      <c r="O254" s="161"/>
      <c r="P254" s="118"/>
      <c r="Q254" s="118"/>
      <c r="R254" s="117"/>
      <c r="S254" s="117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64"/>
      <c r="O255" s="161"/>
      <c r="P255" s="118"/>
      <c r="Q255" s="118"/>
      <c r="R255" s="117"/>
      <c r="S255" s="117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64"/>
      <c r="O256" s="161"/>
      <c r="P256" s="118"/>
      <c r="Q256" s="118"/>
      <c r="R256" s="117"/>
      <c r="S256" s="117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64"/>
      <c r="O257" s="161"/>
      <c r="P257" s="118"/>
      <c r="Q257" s="118"/>
      <c r="R257" s="117"/>
      <c r="S257" s="117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64"/>
      <c r="O258" s="161"/>
      <c r="P258" s="118"/>
      <c r="Q258" s="118"/>
      <c r="R258" s="117"/>
      <c r="S258" s="117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64"/>
      <c r="O259" s="161"/>
      <c r="P259" s="118"/>
      <c r="Q259" s="118"/>
      <c r="R259" s="117"/>
      <c r="S259" s="117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/>
      <c r="AR259" s="118"/>
      <c r="AS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64"/>
      <c r="O260" s="161"/>
      <c r="P260" s="118"/>
      <c r="Q260" s="118"/>
      <c r="R260" s="117"/>
      <c r="S260" s="117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64"/>
      <c r="O261" s="161"/>
      <c r="P261" s="118"/>
      <c r="Q261" s="118"/>
      <c r="R261" s="117"/>
      <c r="S261" s="117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AQ261" s="118"/>
      <c r="AR261" s="118"/>
      <c r="AS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64"/>
      <c r="O262" s="161"/>
      <c r="P262" s="118"/>
      <c r="Q262" s="118"/>
      <c r="R262" s="117"/>
      <c r="S262" s="117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118"/>
      <c r="AQ262" s="118"/>
      <c r="AR262" s="118"/>
      <c r="AS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64"/>
      <c r="O263" s="161"/>
      <c r="P263" s="118"/>
      <c r="Q263" s="118"/>
      <c r="R263" s="117"/>
      <c r="S263" s="117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  <c r="AL263" s="118"/>
      <c r="AM263" s="118"/>
      <c r="AN263" s="118"/>
      <c r="AO263" s="118"/>
      <c r="AP263" s="118"/>
      <c r="AQ263" s="118"/>
      <c r="AR263" s="118"/>
      <c r="AS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64"/>
      <c r="O264" s="161"/>
      <c r="P264" s="118"/>
      <c r="Q264" s="118"/>
      <c r="R264" s="117"/>
      <c r="S264" s="117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AQ264" s="118"/>
      <c r="AR264" s="118"/>
      <c r="AS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64"/>
      <c r="O265" s="161"/>
      <c r="P265" s="118"/>
      <c r="Q265" s="118"/>
      <c r="R265" s="117"/>
      <c r="S265" s="117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AQ265" s="118"/>
      <c r="AR265" s="118"/>
      <c r="AS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64"/>
      <c r="O266" s="161"/>
      <c r="P266" s="118"/>
      <c r="Q266" s="118"/>
      <c r="R266" s="117"/>
      <c r="S266" s="117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AQ266" s="118"/>
      <c r="AR266" s="118"/>
      <c r="AS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64"/>
      <c r="O267" s="161"/>
      <c r="P267" s="118"/>
      <c r="Q267" s="118"/>
      <c r="R267" s="117"/>
      <c r="S267" s="117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AQ267" s="118"/>
      <c r="AR267" s="118"/>
      <c r="AS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64"/>
      <c r="O268" s="161"/>
      <c r="P268" s="118"/>
      <c r="Q268" s="118"/>
      <c r="R268" s="117"/>
      <c r="S268" s="117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AQ268" s="118"/>
      <c r="AR268" s="118"/>
      <c r="AS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64"/>
      <c r="O269" s="161"/>
      <c r="P269" s="118"/>
      <c r="Q269" s="118"/>
      <c r="R269" s="117"/>
      <c r="S269" s="117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64"/>
      <c r="O270" s="161"/>
      <c r="P270" s="118"/>
      <c r="Q270" s="118"/>
      <c r="R270" s="117"/>
      <c r="S270" s="117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AQ270" s="118"/>
      <c r="AR270" s="118"/>
      <c r="AS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64"/>
      <c r="O271" s="161"/>
      <c r="P271" s="118"/>
      <c r="Q271" s="118"/>
      <c r="R271" s="117"/>
      <c r="S271" s="117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64"/>
      <c r="O272" s="161"/>
      <c r="P272" s="118"/>
      <c r="Q272" s="118"/>
      <c r="R272" s="117"/>
      <c r="S272" s="117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  <c r="AK272" s="118"/>
      <c r="AL272" s="118"/>
      <c r="AM272" s="118"/>
      <c r="AN272" s="118"/>
      <c r="AO272" s="118"/>
      <c r="AP272" s="118"/>
      <c r="AQ272" s="118"/>
      <c r="AR272" s="118"/>
      <c r="AS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64"/>
      <c r="O273" s="161"/>
      <c r="P273" s="118"/>
      <c r="Q273" s="118"/>
      <c r="R273" s="117"/>
      <c r="S273" s="117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64"/>
      <c r="O274" s="161"/>
      <c r="P274" s="118"/>
      <c r="Q274" s="118"/>
      <c r="R274" s="117"/>
      <c r="S274" s="117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  <c r="AL274" s="118"/>
      <c r="AM274" s="118"/>
      <c r="AN274" s="118"/>
      <c r="AO274" s="118"/>
      <c r="AP274" s="118"/>
      <c r="AQ274" s="118"/>
      <c r="AR274" s="118"/>
      <c r="AS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64"/>
      <c r="O275" s="161"/>
      <c r="P275" s="118"/>
      <c r="Q275" s="118"/>
      <c r="R275" s="117"/>
      <c r="S275" s="117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  <c r="AL275" s="118"/>
      <c r="AM275" s="118"/>
      <c r="AN275" s="118"/>
      <c r="AO275" s="118"/>
      <c r="AP275" s="118"/>
      <c r="AQ275" s="118"/>
      <c r="AR275" s="118"/>
      <c r="AS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64"/>
      <c r="O276" s="161"/>
      <c r="P276" s="118"/>
      <c r="Q276" s="118"/>
      <c r="R276" s="117"/>
      <c r="S276" s="117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64"/>
      <c r="O277" s="161"/>
      <c r="P277" s="118"/>
      <c r="Q277" s="118"/>
      <c r="R277" s="117"/>
      <c r="S277" s="117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  <c r="AL277" s="118"/>
      <c r="AM277" s="118"/>
      <c r="AN277" s="118"/>
      <c r="AO277" s="118"/>
      <c r="AP277" s="118"/>
      <c r="AQ277" s="118"/>
      <c r="AR277" s="118"/>
      <c r="AS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64"/>
      <c r="O278" s="161"/>
      <c r="P278" s="118"/>
      <c r="Q278" s="118"/>
      <c r="R278" s="117"/>
      <c r="S278" s="117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64"/>
      <c r="O279" s="161"/>
      <c r="P279" s="118"/>
      <c r="Q279" s="118"/>
      <c r="R279" s="117"/>
      <c r="S279" s="117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64"/>
      <c r="O280" s="161"/>
      <c r="P280" s="118"/>
      <c r="Q280" s="118"/>
      <c r="R280" s="117"/>
      <c r="S280" s="117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64"/>
      <c r="O281" s="161"/>
      <c r="P281" s="118"/>
      <c r="Q281" s="118"/>
      <c r="R281" s="117"/>
      <c r="S281" s="117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64"/>
      <c r="O282" s="161"/>
      <c r="P282" s="118"/>
      <c r="Q282" s="118"/>
      <c r="R282" s="117"/>
      <c r="S282" s="117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64"/>
      <c r="O283" s="161"/>
      <c r="P283" s="118"/>
      <c r="Q283" s="118"/>
      <c r="R283" s="117"/>
      <c r="S283" s="117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64"/>
      <c r="O284" s="161"/>
      <c r="P284" s="118"/>
      <c r="Q284" s="118"/>
      <c r="R284" s="117"/>
      <c r="S284" s="117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64"/>
      <c r="O285" s="161"/>
      <c r="P285" s="118"/>
      <c r="Q285" s="118"/>
      <c r="R285" s="117"/>
      <c r="S285" s="117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64"/>
      <c r="O286" s="161"/>
      <c r="P286" s="118"/>
      <c r="Q286" s="118"/>
      <c r="R286" s="117"/>
      <c r="S286" s="117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64"/>
      <c r="O287" s="161"/>
      <c r="P287" s="118"/>
      <c r="Q287" s="118"/>
      <c r="R287" s="117"/>
      <c r="S287" s="117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64"/>
      <c r="O288" s="161"/>
      <c r="P288" s="118"/>
      <c r="Q288" s="118"/>
      <c r="R288" s="117"/>
      <c r="S288" s="117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64"/>
      <c r="O289" s="161"/>
      <c r="P289" s="118"/>
      <c r="Q289" s="118"/>
      <c r="R289" s="117"/>
      <c r="S289" s="117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64"/>
      <c r="O290" s="161"/>
      <c r="P290" s="118"/>
      <c r="Q290" s="118"/>
      <c r="R290" s="117"/>
      <c r="S290" s="117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64"/>
      <c r="O291" s="161"/>
      <c r="P291" s="118"/>
      <c r="Q291" s="118"/>
      <c r="R291" s="117"/>
      <c r="S291" s="117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64"/>
      <c r="O292" s="161"/>
      <c r="P292" s="118"/>
      <c r="Q292" s="118"/>
      <c r="R292" s="117"/>
      <c r="S292" s="117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64"/>
      <c r="O293" s="161"/>
      <c r="P293" s="118"/>
      <c r="Q293" s="118"/>
      <c r="R293" s="117"/>
      <c r="S293" s="117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64"/>
      <c r="O294" s="161"/>
      <c r="P294" s="118"/>
      <c r="Q294" s="118"/>
      <c r="R294" s="117"/>
      <c r="S294" s="117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64"/>
      <c r="O295" s="161"/>
      <c r="P295" s="118"/>
      <c r="Q295" s="118"/>
      <c r="R295" s="117"/>
      <c r="S295" s="117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64"/>
      <c r="O296" s="161"/>
      <c r="P296" s="118"/>
      <c r="Q296" s="118"/>
      <c r="R296" s="117"/>
      <c r="S296" s="117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64"/>
      <c r="O297" s="161"/>
      <c r="P297" s="118"/>
      <c r="Q297" s="118"/>
      <c r="R297" s="117"/>
      <c r="S297" s="117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64"/>
      <c r="O298" s="161"/>
      <c r="P298" s="118"/>
      <c r="Q298" s="118"/>
      <c r="R298" s="117"/>
      <c r="S298" s="117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  <c r="AL298" s="118"/>
      <c r="AM298" s="118"/>
      <c r="AN298" s="118"/>
      <c r="AO298" s="118"/>
      <c r="AP298" s="118"/>
      <c r="AQ298" s="118"/>
      <c r="AR298" s="118"/>
      <c r="AS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64"/>
      <c r="O299" s="161"/>
      <c r="P299" s="118"/>
      <c r="Q299" s="118"/>
      <c r="R299" s="117"/>
      <c r="S299" s="117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  <c r="AL299" s="118"/>
      <c r="AM299" s="118"/>
      <c r="AN299" s="118"/>
      <c r="AO299" s="118"/>
      <c r="AP299" s="118"/>
      <c r="AQ299" s="118"/>
      <c r="AR299" s="118"/>
      <c r="AS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64"/>
      <c r="O300" s="161"/>
      <c r="P300" s="118"/>
      <c r="Q300" s="118"/>
      <c r="R300" s="117"/>
      <c r="S300" s="117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  <c r="AL300" s="118"/>
      <c r="AM300" s="118"/>
      <c r="AN300" s="118"/>
      <c r="AO300" s="118"/>
      <c r="AP300" s="118"/>
      <c r="AQ300" s="118"/>
      <c r="AR300" s="118"/>
      <c r="AS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64"/>
      <c r="O301" s="161"/>
      <c r="P301" s="118"/>
      <c r="Q301" s="118"/>
      <c r="R301" s="117"/>
      <c r="S301" s="117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/>
      <c r="AO301" s="118"/>
      <c r="AP301" s="118"/>
      <c r="AQ301" s="118"/>
      <c r="AR301" s="118"/>
      <c r="AS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64"/>
      <c r="O302" s="161"/>
      <c r="P302" s="118"/>
      <c r="Q302" s="118"/>
      <c r="R302" s="117"/>
      <c r="S302" s="117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  <c r="AL302" s="118"/>
      <c r="AM302" s="118"/>
      <c r="AN302" s="118"/>
      <c r="AO302" s="118"/>
      <c r="AP302" s="118"/>
      <c r="AQ302" s="118"/>
      <c r="AR302" s="118"/>
      <c r="AS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64"/>
      <c r="O303" s="161"/>
      <c r="P303" s="118"/>
      <c r="Q303" s="118"/>
      <c r="R303" s="117"/>
      <c r="S303" s="117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64"/>
      <c r="O304" s="161"/>
      <c r="P304" s="118"/>
      <c r="Q304" s="118"/>
      <c r="R304" s="117"/>
      <c r="S304" s="117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  <c r="AO304" s="118"/>
      <c r="AP304" s="118"/>
      <c r="AQ304" s="118"/>
      <c r="AR304" s="118"/>
      <c r="AS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64"/>
      <c r="O305" s="161"/>
      <c r="P305" s="118"/>
      <c r="Q305" s="118"/>
      <c r="R305" s="117"/>
      <c r="S305" s="117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64"/>
      <c r="O306" s="161"/>
      <c r="P306" s="118"/>
      <c r="Q306" s="118"/>
      <c r="R306" s="117"/>
      <c r="S306" s="117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64"/>
      <c r="O307" s="161"/>
      <c r="P307" s="118"/>
      <c r="Q307" s="118"/>
      <c r="R307" s="117"/>
      <c r="S307" s="117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64"/>
      <c r="O308" s="161"/>
      <c r="P308" s="118"/>
      <c r="Q308" s="118"/>
      <c r="R308" s="117"/>
      <c r="S308" s="117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64"/>
      <c r="O309" s="161"/>
      <c r="P309" s="118"/>
      <c r="Q309" s="118"/>
      <c r="R309" s="117"/>
      <c r="S309" s="117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64"/>
      <c r="O310" s="161"/>
      <c r="P310" s="118"/>
      <c r="Q310" s="118"/>
      <c r="R310" s="117"/>
      <c r="S310" s="117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64"/>
      <c r="O311" s="161"/>
      <c r="P311" s="118"/>
      <c r="Q311" s="118"/>
      <c r="R311" s="117"/>
      <c r="S311" s="117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64"/>
      <c r="O312" s="161"/>
      <c r="P312" s="118"/>
      <c r="Q312" s="118"/>
      <c r="R312" s="117"/>
      <c r="S312" s="117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64"/>
      <c r="O313" s="161"/>
      <c r="P313" s="118"/>
      <c r="Q313" s="118"/>
      <c r="R313" s="117"/>
      <c r="S313" s="117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64"/>
      <c r="O314" s="161"/>
      <c r="P314" s="118"/>
      <c r="Q314" s="118"/>
      <c r="R314" s="117"/>
      <c r="S314" s="117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64"/>
      <c r="O315" s="161"/>
      <c r="P315" s="118"/>
      <c r="Q315" s="118"/>
      <c r="R315" s="117"/>
      <c r="S315" s="117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64"/>
      <c r="O316" s="161"/>
      <c r="P316" s="118"/>
      <c r="Q316" s="118"/>
      <c r="R316" s="117"/>
      <c r="S316" s="117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64"/>
      <c r="O317" s="161"/>
      <c r="P317" s="118"/>
      <c r="Q317" s="118"/>
      <c r="R317" s="117"/>
      <c r="S317" s="117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64"/>
      <c r="O318" s="161"/>
      <c r="P318" s="118"/>
      <c r="Q318" s="118"/>
      <c r="R318" s="117"/>
      <c r="S318" s="117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64"/>
      <c r="O319" s="161"/>
      <c r="P319" s="118"/>
      <c r="Q319" s="118"/>
      <c r="R319" s="117"/>
      <c r="S319" s="117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64"/>
      <c r="O320" s="161"/>
      <c r="P320" s="118"/>
      <c r="Q320" s="118"/>
      <c r="R320" s="117"/>
      <c r="S320" s="117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64"/>
      <c r="O321" s="161"/>
      <c r="P321" s="118"/>
      <c r="Q321" s="118"/>
      <c r="R321" s="117"/>
      <c r="S321" s="117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  <c r="AL321" s="118"/>
      <c r="AM321" s="118"/>
      <c r="AN321" s="118"/>
      <c r="AO321" s="118"/>
      <c r="AP321" s="118"/>
      <c r="AQ321" s="118"/>
      <c r="AR321" s="118"/>
      <c r="AS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64"/>
      <c r="O322" s="161"/>
      <c r="P322" s="118"/>
      <c r="Q322" s="118"/>
      <c r="R322" s="117"/>
      <c r="S322" s="117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  <c r="AL322" s="118"/>
      <c r="AM322" s="118"/>
      <c r="AN322" s="118"/>
      <c r="AO322" s="118"/>
      <c r="AP322" s="118"/>
      <c r="AQ322" s="118"/>
      <c r="AR322" s="118"/>
      <c r="AS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64"/>
      <c r="O323" s="161"/>
      <c r="P323" s="118"/>
      <c r="Q323" s="118"/>
      <c r="R323" s="117"/>
      <c r="S323" s="117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8"/>
      <c r="AJ323" s="118"/>
      <c r="AK323" s="118"/>
      <c r="AL323" s="118"/>
      <c r="AM323" s="118"/>
      <c r="AN323" s="118"/>
      <c r="AO323" s="118"/>
      <c r="AP323" s="118"/>
      <c r="AQ323" s="118"/>
      <c r="AR323" s="118"/>
      <c r="AS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64"/>
      <c r="O324" s="161"/>
      <c r="P324" s="118"/>
      <c r="Q324" s="118"/>
      <c r="R324" s="117"/>
      <c r="S324" s="117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64"/>
      <c r="O325" s="161"/>
      <c r="P325" s="118"/>
      <c r="Q325" s="118"/>
      <c r="R325" s="117"/>
      <c r="S325" s="117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64"/>
      <c r="O326" s="161"/>
      <c r="P326" s="118"/>
      <c r="Q326" s="118"/>
      <c r="R326" s="117"/>
      <c r="S326" s="117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64"/>
      <c r="O327" s="161"/>
      <c r="P327" s="118"/>
      <c r="Q327" s="118"/>
      <c r="R327" s="117"/>
      <c r="S327" s="117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8"/>
      <c r="AJ327" s="118"/>
      <c r="AK327" s="118"/>
      <c r="AL327" s="118"/>
      <c r="AM327" s="118"/>
      <c r="AN327" s="118"/>
      <c r="AO327" s="118"/>
      <c r="AP327" s="118"/>
      <c r="AQ327" s="118"/>
      <c r="AR327" s="118"/>
      <c r="AS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64"/>
      <c r="O328" s="161"/>
      <c r="P328" s="118"/>
      <c r="Q328" s="118"/>
      <c r="R328" s="117"/>
      <c r="S328" s="117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8"/>
      <c r="AN328" s="118"/>
      <c r="AO328" s="118"/>
      <c r="AP328" s="118"/>
      <c r="AQ328" s="118"/>
      <c r="AR328" s="118"/>
      <c r="AS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64"/>
      <c r="O329" s="161"/>
      <c r="P329" s="118"/>
      <c r="Q329" s="118"/>
      <c r="R329" s="117"/>
      <c r="S329" s="117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64"/>
      <c r="O330" s="161"/>
      <c r="P330" s="118"/>
      <c r="Q330" s="118"/>
      <c r="R330" s="117"/>
      <c r="S330" s="117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64"/>
      <c r="O331" s="161"/>
      <c r="P331" s="118"/>
      <c r="Q331" s="118"/>
      <c r="R331" s="117"/>
      <c r="S331" s="117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64"/>
      <c r="O332" s="161"/>
      <c r="P332" s="118"/>
      <c r="Q332" s="118"/>
      <c r="R332" s="117"/>
      <c r="S332" s="117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  <c r="AL332" s="118"/>
      <c r="AM332" s="118"/>
      <c r="AN332" s="118"/>
      <c r="AO332" s="118"/>
      <c r="AP332" s="118"/>
      <c r="AQ332" s="118"/>
      <c r="AR332" s="118"/>
      <c r="AS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64"/>
      <c r="O333" s="161"/>
      <c r="P333" s="118"/>
      <c r="Q333" s="118"/>
      <c r="R333" s="117"/>
      <c r="S333" s="117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  <c r="AL333" s="118"/>
      <c r="AM333" s="118"/>
      <c r="AN333" s="118"/>
      <c r="AO333" s="118"/>
      <c r="AP333" s="118"/>
      <c r="AQ333" s="118"/>
      <c r="AR333" s="118"/>
      <c r="AS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64"/>
      <c r="O334" s="161"/>
      <c r="P334" s="118"/>
      <c r="Q334" s="118"/>
      <c r="R334" s="117"/>
      <c r="S334" s="117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8"/>
      <c r="AJ334" s="118"/>
      <c r="AK334" s="118"/>
      <c r="AL334" s="118"/>
      <c r="AM334" s="118"/>
      <c r="AN334" s="118"/>
      <c r="AO334" s="118"/>
      <c r="AP334" s="118"/>
      <c r="AQ334" s="118"/>
      <c r="AR334" s="118"/>
      <c r="AS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64"/>
      <c r="O335" s="161"/>
      <c r="P335" s="118"/>
      <c r="Q335" s="118"/>
      <c r="R335" s="117"/>
      <c r="S335" s="117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8"/>
      <c r="AJ335" s="118"/>
      <c r="AK335" s="118"/>
      <c r="AL335" s="118"/>
      <c r="AM335" s="118"/>
      <c r="AN335" s="118"/>
      <c r="AO335" s="118"/>
      <c r="AP335" s="118"/>
      <c r="AQ335" s="118"/>
      <c r="AR335" s="118"/>
      <c r="AS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64"/>
      <c r="O336" s="161"/>
      <c r="P336" s="118"/>
      <c r="Q336" s="118"/>
      <c r="R336" s="117"/>
      <c r="S336" s="117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8"/>
      <c r="AJ336" s="118"/>
      <c r="AK336" s="118"/>
      <c r="AL336" s="118"/>
      <c r="AM336" s="118"/>
      <c r="AN336" s="118"/>
      <c r="AO336" s="118"/>
      <c r="AP336" s="118"/>
      <c r="AQ336" s="118"/>
      <c r="AR336" s="118"/>
      <c r="AS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64"/>
      <c r="O337" s="161"/>
      <c r="P337" s="118"/>
      <c r="Q337" s="118"/>
      <c r="R337" s="117"/>
      <c r="S337" s="117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  <c r="AI337" s="118"/>
      <c r="AJ337" s="118"/>
      <c r="AK337" s="118"/>
      <c r="AL337" s="118"/>
      <c r="AM337" s="118"/>
      <c r="AN337" s="118"/>
      <c r="AO337" s="118"/>
      <c r="AP337" s="118"/>
      <c r="AQ337" s="118"/>
      <c r="AR337" s="118"/>
      <c r="AS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64"/>
      <c r="O338" s="161"/>
      <c r="P338" s="118"/>
      <c r="Q338" s="118"/>
      <c r="R338" s="117"/>
      <c r="S338" s="117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64"/>
      <c r="O339" s="161"/>
      <c r="P339" s="118"/>
      <c r="Q339" s="118"/>
      <c r="R339" s="117"/>
      <c r="S339" s="117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64"/>
      <c r="O340" s="161"/>
      <c r="P340" s="118"/>
      <c r="Q340" s="118"/>
      <c r="R340" s="117"/>
      <c r="S340" s="117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64"/>
      <c r="O341" s="161"/>
      <c r="P341" s="118"/>
      <c r="Q341" s="118"/>
      <c r="R341" s="117"/>
      <c r="S341" s="117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18"/>
      <c r="AS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64"/>
      <c r="O342" s="161"/>
      <c r="P342" s="118"/>
      <c r="Q342" s="118"/>
      <c r="R342" s="117"/>
      <c r="S342" s="117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18"/>
      <c r="AS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64"/>
      <c r="O343" s="161"/>
      <c r="P343" s="118"/>
      <c r="Q343" s="118"/>
      <c r="R343" s="117"/>
      <c r="S343" s="117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18"/>
      <c r="AS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64"/>
      <c r="O344" s="161"/>
      <c r="P344" s="118"/>
      <c r="Q344" s="118"/>
      <c r="R344" s="117"/>
      <c r="S344" s="117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18"/>
      <c r="AS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64"/>
      <c r="O345" s="161"/>
      <c r="P345" s="118"/>
      <c r="Q345" s="118"/>
      <c r="R345" s="117"/>
      <c r="S345" s="117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64"/>
      <c r="O346" s="161"/>
      <c r="P346" s="118"/>
      <c r="Q346" s="118"/>
      <c r="R346" s="117"/>
      <c r="S346" s="117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64"/>
      <c r="O347" s="161"/>
      <c r="P347" s="118"/>
      <c r="Q347" s="118"/>
      <c r="R347" s="117"/>
      <c r="S347" s="117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64"/>
      <c r="O348" s="161"/>
      <c r="P348" s="118"/>
      <c r="Q348" s="118"/>
      <c r="R348" s="117"/>
      <c r="S348" s="117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64"/>
      <c r="O349" s="161"/>
      <c r="P349" s="118"/>
      <c r="Q349" s="118"/>
      <c r="R349" s="117"/>
      <c r="S349" s="117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64"/>
      <c r="O350" s="161"/>
      <c r="P350" s="118"/>
      <c r="Q350" s="118"/>
      <c r="R350" s="117"/>
      <c r="S350" s="117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  <c r="AL350" s="118"/>
      <c r="AM350" s="118"/>
      <c r="AN350" s="118"/>
      <c r="AO350" s="118"/>
      <c r="AP350" s="118"/>
      <c r="AQ350" s="118"/>
      <c r="AR350" s="118"/>
      <c r="AS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64"/>
      <c r="O351" s="161"/>
      <c r="P351" s="118"/>
      <c r="Q351" s="118"/>
      <c r="R351" s="117"/>
      <c r="S351" s="117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64"/>
      <c r="O352" s="161"/>
      <c r="P352" s="118"/>
      <c r="Q352" s="118"/>
      <c r="R352" s="117"/>
      <c r="S352" s="117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64"/>
      <c r="O353" s="161"/>
      <c r="P353" s="118"/>
      <c r="Q353" s="118"/>
      <c r="R353" s="117"/>
      <c r="S353" s="117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64"/>
      <c r="O354" s="161"/>
      <c r="P354" s="118"/>
      <c r="Q354" s="118"/>
      <c r="R354" s="117"/>
      <c r="S354" s="117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64"/>
      <c r="O355" s="161"/>
      <c r="P355" s="118"/>
      <c r="Q355" s="118"/>
      <c r="R355" s="117"/>
      <c r="S355" s="117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  <c r="AL355" s="118"/>
      <c r="AM355" s="118"/>
      <c r="AN355" s="118"/>
      <c r="AO355" s="118"/>
      <c r="AP355" s="118"/>
      <c r="AQ355" s="118"/>
      <c r="AR355" s="118"/>
      <c r="AS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64"/>
      <c r="O356" s="161"/>
      <c r="P356" s="118"/>
      <c r="Q356" s="118"/>
      <c r="R356" s="117"/>
      <c r="S356" s="117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118"/>
      <c r="AN356" s="118"/>
      <c r="AO356" s="118"/>
      <c r="AP356" s="118"/>
      <c r="AQ356" s="118"/>
      <c r="AR356" s="118"/>
      <c r="AS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64"/>
      <c r="O357" s="161"/>
      <c r="P357" s="118"/>
      <c r="Q357" s="118"/>
      <c r="R357" s="117"/>
      <c r="S357" s="117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118"/>
      <c r="AN357" s="118"/>
      <c r="AO357" s="118"/>
      <c r="AP357" s="118"/>
      <c r="AQ357" s="118"/>
      <c r="AR357" s="118"/>
      <c r="AS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64"/>
      <c r="O358" s="161"/>
      <c r="P358" s="118"/>
      <c r="Q358" s="118"/>
      <c r="R358" s="117"/>
      <c r="S358" s="117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64"/>
      <c r="O359" s="161"/>
      <c r="P359" s="118"/>
      <c r="Q359" s="118"/>
      <c r="R359" s="117"/>
      <c r="S359" s="117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64"/>
      <c r="O360" s="161"/>
      <c r="P360" s="118"/>
      <c r="Q360" s="118"/>
      <c r="R360" s="117"/>
      <c r="S360" s="117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64"/>
      <c r="O361" s="161"/>
      <c r="P361" s="118"/>
      <c r="Q361" s="118"/>
      <c r="R361" s="117"/>
      <c r="S361" s="117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64"/>
      <c r="O362" s="161"/>
      <c r="P362" s="118"/>
      <c r="Q362" s="118"/>
      <c r="R362" s="117"/>
      <c r="S362" s="117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64"/>
      <c r="O363" s="161"/>
      <c r="P363" s="118"/>
      <c r="Q363" s="118"/>
      <c r="R363" s="117"/>
      <c r="S363" s="117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64"/>
      <c r="O364" s="161"/>
      <c r="P364" s="118"/>
      <c r="Q364" s="118"/>
      <c r="R364" s="117"/>
      <c r="S364" s="117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64"/>
      <c r="O365" s="161"/>
      <c r="P365" s="118"/>
      <c r="Q365" s="118"/>
      <c r="R365" s="117"/>
      <c r="S365" s="117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64"/>
      <c r="O366" s="161"/>
      <c r="P366" s="118"/>
      <c r="Q366" s="118"/>
      <c r="R366" s="117"/>
      <c r="S366" s="117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64"/>
      <c r="O367" s="161"/>
      <c r="P367" s="118"/>
      <c r="Q367" s="118"/>
      <c r="R367" s="117"/>
      <c r="S367" s="117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64"/>
      <c r="O368" s="161"/>
      <c r="P368" s="118"/>
      <c r="Q368" s="118"/>
      <c r="R368" s="117"/>
      <c r="S368" s="117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64"/>
      <c r="O369" s="161"/>
      <c r="P369" s="118"/>
      <c r="Q369" s="118"/>
      <c r="R369" s="117"/>
      <c r="S369" s="117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64"/>
      <c r="O370" s="161"/>
      <c r="P370" s="118"/>
      <c r="Q370" s="118"/>
      <c r="R370" s="117"/>
      <c r="S370" s="117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64"/>
      <c r="O371" s="161"/>
      <c r="P371" s="118"/>
      <c r="Q371" s="118"/>
      <c r="R371" s="117"/>
      <c r="S371" s="117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64"/>
      <c r="O372" s="161"/>
      <c r="P372" s="118"/>
      <c r="Q372" s="118"/>
      <c r="R372" s="117"/>
      <c r="S372" s="117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64"/>
      <c r="O373" s="161"/>
      <c r="P373" s="118"/>
      <c r="Q373" s="118"/>
      <c r="R373" s="117"/>
      <c r="S373" s="117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64"/>
      <c r="O374" s="161"/>
      <c r="P374" s="118"/>
      <c r="Q374" s="118"/>
      <c r="R374" s="117"/>
      <c r="S374" s="117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64"/>
      <c r="O375" s="161"/>
      <c r="P375" s="118"/>
      <c r="Q375" s="118"/>
      <c r="R375" s="117"/>
      <c r="S375" s="117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64"/>
      <c r="O376" s="161"/>
      <c r="P376" s="118"/>
      <c r="Q376" s="118"/>
      <c r="R376" s="117"/>
      <c r="S376" s="117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64"/>
      <c r="O377" s="161"/>
      <c r="P377" s="118"/>
      <c r="Q377" s="118"/>
      <c r="R377" s="117"/>
      <c r="S377" s="117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  <c r="AI377" s="118"/>
      <c r="AJ377" s="118"/>
      <c r="AK377" s="118"/>
      <c r="AL377" s="118"/>
      <c r="AM377" s="118"/>
      <c r="AN377" s="118"/>
      <c r="AO377" s="118"/>
      <c r="AP377" s="118"/>
      <c r="AQ377" s="118"/>
      <c r="AR377" s="118"/>
      <c r="AS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64"/>
      <c r="O378" s="161"/>
      <c r="P378" s="118"/>
      <c r="Q378" s="118"/>
      <c r="R378" s="117"/>
      <c r="S378" s="117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64"/>
      <c r="O379" s="161"/>
      <c r="P379" s="118"/>
      <c r="Q379" s="118"/>
      <c r="R379" s="117"/>
      <c r="S379" s="117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  <c r="AI379" s="118"/>
      <c r="AJ379" s="118"/>
      <c r="AK379" s="118"/>
      <c r="AL379" s="118"/>
      <c r="AM379" s="118"/>
      <c r="AN379" s="118"/>
      <c r="AO379" s="118"/>
      <c r="AP379" s="118"/>
      <c r="AQ379" s="118"/>
      <c r="AR379" s="118"/>
      <c r="AS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64"/>
      <c r="O380" s="161"/>
      <c r="P380" s="118"/>
      <c r="Q380" s="118"/>
      <c r="R380" s="117"/>
      <c r="S380" s="117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  <c r="AI380" s="118"/>
      <c r="AJ380" s="118"/>
      <c r="AK380" s="118"/>
      <c r="AL380" s="118"/>
      <c r="AM380" s="118"/>
      <c r="AN380" s="118"/>
      <c r="AO380" s="118"/>
      <c r="AP380" s="118"/>
      <c r="AQ380" s="118"/>
      <c r="AR380" s="118"/>
      <c r="AS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64"/>
      <c r="O381" s="161"/>
      <c r="P381" s="118"/>
      <c r="Q381" s="118"/>
      <c r="R381" s="117"/>
      <c r="S381" s="117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64"/>
      <c r="O382" s="161"/>
      <c r="P382" s="118"/>
      <c r="Q382" s="118"/>
      <c r="R382" s="117"/>
      <c r="S382" s="117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64"/>
      <c r="O383" s="161"/>
      <c r="P383" s="118"/>
      <c r="Q383" s="118"/>
      <c r="R383" s="117"/>
      <c r="S383" s="117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64"/>
      <c r="O384" s="161"/>
      <c r="P384" s="118"/>
      <c r="Q384" s="118"/>
      <c r="R384" s="117"/>
      <c r="S384" s="117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64"/>
      <c r="O385" s="161"/>
      <c r="P385" s="118"/>
      <c r="Q385" s="118"/>
      <c r="R385" s="117"/>
      <c r="S385" s="117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64"/>
      <c r="O386" s="161"/>
      <c r="P386" s="118"/>
      <c r="Q386" s="118"/>
      <c r="R386" s="117"/>
      <c r="S386" s="117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  <c r="AI386" s="118"/>
      <c r="AJ386" s="118"/>
      <c r="AK386" s="118"/>
      <c r="AL386" s="118"/>
      <c r="AM386" s="118"/>
      <c r="AN386" s="118"/>
      <c r="AO386" s="118"/>
      <c r="AP386" s="118"/>
      <c r="AQ386" s="118"/>
      <c r="AR386" s="118"/>
      <c r="AS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64"/>
      <c r="O387" s="161"/>
      <c r="P387" s="118"/>
      <c r="Q387" s="118"/>
      <c r="R387" s="117"/>
      <c r="S387" s="117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64"/>
      <c r="O388" s="161"/>
      <c r="P388" s="118"/>
      <c r="Q388" s="118"/>
      <c r="R388" s="117"/>
      <c r="S388" s="117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  <c r="AI388" s="118"/>
      <c r="AJ388" s="118"/>
      <c r="AK388" s="118"/>
      <c r="AL388" s="118"/>
      <c r="AM388" s="118"/>
      <c r="AN388" s="118"/>
      <c r="AO388" s="118"/>
      <c r="AP388" s="118"/>
      <c r="AQ388" s="118"/>
      <c r="AR388" s="118"/>
      <c r="AS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64"/>
      <c r="O389" s="161"/>
      <c r="P389" s="118"/>
      <c r="Q389" s="118"/>
      <c r="R389" s="117"/>
      <c r="S389" s="117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  <c r="AI389" s="118"/>
      <c r="AJ389" s="118"/>
      <c r="AK389" s="118"/>
      <c r="AL389" s="118"/>
      <c r="AM389" s="118"/>
      <c r="AN389" s="118"/>
      <c r="AO389" s="118"/>
      <c r="AP389" s="118"/>
      <c r="AQ389" s="118"/>
      <c r="AR389" s="118"/>
      <c r="AS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64"/>
      <c r="O390" s="161"/>
      <c r="P390" s="118"/>
      <c r="Q390" s="118"/>
      <c r="R390" s="117"/>
      <c r="S390" s="117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64"/>
      <c r="O391" s="161"/>
      <c r="P391" s="118"/>
      <c r="Q391" s="118"/>
      <c r="R391" s="117"/>
      <c r="S391" s="117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64"/>
      <c r="O392" s="161"/>
      <c r="P392" s="118"/>
      <c r="Q392" s="118"/>
      <c r="R392" s="117"/>
      <c r="S392" s="117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64"/>
      <c r="O393" s="161"/>
      <c r="P393" s="118"/>
      <c r="Q393" s="118"/>
      <c r="R393" s="117"/>
      <c r="S393" s="117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64"/>
      <c r="O394" s="161"/>
      <c r="P394" s="118"/>
      <c r="Q394" s="118"/>
      <c r="R394" s="117"/>
      <c r="S394" s="117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64"/>
      <c r="O395" s="161"/>
      <c r="P395" s="118"/>
      <c r="Q395" s="118"/>
      <c r="R395" s="117"/>
      <c r="S395" s="117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64"/>
      <c r="O396" s="161"/>
      <c r="P396" s="118"/>
      <c r="Q396" s="118"/>
      <c r="R396" s="117"/>
      <c r="S396" s="117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64"/>
      <c r="O397" s="161"/>
      <c r="P397" s="118"/>
      <c r="Q397" s="118"/>
      <c r="R397" s="117"/>
      <c r="S397" s="117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64"/>
      <c r="O398" s="161"/>
      <c r="P398" s="118"/>
      <c r="Q398" s="118"/>
      <c r="R398" s="117"/>
      <c r="S398" s="117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64"/>
      <c r="O399" s="161"/>
      <c r="P399" s="118"/>
      <c r="Q399" s="118"/>
      <c r="R399" s="117"/>
      <c r="S399" s="117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64"/>
      <c r="O400" s="161"/>
      <c r="P400" s="118"/>
      <c r="Q400" s="118"/>
      <c r="R400" s="117"/>
      <c r="S400" s="117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64"/>
      <c r="O401" s="161"/>
      <c r="P401" s="118"/>
      <c r="Q401" s="118"/>
      <c r="R401" s="117"/>
      <c r="S401" s="117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64"/>
      <c r="O402" s="161"/>
      <c r="P402" s="118"/>
      <c r="Q402" s="118"/>
      <c r="R402" s="117"/>
      <c r="S402" s="117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64"/>
      <c r="O403" s="161"/>
      <c r="P403" s="118"/>
      <c r="Q403" s="118"/>
      <c r="R403" s="117"/>
      <c r="S403" s="117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  <c r="AL403" s="118"/>
      <c r="AM403" s="118"/>
      <c r="AN403" s="118"/>
      <c r="AO403" s="118"/>
      <c r="AP403" s="118"/>
      <c r="AQ403" s="118"/>
      <c r="AR403" s="118"/>
      <c r="AS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64"/>
      <c r="O404" s="161"/>
      <c r="P404" s="118"/>
      <c r="Q404" s="118"/>
      <c r="R404" s="117"/>
      <c r="S404" s="117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64"/>
      <c r="O405" s="161"/>
      <c r="P405" s="118"/>
      <c r="Q405" s="118"/>
      <c r="R405" s="117"/>
      <c r="S405" s="117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64"/>
      <c r="O406" s="161"/>
      <c r="P406" s="118"/>
      <c r="Q406" s="118"/>
      <c r="R406" s="117"/>
      <c r="S406" s="117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64"/>
      <c r="O407" s="161"/>
      <c r="P407" s="118"/>
      <c r="Q407" s="118"/>
      <c r="R407" s="117"/>
      <c r="S407" s="117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64"/>
      <c r="O408" s="161"/>
      <c r="P408" s="118"/>
      <c r="Q408" s="118"/>
      <c r="R408" s="117"/>
      <c r="S408" s="117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/>
      <c r="AO408" s="118"/>
      <c r="AP408" s="118"/>
      <c r="AQ408" s="118"/>
      <c r="AR408" s="118"/>
      <c r="AS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64"/>
      <c r="O409" s="161"/>
      <c r="P409" s="118"/>
      <c r="Q409" s="118"/>
      <c r="R409" s="117"/>
      <c r="S409" s="117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64"/>
      <c r="O410" s="161"/>
      <c r="P410" s="118"/>
      <c r="Q410" s="118"/>
      <c r="R410" s="117"/>
      <c r="S410" s="117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  <c r="AL410" s="118"/>
      <c r="AM410" s="118"/>
      <c r="AN410" s="118"/>
      <c r="AO410" s="118"/>
      <c r="AP410" s="118"/>
      <c r="AQ410" s="118"/>
      <c r="AR410" s="118"/>
      <c r="AS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64"/>
      <c r="O411" s="161"/>
      <c r="P411" s="118"/>
      <c r="Q411" s="118"/>
      <c r="R411" s="117"/>
      <c r="S411" s="117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  <c r="AL411" s="118"/>
      <c r="AM411" s="118"/>
      <c r="AN411" s="118"/>
      <c r="AO411" s="118"/>
      <c r="AP411" s="118"/>
      <c r="AQ411" s="118"/>
      <c r="AR411" s="118"/>
      <c r="AS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64"/>
      <c r="O412" s="161"/>
      <c r="P412" s="118"/>
      <c r="Q412" s="118"/>
      <c r="R412" s="117"/>
      <c r="S412" s="117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64"/>
      <c r="O413" s="161"/>
      <c r="P413" s="118"/>
      <c r="Q413" s="118"/>
      <c r="R413" s="117"/>
      <c r="S413" s="117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64"/>
      <c r="O414" s="161"/>
      <c r="P414" s="118"/>
      <c r="Q414" s="118"/>
      <c r="R414" s="117"/>
      <c r="S414" s="117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  <c r="AL414" s="118"/>
      <c r="AM414" s="118"/>
      <c r="AN414" s="118"/>
      <c r="AO414" s="118"/>
      <c r="AP414" s="118"/>
      <c r="AQ414" s="118"/>
      <c r="AR414" s="118"/>
      <c r="AS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64"/>
      <c r="O415" s="161"/>
      <c r="P415" s="118"/>
      <c r="Q415" s="118"/>
      <c r="R415" s="117"/>
      <c r="S415" s="117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18"/>
      <c r="AN415" s="118"/>
      <c r="AO415" s="118"/>
      <c r="AP415" s="118"/>
      <c r="AQ415" s="118"/>
      <c r="AR415" s="118"/>
      <c r="AS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64"/>
      <c r="O416" s="161"/>
      <c r="P416" s="118"/>
      <c r="Q416" s="118"/>
      <c r="R416" s="117"/>
      <c r="S416" s="117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18"/>
      <c r="AK416" s="118"/>
      <c r="AL416" s="118"/>
      <c r="AM416" s="118"/>
      <c r="AN416" s="118"/>
      <c r="AO416" s="118"/>
      <c r="AP416" s="118"/>
      <c r="AQ416" s="118"/>
      <c r="AR416" s="118"/>
      <c r="AS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64"/>
      <c r="O417" s="161"/>
      <c r="P417" s="118"/>
      <c r="Q417" s="118"/>
      <c r="R417" s="117"/>
      <c r="S417" s="117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  <c r="AI417" s="118"/>
      <c r="AJ417" s="118"/>
      <c r="AK417" s="118"/>
      <c r="AL417" s="118"/>
      <c r="AM417" s="118"/>
      <c r="AN417" s="118"/>
      <c r="AO417" s="118"/>
      <c r="AP417" s="118"/>
      <c r="AQ417" s="118"/>
      <c r="AR417" s="118"/>
      <c r="AS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64"/>
      <c r="O418" s="161"/>
      <c r="P418" s="118"/>
      <c r="Q418" s="118"/>
      <c r="R418" s="117"/>
      <c r="S418" s="117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64"/>
      <c r="O419" s="161"/>
      <c r="P419" s="118"/>
      <c r="Q419" s="118"/>
      <c r="R419" s="117"/>
      <c r="S419" s="117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64"/>
      <c r="O420" s="161"/>
      <c r="P420" s="118"/>
      <c r="Q420" s="118"/>
      <c r="R420" s="117"/>
      <c r="S420" s="117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64"/>
      <c r="O421" s="161"/>
      <c r="P421" s="118"/>
      <c r="Q421" s="118"/>
      <c r="R421" s="117"/>
      <c r="S421" s="117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  <c r="AK421" s="118"/>
      <c r="AL421" s="118"/>
      <c r="AM421" s="118"/>
      <c r="AN421" s="118"/>
      <c r="AO421" s="118"/>
      <c r="AP421" s="118"/>
      <c r="AQ421" s="118"/>
      <c r="AR421" s="118"/>
      <c r="AS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64"/>
      <c r="O422" s="161"/>
      <c r="P422" s="118"/>
      <c r="Q422" s="118"/>
      <c r="R422" s="117"/>
      <c r="S422" s="117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  <c r="AK422" s="118"/>
      <c r="AL422" s="118"/>
      <c r="AM422" s="118"/>
      <c r="AN422" s="118"/>
      <c r="AO422" s="118"/>
      <c r="AP422" s="118"/>
      <c r="AQ422" s="118"/>
      <c r="AR422" s="118"/>
      <c r="AS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64"/>
      <c r="O423" s="161"/>
      <c r="P423" s="118"/>
      <c r="Q423" s="118"/>
      <c r="R423" s="117"/>
      <c r="S423" s="117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  <c r="AK423" s="118"/>
      <c r="AL423" s="118"/>
      <c r="AM423" s="118"/>
      <c r="AN423" s="118"/>
      <c r="AO423" s="118"/>
      <c r="AP423" s="118"/>
      <c r="AQ423" s="118"/>
      <c r="AR423" s="118"/>
      <c r="AS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64"/>
      <c r="O424" s="161"/>
      <c r="P424" s="118"/>
      <c r="Q424" s="118"/>
      <c r="R424" s="117"/>
      <c r="S424" s="117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  <c r="AK424" s="118"/>
      <c r="AL424" s="118"/>
      <c r="AM424" s="118"/>
      <c r="AN424" s="118"/>
      <c r="AO424" s="118"/>
      <c r="AP424" s="118"/>
      <c r="AQ424" s="118"/>
      <c r="AR424" s="118"/>
      <c r="AS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64"/>
      <c r="O425" s="161"/>
      <c r="P425" s="118"/>
      <c r="Q425" s="118"/>
      <c r="R425" s="117"/>
      <c r="S425" s="117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64"/>
      <c r="O426" s="161"/>
      <c r="P426" s="118"/>
      <c r="Q426" s="118"/>
      <c r="R426" s="117"/>
      <c r="S426" s="117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64"/>
      <c r="O427" s="161"/>
      <c r="P427" s="118"/>
      <c r="Q427" s="118"/>
      <c r="R427" s="117"/>
      <c r="S427" s="117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64"/>
      <c r="O428" s="161"/>
      <c r="P428" s="118"/>
      <c r="Q428" s="118"/>
      <c r="R428" s="117"/>
      <c r="S428" s="117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  <c r="AK428" s="118"/>
      <c r="AL428" s="118"/>
      <c r="AM428" s="118"/>
      <c r="AN428" s="118"/>
      <c r="AO428" s="118"/>
      <c r="AP428" s="118"/>
      <c r="AQ428" s="118"/>
      <c r="AR428" s="118"/>
      <c r="AS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64"/>
      <c r="O429" s="161"/>
      <c r="P429" s="118"/>
      <c r="Q429" s="118"/>
      <c r="R429" s="117"/>
      <c r="S429" s="117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  <c r="AK429" s="118"/>
      <c r="AL429" s="118"/>
      <c r="AM429" s="118"/>
      <c r="AN429" s="118"/>
      <c r="AO429" s="118"/>
      <c r="AP429" s="118"/>
      <c r="AQ429" s="118"/>
      <c r="AR429" s="118"/>
      <c r="AS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64"/>
      <c r="O430" s="161"/>
      <c r="P430" s="118"/>
      <c r="Q430" s="118"/>
      <c r="R430" s="117"/>
      <c r="S430" s="117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  <c r="AL430" s="118"/>
      <c r="AM430" s="118"/>
      <c r="AN430" s="118"/>
      <c r="AO430" s="118"/>
      <c r="AP430" s="118"/>
      <c r="AQ430" s="118"/>
      <c r="AR430" s="118"/>
      <c r="AS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64"/>
      <c r="O431" s="161"/>
      <c r="P431" s="118"/>
      <c r="Q431" s="118"/>
      <c r="R431" s="117"/>
      <c r="S431" s="117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  <c r="AL431" s="118"/>
      <c r="AM431" s="118"/>
      <c r="AN431" s="118"/>
      <c r="AO431" s="118"/>
      <c r="AP431" s="118"/>
      <c r="AQ431" s="118"/>
      <c r="AR431" s="118"/>
      <c r="AS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64"/>
      <c r="O432" s="161"/>
      <c r="P432" s="118"/>
      <c r="Q432" s="118"/>
      <c r="R432" s="117"/>
      <c r="S432" s="117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64"/>
      <c r="O433" s="161"/>
      <c r="P433" s="118"/>
      <c r="Q433" s="118"/>
      <c r="R433" s="117"/>
      <c r="S433" s="117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64"/>
      <c r="O434" s="161"/>
      <c r="P434" s="118"/>
      <c r="Q434" s="118"/>
      <c r="R434" s="117"/>
      <c r="S434" s="117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  <c r="AK434" s="118"/>
      <c r="AL434" s="118"/>
      <c r="AM434" s="118"/>
      <c r="AN434" s="118"/>
      <c r="AO434" s="118"/>
      <c r="AP434" s="118"/>
      <c r="AQ434" s="118"/>
      <c r="AR434" s="118"/>
      <c r="AS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64"/>
      <c r="O435" s="161"/>
      <c r="P435" s="118"/>
      <c r="Q435" s="118"/>
      <c r="R435" s="117"/>
      <c r="S435" s="117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  <c r="AK435" s="118"/>
      <c r="AL435" s="118"/>
      <c r="AM435" s="118"/>
      <c r="AN435" s="118"/>
      <c r="AO435" s="118"/>
      <c r="AP435" s="118"/>
      <c r="AQ435" s="118"/>
      <c r="AR435" s="118"/>
      <c r="AS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64"/>
      <c r="O436" s="161"/>
      <c r="P436" s="118"/>
      <c r="Q436" s="118"/>
      <c r="R436" s="117"/>
      <c r="S436" s="117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  <c r="AK436" s="118"/>
      <c r="AL436" s="118"/>
      <c r="AM436" s="118"/>
      <c r="AN436" s="118"/>
      <c r="AO436" s="118"/>
      <c r="AP436" s="118"/>
      <c r="AQ436" s="118"/>
      <c r="AR436" s="118"/>
      <c r="AS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64"/>
      <c r="O437" s="161"/>
      <c r="P437" s="118"/>
      <c r="Q437" s="118"/>
      <c r="R437" s="117"/>
      <c r="S437" s="117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  <c r="AK437" s="118"/>
      <c r="AL437" s="118"/>
      <c r="AM437" s="118"/>
      <c r="AN437" s="118"/>
      <c r="AO437" s="118"/>
      <c r="AP437" s="118"/>
      <c r="AQ437" s="118"/>
      <c r="AR437" s="118"/>
      <c r="AS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64"/>
      <c r="O438" s="161"/>
      <c r="P438" s="118"/>
      <c r="Q438" s="118"/>
      <c r="R438" s="117"/>
      <c r="S438" s="117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  <c r="AL438" s="118"/>
      <c r="AM438" s="118"/>
      <c r="AN438" s="118"/>
      <c r="AO438" s="118"/>
      <c r="AP438" s="118"/>
      <c r="AQ438" s="118"/>
      <c r="AR438" s="118"/>
      <c r="AS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64"/>
      <c r="O439" s="161"/>
      <c r="P439" s="118"/>
      <c r="Q439" s="118"/>
      <c r="R439" s="117"/>
      <c r="S439" s="117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  <c r="AL439" s="118"/>
      <c r="AM439" s="118"/>
      <c r="AN439" s="118"/>
      <c r="AO439" s="118"/>
      <c r="AP439" s="118"/>
      <c r="AQ439" s="118"/>
      <c r="AR439" s="118"/>
      <c r="AS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64"/>
      <c r="O440" s="161"/>
      <c r="P440" s="118"/>
      <c r="Q440" s="118"/>
      <c r="R440" s="117"/>
      <c r="S440" s="117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64"/>
      <c r="O441" s="161"/>
      <c r="P441" s="118"/>
      <c r="Q441" s="118"/>
      <c r="R441" s="117"/>
      <c r="S441" s="117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  <c r="AL441" s="118"/>
      <c r="AM441" s="118"/>
      <c r="AN441" s="118"/>
      <c r="AO441" s="118"/>
      <c r="AP441" s="118"/>
      <c r="AQ441" s="118"/>
      <c r="AR441" s="118"/>
      <c r="AS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64"/>
      <c r="O442" s="161"/>
      <c r="P442" s="118"/>
      <c r="Q442" s="118"/>
      <c r="R442" s="117"/>
      <c r="S442" s="117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8"/>
      <c r="AN442" s="118"/>
      <c r="AO442" s="118"/>
      <c r="AP442" s="118"/>
      <c r="AQ442" s="118"/>
      <c r="AR442" s="118"/>
      <c r="AS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64"/>
      <c r="O443" s="161"/>
      <c r="P443" s="118"/>
      <c r="Q443" s="118"/>
      <c r="R443" s="117"/>
      <c r="S443" s="117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  <c r="AL443" s="118"/>
      <c r="AM443" s="118"/>
      <c r="AN443" s="118"/>
      <c r="AO443" s="118"/>
      <c r="AP443" s="118"/>
      <c r="AQ443" s="118"/>
      <c r="AR443" s="118"/>
      <c r="AS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64"/>
      <c r="O444" s="161"/>
      <c r="P444" s="118"/>
      <c r="Q444" s="118"/>
      <c r="R444" s="117"/>
      <c r="S444" s="117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64"/>
      <c r="O445" s="161"/>
      <c r="P445" s="118"/>
      <c r="Q445" s="118"/>
      <c r="R445" s="117"/>
      <c r="S445" s="117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64"/>
      <c r="O446" s="161"/>
      <c r="P446" s="118"/>
      <c r="Q446" s="118"/>
      <c r="R446" s="117"/>
      <c r="S446" s="117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64"/>
      <c r="O447" s="161"/>
      <c r="P447" s="118"/>
      <c r="Q447" s="118"/>
      <c r="R447" s="117"/>
      <c r="S447" s="117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  <c r="AL447" s="118"/>
      <c r="AM447" s="118"/>
      <c r="AN447" s="118"/>
      <c r="AO447" s="118"/>
      <c r="AP447" s="118"/>
      <c r="AQ447" s="118"/>
      <c r="AR447" s="118"/>
      <c r="AS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64"/>
      <c r="O448" s="161"/>
      <c r="P448" s="118"/>
      <c r="Q448" s="118"/>
      <c r="R448" s="117"/>
      <c r="S448" s="117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  <c r="AL448" s="118"/>
      <c r="AM448" s="118"/>
      <c r="AN448" s="118"/>
      <c r="AO448" s="118"/>
      <c r="AP448" s="118"/>
      <c r="AQ448" s="118"/>
      <c r="AR448" s="118"/>
      <c r="AS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64"/>
      <c r="O449" s="161"/>
      <c r="P449" s="118"/>
      <c r="Q449" s="118"/>
      <c r="R449" s="117"/>
      <c r="S449" s="117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64"/>
      <c r="O450" s="161"/>
      <c r="P450" s="118"/>
      <c r="Q450" s="118"/>
      <c r="R450" s="117"/>
      <c r="S450" s="117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64"/>
      <c r="O451" s="161"/>
      <c r="P451" s="118"/>
      <c r="Q451" s="118"/>
      <c r="R451" s="117"/>
      <c r="S451" s="117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64"/>
      <c r="O452" s="161"/>
      <c r="P452" s="118"/>
      <c r="Q452" s="118"/>
      <c r="R452" s="117"/>
      <c r="S452" s="117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  <c r="AL452" s="118"/>
      <c r="AM452" s="118"/>
      <c r="AN452" s="118"/>
      <c r="AO452" s="118"/>
      <c r="AP452" s="118"/>
      <c r="AQ452" s="118"/>
      <c r="AR452" s="118"/>
      <c r="AS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64"/>
      <c r="O453" s="161"/>
      <c r="P453" s="118"/>
      <c r="Q453" s="118"/>
      <c r="R453" s="117"/>
      <c r="S453" s="117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  <c r="AL453" s="118"/>
      <c r="AM453" s="118"/>
      <c r="AN453" s="118"/>
      <c r="AO453" s="118"/>
      <c r="AP453" s="118"/>
      <c r="AQ453" s="118"/>
      <c r="AR453" s="118"/>
      <c r="AS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64"/>
      <c r="O454" s="161"/>
      <c r="P454" s="118"/>
      <c r="Q454" s="118"/>
      <c r="R454" s="117"/>
      <c r="S454" s="117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  <c r="AL454" s="118"/>
      <c r="AM454" s="118"/>
      <c r="AN454" s="118"/>
      <c r="AO454" s="118"/>
      <c r="AP454" s="118"/>
      <c r="AQ454" s="118"/>
      <c r="AR454" s="118"/>
      <c r="AS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64"/>
      <c r="O455" s="161"/>
      <c r="P455" s="118"/>
      <c r="Q455" s="118"/>
      <c r="R455" s="117"/>
      <c r="S455" s="117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  <c r="AL455" s="118"/>
      <c r="AM455" s="118"/>
      <c r="AN455" s="118"/>
      <c r="AO455" s="118"/>
      <c r="AP455" s="118"/>
      <c r="AQ455" s="118"/>
      <c r="AR455" s="118"/>
      <c r="AS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64"/>
      <c r="O456" s="161"/>
      <c r="P456" s="118"/>
      <c r="Q456" s="118"/>
      <c r="R456" s="117"/>
      <c r="S456" s="117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64"/>
      <c r="O457" s="161"/>
      <c r="P457" s="118"/>
      <c r="Q457" s="118"/>
      <c r="R457" s="117"/>
      <c r="S457" s="117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64"/>
      <c r="O458" s="161"/>
      <c r="P458" s="118"/>
      <c r="Q458" s="118"/>
      <c r="R458" s="117"/>
      <c r="S458" s="117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64"/>
      <c r="O459" s="161"/>
      <c r="P459" s="118"/>
      <c r="Q459" s="118"/>
      <c r="R459" s="117"/>
      <c r="S459" s="117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  <c r="AL459" s="118"/>
      <c r="AM459" s="118"/>
      <c r="AN459" s="118"/>
      <c r="AO459" s="118"/>
      <c r="AP459" s="118"/>
      <c r="AQ459" s="118"/>
      <c r="AR459" s="118"/>
      <c r="AS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64"/>
      <c r="O460" s="161"/>
      <c r="P460" s="118"/>
      <c r="Q460" s="118"/>
      <c r="R460" s="117"/>
      <c r="S460" s="117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  <c r="AL460" s="118"/>
      <c r="AM460" s="118"/>
      <c r="AN460" s="118"/>
      <c r="AO460" s="118"/>
      <c r="AP460" s="118"/>
      <c r="AQ460" s="118"/>
      <c r="AR460" s="118"/>
      <c r="AS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64"/>
      <c r="O461" s="161"/>
      <c r="P461" s="118"/>
      <c r="Q461" s="118"/>
      <c r="R461" s="117"/>
      <c r="S461" s="117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  <c r="AL461" s="118"/>
      <c r="AM461" s="118"/>
      <c r="AN461" s="118"/>
      <c r="AO461" s="118"/>
      <c r="AP461" s="118"/>
      <c r="AQ461" s="118"/>
      <c r="AR461" s="118"/>
      <c r="AS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64"/>
      <c r="O462" s="161"/>
      <c r="P462" s="118"/>
      <c r="Q462" s="118"/>
      <c r="R462" s="117"/>
      <c r="S462" s="117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  <c r="AL462" s="118"/>
      <c r="AM462" s="118"/>
      <c r="AN462" s="118"/>
      <c r="AO462" s="118"/>
      <c r="AP462" s="118"/>
      <c r="AQ462" s="118"/>
      <c r="AR462" s="118"/>
      <c r="AS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64"/>
      <c r="O463" s="161"/>
      <c r="P463" s="118"/>
      <c r="Q463" s="118"/>
      <c r="R463" s="117"/>
      <c r="S463" s="117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64"/>
      <c r="O464" s="161"/>
      <c r="P464" s="118"/>
      <c r="Q464" s="118"/>
      <c r="R464" s="117"/>
      <c r="S464" s="117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64"/>
      <c r="O465" s="161"/>
      <c r="P465" s="118"/>
      <c r="Q465" s="118"/>
      <c r="R465" s="117"/>
      <c r="S465" s="117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  <c r="AI465" s="118"/>
      <c r="AJ465" s="118"/>
      <c r="AK465" s="118"/>
      <c r="AL465" s="118"/>
      <c r="AM465" s="118"/>
      <c r="AN465" s="118"/>
      <c r="AO465" s="118"/>
      <c r="AP465" s="118"/>
      <c r="AQ465" s="118"/>
      <c r="AR465" s="118"/>
      <c r="AS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64"/>
      <c r="O466" s="161"/>
      <c r="P466" s="118"/>
      <c r="Q466" s="118"/>
      <c r="R466" s="117"/>
      <c r="S466" s="117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  <c r="AI466" s="118"/>
      <c r="AJ466" s="118"/>
      <c r="AK466" s="118"/>
      <c r="AL466" s="118"/>
      <c r="AM466" s="118"/>
      <c r="AN466" s="118"/>
      <c r="AO466" s="118"/>
      <c r="AP466" s="118"/>
      <c r="AQ466" s="118"/>
      <c r="AR466" s="118"/>
      <c r="AS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64"/>
      <c r="O467" s="161"/>
      <c r="P467" s="118"/>
      <c r="Q467" s="118"/>
      <c r="R467" s="117"/>
      <c r="S467" s="117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  <c r="AI467" s="118"/>
      <c r="AJ467" s="118"/>
      <c r="AK467" s="118"/>
      <c r="AL467" s="118"/>
      <c r="AM467" s="118"/>
      <c r="AN467" s="118"/>
      <c r="AO467" s="118"/>
      <c r="AP467" s="118"/>
      <c r="AQ467" s="118"/>
      <c r="AR467" s="118"/>
      <c r="AS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64"/>
      <c r="O468" s="161"/>
      <c r="P468" s="118"/>
      <c r="Q468" s="118"/>
      <c r="R468" s="117"/>
      <c r="S468" s="117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  <c r="AI468" s="118"/>
      <c r="AJ468" s="118"/>
      <c r="AK468" s="118"/>
      <c r="AL468" s="118"/>
      <c r="AM468" s="118"/>
      <c r="AN468" s="118"/>
      <c r="AO468" s="118"/>
      <c r="AP468" s="118"/>
      <c r="AQ468" s="118"/>
      <c r="AR468" s="118"/>
      <c r="AS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64"/>
      <c r="O469" s="161"/>
      <c r="P469" s="118"/>
      <c r="Q469" s="118"/>
      <c r="R469" s="117"/>
      <c r="S469" s="117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  <c r="AI469" s="118"/>
      <c r="AJ469" s="118"/>
      <c r="AK469" s="118"/>
      <c r="AL469" s="118"/>
      <c r="AM469" s="118"/>
      <c r="AN469" s="118"/>
      <c r="AO469" s="118"/>
      <c r="AP469" s="118"/>
      <c r="AQ469" s="118"/>
      <c r="AR469" s="118"/>
      <c r="AS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64"/>
      <c r="O470" s="161"/>
      <c r="P470" s="118"/>
      <c r="Q470" s="118"/>
      <c r="R470" s="117"/>
      <c r="S470" s="117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  <c r="AI470" s="118"/>
      <c r="AJ470" s="118"/>
      <c r="AK470" s="118"/>
      <c r="AL470" s="118"/>
      <c r="AM470" s="118"/>
      <c r="AN470" s="118"/>
      <c r="AO470" s="118"/>
      <c r="AP470" s="118"/>
      <c r="AQ470" s="118"/>
      <c r="AR470" s="118"/>
      <c r="AS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64"/>
      <c r="O471" s="161"/>
      <c r="P471" s="118"/>
      <c r="Q471" s="118"/>
      <c r="R471" s="117"/>
      <c r="S471" s="117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  <c r="AI471" s="118"/>
      <c r="AJ471" s="118"/>
      <c r="AK471" s="118"/>
      <c r="AL471" s="118"/>
      <c r="AM471" s="118"/>
      <c r="AN471" s="118"/>
      <c r="AO471" s="118"/>
      <c r="AP471" s="118"/>
      <c r="AQ471" s="118"/>
      <c r="AR471" s="118"/>
      <c r="AS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64"/>
      <c r="O472" s="161"/>
      <c r="P472" s="118"/>
      <c r="Q472" s="118"/>
      <c r="R472" s="117"/>
      <c r="S472" s="117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  <c r="AI472" s="118"/>
      <c r="AJ472" s="118"/>
      <c r="AK472" s="118"/>
      <c r="AL472" s="118"/>
      <c r="AM472" s="118"/>
      <c r="AN472" s="118"/>
      <c r="AO472" s="118"/>
      <c r="AP472" s="118"/>
      <c r="AQ472" s="118"/>
      <c r="AR472" s="118"/>
      <c r="AS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64"/>
      <c r="O473" s="161"/>
      <c r="P473" s="118"/>
      <c r="Q473" s="118"/>
      <c r="R473" s="117"/>
      <c r="S473" s="117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  <c r="AI473" s="118"/>
      <c r="AJ473" s="118"/>
      <c r="AK473" s="118"/>
      <c r="AL473" s="118"/>
      <c r="AM473" s="118"/>
      <c r="AN473" s="118"/>
      <c r="AO473" s="118"/>
      <c r="AP473" s="118"/>
      <c r="AQ473" s="118"/>
      <c r="AR473" s="118"/>
      <c r="AS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64"/>
      <c r="O474" s="161"/>
      <c r="P474" s="118"/>
      <c r="Q474" s="118"/>
      <c r="R474" s="117"/>
      <c r="S474" s="117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64"/>
      <c r="O475" s="161"/>
      <c r="P475" s="118"/>
      <c r="Q475" s="118"/>
      <c r="R475" s="117"/>
      <c r="S475" s="117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  <c r="AL475" s="118"/>
      <c r="AM475" s="118"/>
      <c r="AN475" s="118"/>
      <c r="AO475" s="118"/>
      <c r="AP475" s="118"/>
      <c r="AQ475" s="118"/>
      <c r="AR475" s="118"/>
      <c r="AS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64"/>
      <c r="O476" s="161"/>
      <c r="P476" s="118"/>
      <c r="Q476" s="118"/>
      <c r="R476" s="117"/>
      <c r="S476" s="117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  <c r="AL476" s="118"/>
      <c r="AM476" s="118"/>
      <c r="AN476" s="118"/>
      <c r="AO476" s="118"/>
      <c r="AP476" s="118"/>
      <c r="AQ476" s="118"/>
      <c r="AR476" s="118"/>
      <c r="AS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64"/>
      <c r="O477" s="161"/>
      <c r="P477" s="118"/>
      <c r="Q477" s="118"/>
      <c r="R477" s="117"/>
      <c r="S477" s="117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  <c r="AL477" s="118"/>
      <c r="AM477" s="118"/>
      <c r="AN477" s="118"/>
      <c r="AO477" s="118"/>
      <c r="AP477" s="118"/>
      <c r="AQ477" s="118"/>
      <c r="AR477" s="118"/>
      <c r="AS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64"/>
      <c r="O478" s="161"/>
      <c r="P478" s="118"/>
      <c r="Q478" s="118"/>
      <c r="R478" s="117"/>
      <c r="S478" s="117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  <c r="AL478" s="118"/>
      <c r="AM478" s="118"/>
      <c r="AN478" s="118"/>
      <c r="AO478" s="118"/>
      <c r="AP478" s="118"/>
      <c r="AQ478" s="118"/>
      <c r="AR478" s="118"/>
      <c r="AS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64"/>
      <c r="O479" s="161"/>
      <c r="P479" s="118"/>
      <c r="Q479" s="118"/>
      <c r="R479" s="117"/>
      <c r="S479" s="117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64"/>
      <c r="O480" s="161"/>
      <c r="P480" s="118"/>
      <c r="Q480" s="118"/>
      <c r="R480" s="117"/>
      <c r="S480" s="117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64"/>
      <c r="O481" s="161"/>
      <c r="P481" s="118"/>
      <c r="Q481" s="118"/>
      <c r="R481" s="117"/>
      <c r="S481" s="117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64"/>
      <c r="O482" s="161"/>
      <c r="P482" s="118"/>
      <c r="Q482" s="118"/>
      <c r="R482" s="117"/>
      <c r="S482" s="117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  <c r="AL482" s="118"/>
      <c r="AM482" s="118"/>
      <c r="AN482" s="118"/>
      <c r="AO482" s="118"/>
      <c r="AP482" s="118"/>
      <c r="AQ482" s="118"/>
      <c r="AR482" s="118"/>
      <c r="AS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64"/>
      <c r="O483" s="161"/>
      <c r="P483" s="118"/>
      <c r="Q483" s="118"/>
      <c r="R483" s="117"/>
      <c r="S483" s="117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  <c r="AL483" s="118"/>
      <c r="AM483" s="118"/>
      <c r="AN483" s="118"/>
      <c r="AO483" s="118"/>
      <c r="AP483" s="118"/>
      <c r="AQ483" s="118"/>
      <c r="AR483" s="118"/>
      <c r="AS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64"/>
      <c r="O484" s="161"/>
      <c r="P484" s="118"/>
      <c r="Q484" s="118"/>
      <c r="R484" s="117"/>
      <c r="S484" s="117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  <c r="AL484" s="118"/>
      <c r="AM484" s="118"/>
      <c r="AN484" s="118"/>
      <c r="AO484" s="118"/>
      <c r="AP484" s="118"/>
      <c r="AQ484" s="118"/>
      <c r="AR484" s="118"/>
      <c r="AS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64"/>
      <c r="O485" s="161"/>
      <c r="P485" s="118"/>
      <c r="Q485" s="118"/>
      <c r="R485" s="117"/>
      <c r="S485" s="117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  <c r="AL485" s="118"/>
      <c r="AM485" s="118"/>
      <c r="AN485" s="118"/>
      <c r="AO485" s="118"/>
      <c r="AP485" s="118"/>
      <c r="AQ485" s="118"/>
      <c r="AR485" s="118"/>
      <c r="AS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64"/>
      <c r="O486" s="161"/>
      <c r="P486" s="118"/>
      <c r="Q486" s="118"/>
      <c r="R486" s="117"/>
      <c r="S486" s="117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64"/>
      <c r="O487" s="161"/>
      <c r="P487" s="118"/>
      <c r="Q487" s="118"/>
      <c r="R487" s="117"/>
      <c r="S487" s="117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64"/>
      <c r="O488" s="161"/>
      <c r="P488" s="118"/>
      <c r="Q488" s="118"/>
      <c r="R488" s="117"/>
      <c r="S488" s="117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64"/>
      <c r="O489" s="161"/>
      <c r="P489" s="118"/>
      <c r="Q489" s="118"/>
      <c r="R489" s="117"/>
      <c r="S489" s="117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  <c r="AL489" s="118"/>
      <c r="AM489" s="118"/>
      <c r="AN489" s="118"/>
      <c r="AO489" s="118"/>
      <c r="AP489" s="118"/>
      <c r="AQ489" s="118"/>
      <c r="AR489" s="118"/>
      <c r="AS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64"/>
      <c r="O490" s="161"/>
      <c r="P490" s="118"/>
      <c r="Q490" s="118"/>
      <c r="R490" s="117"/>
      <c r="S490" s="117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64"/>
      <c r="O491" s="161"/>
      <c r="P491" s="118"/>
      <c r="Q491" s="118"/>
      <c r="R491" s="117"/>
      <c r="S491" s="117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  <c r="AL491" s="118"/>
      <c r="AM491" s="118"/>
      <c r="AN491" s="118"/>
      <c r="AO491" s="118"/>
      <c r="AP491" s="118"/>
      <c r="AQ491" s="118"/>
      <c r="AR491" s="118"/>
      <c r="AS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64"/>
      <c r="O492" s="161"/>
      <c r="P492" s="118"/>
      <c r="Q492" s="118"/>
      <c r="R492" s="117"/>
      <c r="S492" s="117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  <c r="AL492" s="118"/>
      <c r="AM492" s="118"/>
      <c r="AN492" s="118"/>
      <c r="AO492" s="118"/>
      <c r="AP492" s="118"/>
      <c r="AQ492" s="118"/>
      <c r="AR492" s="118"/>
      <c r="AS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64"/>
      <c r="O493" s="161"/>
      <c r="P493" s="118"/>
      <c r="Q493" s="118"/>
      <c r="R493" s="117"/>
      <c r="S493" s="117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64"/>
      <c r="O494" s="161"/>
      <c r="P494" s="118"/>
      <c r="Q494" s="118"/>
      <c r="R494" s="117"/>
      <c r="S494" s="117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64"/>
      <c r="O495" s="161"/>
      <c r="P495" s="118"/>
      <c r="Q495" s="118"/>
      <c r="R495" s="117"/>
      <c r="S495" s="117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  <c r="AL495" s="118"/>
      <c r="AM495" s="118"/>
      <c r="AN495" s="118"/>
      <c r="AO495" s="118"/>
      <c r="AP495" s="118"/>
      <c r="AQ495" s="118"/>
      <c r="AR495" s="118"/>
      <c r="AS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64"/>
      <c r="O496" s="161"/>
      <c r="P496" s="118"/>
      <c r="Q496" s="118"/>
      <c r="R496" s="117"/>
      <c r="S496" s="117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  <c r="AL496" s="118"/>
      <c r="AM496" s="118"/>
      <c r="AN496" s="118"/>
      <c r="AO496" s="118"/>
      <c r="AP496" s="118"/>
      <c r="AQ496" s="118"/>
      <c r="AR496" s="118"/>
      <c r="AS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64"/>
      <c r="O497" s="161"/>
      <c r="P497" s="118"/>
      <c r="Q497" s="118"/>
      <c r="R497" s="117"/>
      <c r="S497" s="117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  <c r="AL497" s="118"/>
      <c r="AM497" s="118"/>
      <c r="AN497" s="118"/>
      <c r="AO497" s="118"/>
      <c r="AP497" s="118"/>
      <c r="AQ497" s="118"/>
      <c r="AR497" s="118"/>
      <c r="AS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64"/>
      <c r="O498" s="161"/>
      <c r="P498" s="118"/>
      <c r="Q498" s="118"/>
      <c r="R498" s="117"/>
      <c r="S498" s="117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64"/>
      <c r="O499" s="161"/>
      <c r="P499" s="118"/>
      <c r="Q499" s="118"/>
      <c r="R499" s="117"/>
      <c r="S499" s="117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  <c r="AL499" s="118"/>
      <c r="AM499" s="118"/>
      <c r="AN499" s="118"/>
      <c r="AO499" s="118"/>
      <c r="AP499" s="118"/>
      <c r="AQ499" s="118"/>
      <c r="AR499" s="118"/>
      <c r="AS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64"/>
      <c r="O500" s="161"/>
      <c r="P500" s="118"/>
      <c r="Q500" s="118"/>
      <c r="R500" s="117"/>
      <c r="S500" s="117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  <c r="AL500" s="118"/>
      <c r="AM500" s="118"/>
      <c r="AN500" s="118"/>
      <c r="AO500" s="118"/>
      <c r="AP500" s="118"/>
      <c r="AQ500" s="118"/>
      <c r="AR500" s="118"/>
      <c r="AS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64"/>
      <c r="O501" s="161"/>
      <c r="P501" s="118"/>
      <c r="Q501" s="118"/>
      <c r="R501" s="117"/>
      <c r="S501" s="117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  <c r="AL501" s="118"/>
      <c r="AM501" s="118"/>
      <c r="AN501" s="118"/>
      <c r="AO501" s="118"/>
      <c r="AP501" s="118"/>
      <c r="AQ501" s="118"/>
      <c r="AR501" s="118"/>
      <c r="AS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64"/>
      <c r="O502" s="161"/>
      <c r="P502" s="118"/>
      <c r="Q502" s="118"/>
      <c r="R502" s="117"/>
      <c r="S502" s="117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64"/>
      <c r="O503" s="161"/>
      <c r="P503" s="118"/>
      <c r="Q503" s="118"/>
      <c r="R503" s="117"/>
      <c r="S503" s="117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  <c r="AL503" s="118"/>
      <c r="AM503" s="118"/>
      <c r="AN503" s="118"/>
      <c r="AO503" s="118"/>
      <c r="AP503" s="118"/>
      <c r="AQ503" s="118"/>
      <c r="AR503" s="118"/>
      <c r="AS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64"/>
      <c r="O504" s="161"/>
      <c r="P504" s="118"/>
      <c r="Q504" s="118"/>
      <c r="R504" s="117"/>
      <c r="S504" s="117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  <c r="AL504" s="118"/>
      <c r="AM504" s="118"/>
      <c r="AN504" s="118"/>
      <c r="AO504" s="118"/>
      <c r="AP504" s="118"/>
      <c r="AQ504" s="118"/>
      <c r="AR504" s="118"/>
      <c r="AS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64"/>
      <c r="O505" s="161"/>
      <c r="P505" s="118"/>
      <c r="Q505" s="118"/>
      <c r="R505" s="117"/>
      <c r="S505" s="117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  <c r="AL505" s="118"/>
      <c r="AM505" s="118"/>
      <c r="AN505" s="118"/>
      <c r="AO505" s="118"/>
      <c r="AP505" s="118"/>
      <c r="AQ505" s="118"/>
      <c r="AR505" s="118"/>
      <c r="AS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64"/>
      <c r="O506" s="161"/>
      <c r="P506" s="118"/>
      <c r="Q506" s="118"/>
      <c r="R506" s="117"/>
      <c r="S506" s="117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  <c r="AL506" s="118"/>
      <c r="AM506" s="118"/>
      <c r="AN506" s="118"/>
      <c r="AO506" s="118"/>
      <c r="AP506" s="118"/>
      <c r="AQ506" s="118"/>
      <c r="AR506" s="118"/>
      <c r="AS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64"/>
      <c r="O507" s="161"/>
      <c r="P507" s="118"/>
      <c r="Q507" s="118"/>
      <c r="R507" s="117"/>
      <c r="S507" s="117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  <c r="AL507" s="118"/>
      <c r="AM507" s="118"/>
      <c r="AN507" s="118"/>
      <c r="AO507" s="118"/>
      <c r="AP507" s="118"/>
      <c r="AQ507" s="118"/>
      <c r="AR507" s="118"/>
      <c r="AS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64"/>
      <c r="O508" s="161"/>
      <c r="P508" s="118"/>
      <c r="Q508" s="118"/>
      <c r="R508" s="117"/>
      <c r="S508" s="117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  <c r="AL508" s="118"/>
      <c r="AM508" s="118"/>
      <c r="AN508" s="118"/>
      <c r="AO508" s="118"/>
      <c r="AP508" s="118"/>
      <c r="AQ508" s="118"/>
      <c r="AR508" s="118"/>
      <c r="AS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64"/>
      <c r="O509" s="161"/>
      <c r="P509" s="118"/>
      <c r="Q509" s="118"/>
      <c r="R509" s="117"/>
      <c r="S509" s="117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  <c r="AL509" s="118"/>
      <c r="AM509" s="118"/>
      <c r="AN509" s="118"/>
      <c r="AO509" s="118"/>
      <c r="AP509" s="118"/>
      <c r="AQ509" s="118"/>
      <c r="AR509" s="118"/>
      <c r="AS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64"/>
      <c r="O510" s="161"/>
      <c r="P510" s="118"/>
      <c r="Q510" s="118"/>
      <c r="R510" s="117"/>
      <c r="S510" s="117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  <c r="AL510" s="118"/>
      <c r="AM510" s="118"/>
      <c r="AN510" s="118"/>
      <c r="AO510" s="118"/>
      <c r="AP510" s="118"/>
      <c r="AQ510" s="118"/>
      <c r="AR510" s="118"/>
      <c r="AS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64"/>
      <c r="O511" s="161"/>
      <c r="P511" s="118"/>
      <c r="Q511" s="118"/>
      <c r="R511" s="117"/>
      <c r="S511" s="117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  <c r="AL511" s="118"/>
      <c r="AM511" s="118"/>
      <c r="AN511" s="118"/>
      <c r="AO511" s="118"/>
      <c r="AP511" s="118"/>
      <c r="AQ511" s="118"/>
      <c r="AR511" s="118"/>
      <c r="AS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64"/>
      <c r="O512" s="161"/>
      <c r="P512" s="118"/>
      <c r="Q512" s="118"/>
      <c r="R512" s="117"/>
      <c r="S512" s="117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64"/>
      <c r="O513" s="161"/>
      <c r="P513" s="118"/>
      <c r="Q513" s="118"/>
      <c r="R513" s="117"/>
      <c r="S513" s="117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  <c r="AL513" s="118"/>
      <c r="AM513" s="118"/>
      <c r="AN513" s="118"/>
      <c r="AO513" s="118"/>
      <c r="AP513" s="118"/>
      <c r="AQ513" s="118"/>
      <c r="AR513" s="118"/>
      <c r="AS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64"/>
      <c r="O514" s="161"/>
      <c r="P514" s="118"/>
      <c r="Q514" s="118"/>
      <c r="R514" s="117"/>
      <c r="S514" s="117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  <c r="AL514" s="118"/>
      <c r="AM514" s="118"/>
      <c r="AN514" s="118"/>
      <c r="AO514" s="118"/>
      <c r="AP514" s="118"/>
      <c r="AQ514" s="118"/>
      <c r="AR514" s="118"/>
      <c r="AS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64"/>
      <c r="O515" s="161"/>
      <c r="P515" s="118"/>
      <c r="Q515" s="118"/>
      <c r="R515" s="117"/>
      <c r="S515" s="117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  <c r="AL515" s="118"/>
      <c r="AM515" s="118"/>
      <c r="AN515" s="118"/>
      <c r="AO515" s="118"/>
      <c r="AP515" s="118"/>
      <c r="AQ515" s="118"/>
      <c r="AR515" s="118"/>
      <c r="AS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64"/>
      <c r="O516" s="161"/>
      <c r="P516" s="118"/>
      <c r="Q516" s="118"/>
      <c r="R516" s="117"/>
      <c r="S516" s="117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  <c r="AL516" s="118"/>
      <c r="AM516" s="118"/>
      <c r="AN516" s="118"/>
      <c r="AO516" s="118"/>
      <c r="AP516" s="118"/>
      <c r="AQ516" s="118"/>
      <c r="AR516" s="118"/>
      <c r="AS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64"/>
      <c r="O517" s="161"/>
      <c r="P517" s="118"/>
      <c r="Q517" s="118"/>
      <c r="R517" s="117"/>
      <c r="S517" s="117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  <c r="AL517" s="118"/>
      <c r="AM517" s="118"/>
      <c r="AN517" s="118"/>
      <c r="AO517" s="118"/>
      <c r="AP517" s="118"/>
      <c r="AQ517" s="118"/>
      <c r="AR517" s="118"/>
      <c r="AS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64"/>
      <c r="O518" s="161"/>
      <c r="P518" s="118"/>
      <c r="Q518" s="118"/>
      <c r="R518" s="117"/>
      <c r="S518" s="117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8"/>
      <c r="AN518" s="118"/>
      <c r="AO518" s="118"/>
      <c r="AP518" s="118"/>
      <c r="AQ518" s="118"/>
      <c r="AR518" s="118"/>
      <c r="AS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64"/>
      <c r="O519" s="161"/>
      <c r="P519" s="118"/>
      <c r="Q519" s="118"/>
      <c r="R519" s="117"/>
      <c r="S519" s="117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  <c r="AL519" s="118"/>
      <c r="AM519" s="118"/>
      <c r="AN519" s="118"/>
      <c r="AO519" s="118"/>
      <c r="AP519" s="118"/>
      <c r="AQ519" s="118"/>
      <c r="AR519" s="118"/>
      <c r="AS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64"/>
      <c r="O520" s="161"/>
      <c r="P520" s="118"/>
      <c r="Q520" s="118"/>
      <c r="R520" s="117"/>
      <c r="S520" s="117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  <c r="AL520" s="118"/>
      <c r="AM520" s="118"/>
      <c r="AN520" s="118"/>
      <c r="AO520" s="118"/>
      <c r="AP520" s="118"/>
      <c r="AQ520" s="118"/>
      <c r="AR520" s="118"/>
      <c r="AS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64"/>
      <c r="O521" s="161"/>
      <c r="P521" s="118"/>
      <c r="Q521" s="118"/>
      <c r="R521" s="117"/>
      <c r="S521" s="117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AK521" s="118"/>
      <c r="AL521" s="118"/>
      <c r="AM521" s="118"/>
      <c r="AN521" s="118"/>
      <c r="AO521" s="118"/>
      <c r="AP521" s="118"/>
      <c r="AQ521" s="118"/>
      <c r="AR521" s="118"/>
      <c r="AS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64"/>
      <c r="O522" s="161"/>
      <c r="P522" s="118"/>
      <c r="Q522" s="118"/>
      <c r="R522" s="117"/>
      <c r="S522" s="117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  <c r="AL522" s="118"/>
      <c r="AM522" s="118"/>
      <c r="AN522" s="118"/>
      <c r="AO522" s="118"/>
      <c r="AP522" s="118"/>
      <c r="AQ522" s="118"/>
      <c r="AR522" s="118"/>
      <c r="AS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64"/>
      <c r="O523" s="161"/>
      <c r="P523" s="118"/>
      <c r="Q523" s="118"/>
      <c r="R523" s="117"/>
      <c r="S523" s="117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  <c r="AL523" s="118"/>
      <c r="AM523" s="118"/>
      <c r="AN523" s="118"/>
      <c r="AO523" s="118"/>
      <c r="AP523" s="118"/>
      <c r="AQ523" s="118"/>
      <c r="AR523" s="118"/>
      <c r="AS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64"/>
      <c r="O524" s="161"/>
      <c r="P524" s="118"/>
      <c r="Q524" s="118"/>
      <c r="R524" s="117"/>
      <c r="S524" s="117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  <c r="AL524" s="118"/>
      <c r="AM524" s="118"/>
      <c r="AN524" s="118"/>
      <c r="AO524" s="118"/>
      <c r="AP524" s="118"/>
      <c r="AQ524" s="118"/>
      <c r="AR524" s="118"/>
      <c r="AS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64"/>
      <c r="O525" s="161"/>
      <c r="P525" s="118"/>
      <c r="Q525" s="118"/>
      <c r="R525" s="117"/>
      <c r="S525" s="117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  <c r="AL525" s="118"/>
      <c r="AM525" s="118"/>
      <c r="AN525" s="118"/>
      <c r="AO525" s="118"/>
      <c r="AP525" s="118"/>
      <c r="AQ525" s="118"/>
      <c r="AR525" s="118"/>
      <c r="AS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64"/>
      <c r="O526" s="161"/>
      <c r="P526" s="118"/>
      <c r="Q526" s="118"/>
      <c r="R526" s="117"/>
      <c r="S526" s="117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  <c r="AL526" s="118"/>
      <c r="AM526" s="118"/>
      <c r="AN526" s="118"/>
      <c r="AO526" s="118"/>
      <c r="AP526" s="118"/>
      <c r="AQ526" s="118"/>
      <c r="AR526" s="118"/>
      <c r="AS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64"/>
      <c r="O527" s="161"/>
      <c r="P527" s="118"/>
      <c r="Q527" s="118"/>
      <c r="R527" s="117"/>
      <c r="S527" s="117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  <c r="AL527" s="118"/>
      <c r="AM527" s="118"/>
      <c r="AN527" s="118"/>
      <c r="AO527" s="118"/>
      <c r="AP527" s="118"/>
      <c r="AQ527" s="118"/>
      <c r="AR527" s="118"/>
      <c r="AS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64"/>
      <c r="O528" s="161"/>
      <c r="P528" s="118"/>
      <c r="Q528" s="118"/>
      <c r="R528" s="117"/>
      <c r="S528" s="117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  <c r="AL528" s="118"/>
      <c r="AM528" s="118"/>
      <c r="AN528" s="118"/>
      <c r="AO528" s="118"/>
      <c r="AP528" s="118"/>
      <c r="AQ528" s="118"/>
      <c r="AR528" s="118"/>
      <c r="AS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64"/>
      <c r="O529" s="161"/>
      <c r="P529" s="118"/>
      <c r="Q529" s="118"/>
      <c r="R529" s="117"/>
      <c r="S529" s="117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  <c r="AI529" s="118"/>
      <c r="AJ529" s="118"/>
      <c r="AK529" s="118"/>
      <c r="AL529" s="118"/>
      <c r="AM529" s="118"/>
      <c r="AN529" s="118"/>
      <c r="AO529" s="118"/>
      <c r="AP529" s="118"/>
      <c r="AQ529" s="118"/>
      <c r="AR529" s="118"/>
      <c r="AS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64"/>
      <c r="O530" s="161"/>
      <c r="P530" s="118"/>
      <c r="Q530" s="118"/>
      <c r="R530" s="117"/>
      <c r="S530" s="117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  <c r="AI530" s="118"/>
      <c r="AJ530" s="118"/>
      <c r="AK530" s="118"/>
      <c r="AL530" s="118"/>
      <c r="AM530" s="118"/>
      <c r="AN530" s="118"/>
      <c r="AO530" s="118"/>
      <c r="AP530" s="118"/>
      <c r="AQ530" s="118"/>
      <c r="AR530" s="118"/>
      <c r="AS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64"/>
      <c r="O531" s="161"/>
      <c r="P531" s="118"/>
      <c r="Q531" s="118"/>
      <c r="R531" s="117"/>
      <c r="S531" s="117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  <c r="AI531" s="118"/>
      <c r="AJ531" s="118"/>
      <c r="AK531" s="118"/>
      <c r="AL531" s="118"/>
      <c r="AM531" s="118"/>
      <c r="AN531" s="118"/>
      <c r="AO531" s="118"/>
      <c r="AP531" s="118"/>
      <c r="AQ531" s="118"/>
      <c r="AR531" s="118"/>
      <c r="AS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64"/>
      <c r="O532" s="161"/>
      <c r="P532" s="118"/>
      <c r="Q532" s="118"/>
      <c r="R532" s="117"/>
      <c r="S532" s="117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  <c r="AI532" s="118"/>
      <c r="AJ532" s="118"/>
      <c r="AK532" s="118"/>
      <c r="AL532" s="118"/>
      <c r="AM532" s="118"/>
      <c r="AN532" s="118"/>
      <c r="AO532" s="118"/>
      <c r="AP532" s="118"/>
      <c r="AQ532" s="118"/>
      <c r="AR532" s="118"/>
      <c r="AS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64"/>
      <c r="O533" s="161"/>
      <c r="P533" s="118"/>
      <c r="Q533" s="118"/>
      <c r="R533" s="117"/>
      <c r="S533" s="117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  <c r="AI533" s="118"/>
      <c r="AJ533" s="118"/>
      <c r="AK533" s="118"/>
      <c r="AL533" s="118"/>
      <c r="AM533" s="118"/>
      <c r="AN533" s="118"/>
      <c r="AO533" s="118"/>
      <c r="AP533" s="118"/>
      <c r="AQ533" s="118"/>
      <c r="AR533" s="118"/>
      <c r="AS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64"/>
      <c r="O534" s="161"/>
      <c r="P534" s="118"/>
      <c r="Q534" s="118"/>
      <c r="R534" s="117"/>
      <c r="S534" s="117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64"/>
      <c r="O535" s="161"/>
      <c r="P535" s="118"/>
      <c r="Q535" s="118"/>
      <c r="R535" s="117"/>
      <c r="S535" s="117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  <c r="AL535" s="118"/>
      <c r="AM535" s="118"/>
      <c r="AN535" s="118"/>
      <c r="AO535" s="118"/>
      <c r="AP535" s="118"/>
      <c r="AQ535" s="118"/>
      <c r="AR535" s="118"/>
      <c r="AS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64"/>
      <c r="O536" s="161"/>
      <c r="P536" s="118"/>
      <c r="Q536" s="118"/>
      <c r="R536" s="117"/>
      <c r="S536" s="117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  <c r="AL536" s="118"/>
      <c r="AM536" s="118"/>
      <c r="AN536" s="118"/>
      <c r="AO536" s="118"/>
      <c r="AP536" s="118"/>
      <c r="AQ536" s="118"/>
      <c r="AR536" s="118"/>
      <c r="AS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64"/>
      <c r="O537" s="161"/>
      <c r="P537" s="118"/>
      <c r="Q537" s="118"/>
      <c r="R537" s="117"/>
      <c r="S537" s="117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  <c r="AL537" s="118"/>
      <c r="AM537" s="118"/>
      <c r="AN537" s="118"/>
      <c r="AO537" s="118"/>
      <c r="AP537" s="118"/>
      <c r="AQ537" s="118"/>
      <c r="AR537" s="118"/>
      <c r="AS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64"/>
      <c r="O538" s="161"/>
      <c r="P538" s="118"/>
      <c r="Q538" s="118"/>
      <c r="R538" s="117"/>
      <c r="S538" s="117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  <c r="AL538" s="118"/>
      <c r="AM538" s="118"/>
      <c r="AN538" s="118"/>
      <c r="AO538" s="118"/>
      <c r="AP538" s="118"/>
      <c r="AQ538" s="118"/>
      <c r="AR538" s="118"/>
      <c r="AS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64"/>
      <c r="O539" s="161"/>
      <c r="P539" s="118"/>
      <c r="Q539" s="118"/>
      <c r="R539" s="117"/>
      <c r="S539" s="117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  <c r="AL539" s="118"/>
      <c r="AM539" s="118"/>
      <c r="AN539" s="118"/>
      <c r="AO539" s="118"/>
      <c r="AP539" s="118"/>
      <c r="AQ539" s="118"/>
      <c r="AR539" s="118"/>
      <c r="AS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64"/>
      <c r="O540" s="161"/>
      <c r="P540" s="118"/>
      <c r="Q540" s="118"/>
      <c r="R540" s="117"/>
      <c r="S540" s="117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  <c r="AL540" s="118"/>
      <c r="AM540" s="118"/>
      <c r="AN540" s="118"/>
      <c r="AO540" s="118"/>
      <c r="AP540" s="118"/>
      <c r="AQ540" s="118"/>
      <c r="AR540" s="118"/>
      <c r="AS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64"/>
      <c r="O541" s="161"/>
      <c r="P541" s="118"/>
      <c r="Q541" s="118"/>
      <c r="R541" s="117"/>
      <c r="S541" s="117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  <c r="AL541" s="118"/>
      <c r="AM541" s="118"/>
      <c r="AN541" s="118"/>
      <c r="AO541" s="118"/>
      <c r="AP541" s="118"/>
      <c r="AQ541" s="118"/>
      <c r="AR541" s="118"/>
      <c r="AS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64"/>
      <c r="O542" s="161"/>
      <c r="P542" s="118"/>
      <c r="Q542" s="118"/>
      <c r="R542" s="117"/>
      <c r="S542" s="117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  <c r="AL542" s="118"/>
      <c r="AM542" s="118"/>
      <c r="AN542" s="118"/>
      <c r="AO542" s="118"/>
      <c r="AP542" s="118"/>
      <c r="AQ542" s="118"/>
      <c r="AR542" s="118"/>
      <c r="AS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64"/>
      <c r="O543" s="161"/>
      <c r="P543" s="118"/>
      <c r="Q543" s="118"/>
      <c r="R543" s="117"/>
      <c r="S543" s="117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  <c r="AL543" s="118"/>
      <c r="AM543" s="118"/>
      <c r="AN543" s="118"/>
      <c r="AO543" s="118"/>
      <c r="AP543" s="118"/>
      <c r="AQ543" s="118"/>
      <c r="AR543" s="118"/>
      <c r="AS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64"/>
      <c r="O544" s="161"/>
      <c r="P544" s="118"/>
      <c r="Q544" s="118"/>
      <c r="R544" s="117"/>
      <c r="S544" s="117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64"/>
      <c r="O545" s="161"/>
      <c r="P545" s="118"/>
      <c r="Q545" s="118"/>
      <c r="R545" s="117"/>
      <c r="S545" s="117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  <c r="AL545" s="118"/>
      <c r="AM545" s="118"/>
      <c r="AN545" s="118"/>
      <c r="AO545" s="118"/>
      <c r="AP545" s="118"/>
      <c r="AQ545" s="118"/>
      <c r="AR545" s="118"/>
      <c r="AS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64"/>
      <c r="O546" s="161"/>
      <c r="P546" s="118"/>
      <c r="Q546" s="118"/>
      <c r="R546" s="117"/>
      <c r="S546" s="117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  <c r="AL546" s="118"/>
      <c r="AM546" s="118"/>
      <c r="AN546" s="118"/>
      <c r="AO546" s="118"/>
      <c r="AP546" s="118"/>
      <c r="AQ546" s="118"/>
      <c r="AR546" s="118"/>
      <c r="AS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64"/>
      <c r="O547" s="161"/>
      <c r="P547" s="118"/>
      <c r="Q547" s="118"/>
      <c r="R547" s="117"/>
      <c r="S547" s="117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  <c r="AL547" s="118"/>
      <c r="AM547" s="118"/>
      <c r="AN547" s="118"/>
      <c r="AO547" s="118"/>
      <c r="AP547" s="118"/>
      <c r="AQ547" s="118"/>
      <c r="AR547" s="118"/>
      <c r="AS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64"/>
      <c r="O548" s="161"/>
      <c r="P548" s="118"/>
      <c r="Q548" s="118"/>
      <c r="R548" s="117"/>
      <c r="S548" s="117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  <c r="AO548" s="118"/>
      <c r="AP548" s="118"/>
      <c r="AQ548" s="118"/>
      <c r="AR548" s="118"/>
      <c r="AS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64"/>
      <c r="O549" s="161"/>
      <c r="P549" s="118"/>
      <c r="Q549" s="118"/>
      <c r="R549" s="117"/>
      <c r="S549" s="117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  <c r="AL549" s="118"/>
      <c r="AM549" s="118"/>
      <c r="AN549" s="118"/>
      <c r="AO549" s="118"/>
      <c r="AP549" s="118"/>
      <c r="AQ549" s="118"/>
      <c r="AR549" s="118"/>
      <c r="AS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64"/>
      <c r="O550" s="161"/>
      <c r="P550" s="118"/>
      <c r="Q550" s="118"/>
      <c r="R550" s="117"/>
      <c r="S550" s="117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8"/>
      <c r="AM550" s="118"/>
      <c r="AN550" s="118"/>
      <c r="AO550" s="118"/>
      <c r="AP550" s="118"/>
      <c r="AQ550" s="118"/>
      <c r="AR550" s="118"/>
      <c r="AS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64"/>
      <c r="O551" s="161"/>
      <c r="P551" s="118"/>
      <c r="Q551" s="118"/>
      <c r="R551" s="117"/>
      <c r="S551" s="117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64"/>
      <c r="O552" s="161"/>
      <c r="P552" s="118"/>
      <c r="Q552" s="118"/>
      <c r="R552" s="117"/>
      <c r="S552" s="117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8"/>
      <c r="AM552" s="118"/>
      <c r="AN552" s="118"/>
      <c r="AO552" s="118"/>
      <c r="AP552" s="118"/>
      <c r="AQ552" s="118"/>
      <c r="AR552" s="118"/>
      <c r="AS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64"/>
      <c r="O553" s="161"/>
      <c r="P553" s="118"/>
      <c r="Q553" s="118"/>
      <c r="R553" s="117"/>
      <c r="S553" s="117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  <c r="AL553" s="118"/>
      <c r="AM553" s="118"/>
      <c r="AN553" s="118"/>
      <c r="AO553" s="118"/>
      <c r="AP553" s="118"/>
      <c r="AQ553" s="118"/>
      <c r="AR553" s="118"/>
      <c r="AS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64"/>
      <c r="O554" s="161"/>
      <c r="P554" s="118"/>
      <c r="Q554" s="118"/>
      <c r="R554" s="117"/>
      <c r="S554" s="117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  <c r="AL554" s="118"/>
      <c r="AM554" s="118"/>
      <c r="AN554" s="118"/>
      <c r="AO554" s="118"/>
      <c r="AP554" s="118"/>
      <c r="AQ554" s="118"/>
      <c r="AR554" s="118"/>
      <c r="AS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64"/>
      <c r="O555" s="161"/>
      <c r="P555" s="118"/>
      <c r="Q555" s="118"/>
      <c r="R555" s="117"/>
      <c r="S555" s="117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  <c r="AL555" s="118"/>
      <c r="AM555" s="118"/>
      <c r="AN555" s="118"/>
      <c r="AO555" s="118"/>
      <c r="AP555" s="118"/>
      <c r="AQ555" s="118"/>
      <c r="AR555" s="118"/>
      <c r="AS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64"/>
      <c r="O556" s="161"/>
      <c r="P556" s="118"/>
      <c r="Q556" s="118"/>
      <c r="R556" s="117"/>
      <c r="S556" s="117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8"/>
      <c r="AN556" s="118"/>
      <c r="AO556" s="118"/>
      <c r="AP556" s="118"/>
      <c r="AQ556" s="118"/>
      <c r="AR556" s="118"/>
      <c r="AS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64"/>
      <c r="O557" s="161"/>
      <c r="P557" s="118"/>
      <c r="Q557" s="118"/>
      <c r="R557" s="117"/>
      <c r="S557" s="117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  <c r="AL557" s="118"/>
      <c r="AM557" s="118"/>
      <c r="AN557" s="118"/>
      <c r="AO557" s="118"/>
      <c r="AP557" s="118"/>
      <c r="AQ557" s="118"/>
      <c r="AR557" s="118"/>
      <c r="AS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64"/>
      <c r="O558" s="161"/>
      <c r="P558" s="118"/>
      <c r="Q558" s="118"/>
      <c r="R558" s="117"/>
      <c r="S558" s="117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  <c r="AL558" s="118"/>
      <c r="AM558" s="118"/>
      <c r="AN558" s="118"/>
      <c r="AO558" s="118"/>
      <c r="AP558" s="118"/>
      <c r="AQ558" s="118"/>
      <c r="AR558" s="118"/>
      <c r="AS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64"/>
      <c r="O559" s="161"/>
      <c r="P559" s="118"/>
      <c r="Q559" s="118"/>
      <c r="R559" s="117"/>
      <c r="S559" s="117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  <c r="AL559" s="118"/>
      <c r="AM559" s="118"/>
      <c r="AN559" s="118"/>
      <c r="AO559" s="118"/>
      <c r="AP559" s="118"/>
      <c r="AQ559" s="118"/>
      <c r="AR559" s="118"/>
      <c r="AS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64"/>
      <c r="O560" s="161"/>
      <c r="P560" s="118"/>
      <c r="Q560" s="118"/>
      <c r="R560" s="117"/>
      <c r="S560" s="117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  <c r="AI560" s="118"/>
      <c r="AJ560" s="118"/>
      <c r="AK560" s="118"/>
      <c r="AL560" s="118"/>
      <c r="AM560" s="118"/>
      <c r="AN560" s="118"/>
      <c r="AO560" s="118"/>
      <c r="AP560" s="118"/>
      <c r="AQ560" s="118"/>
      <c r="AR560" s="118"/>
      <c r="AS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64"/>
      <c r="O561" s="161"/>
      <c r="P561" s="118"/>
      <c r="Q561" s="118"/>
      <c r="R561" s="117"/>
      <c r="S561" s="117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  <c r="AI561" s="118"/>
      <c r="AJ561" s="118"/>
      <c r="AK561" s="118"/>
      <c r="AL561" s="118"/>
      <c r="AM561" s="118"/>
      <c r="AN561" s="118"/>
      <c r="AO561" s="118"/>
      <c r="AP561" s="118"/>
      <c r="AQ561" s="118"/>
      <c r="AR561" s="118"/>
      <c r="AS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64"/>
      <c r="O562" s="161"/>
      <c r="P562" s="118"/>
      <c r="Q562" s="118"/>
      <c r="R562" s="117"/>
      <c r="S562" s="117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  <c r="AI562" s="118"/>
      <c r="AJ562" s="118"/>
      <c r="AK562" s="118"/>
      <c r="AL562" s="118"/>
      <c r="AM562" s="118"/>
      <c r="AN562" s="118"/>
      <c r="AO562" s="118"/>
      <c r="AP562" s="118"/>
      <c r="AQ562" s="118"/>
      <c r="AR562" s="118"/>
      <c r="AS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64"/>
      <c r="O563" s="161"/>
      <c r="P563" s="118"/>
      <c r="Q563" s="118"/>
      <c r="R563" s="117"/>
      <c r="S563" s="117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  <c r="AI563" s="118"/>
      <c r="AJ563" s="118"/>
      <c r="AK563" s="118"/>
      <c r="AL563" s="118"/>
      <c r="AM563" s="118"/>
      <c r="AN563" s="118"/>
      <c r="AO563" s="118"/>
      <c r="AP563" s="118"/>
      <c r="AQ563" s="118"/>
      <c r="AR563" s="118"/>
      <c r="AS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64"/>
      <c r="O564" s="161"/>
      <c r="P564" s="118"/>
      <c r="Q564" s="118"/>
      <c r="R564" s="117"/>
      <c r="S564" s="117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64"/>
      <c r="O565" s="161"/>
      <c r="P565" s="118"/>
      <c r="Q565" s="118"/>
      <c r="R565" s="117"/>
      <c r="S565" s="117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  <c r="AI565" s="118"/>
      <c r="AJ565" s="118"/>
      <c r="AK565" s="118"/>
      <c r="AL565" s="118"/>
      <c r="AM565" s="118"/>
      <c r="AN565" s="118"/>
      <c r="AO565" s="118"/>
      <c r="AP565" s="118"/>
      <c r="AQ565" s="118"/>
      <c r="AR565" s="118"/>
      <c r="AS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64"/>
      <c r="O566" s="161"/>
      <c r="P566" s="118"/>
      <c r="Q566" s="118"/>
      <c r="R566" s="117"/>
      <c r="S566" s="117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  <c r="AI566" s="118"/>
      <c r="AJ566" s="118"/>
      <c r="AK566" s="118"/>
      <c r="AL566" s="118"/>
      <c r="AM566" s="118"/>
      <c r="AN566" s="118"/>
      <c r="AO566" s="118"/>
      <c r="AP566" s="118"/>
      <c r="AQ566" s="118"/>
      <c r="AR566" s="118"/>
      <c r="AS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64"/>
      <c r="O567" s="161"/>
      <c r="P567" s="118"/>
      <c r="Q567" s="118"/>
      <c r="R567" s="117"/>
      <c r="S567" s="117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  <c r="AI567" s="118"/>
      <c r="AJ567" s="118"/>
      <c r="AK567" s="118"/>
      <c r="AL567" s="118"/>
      <c r="AM567" s="118"/>
      <c r="AN567" s="118"/>
      <c r="AO567" s="118"/>
      <c r="AP567" s="118"/>
      <c r="AQ567" s="118"/>
      <c r="AR567" s="118"/>
      <c r="AS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64"/>
      <c r="O568" s="161"/>
      <c r="P568" s="118"/>
      <c r="Q568" s="118"/>
      <c r="R568" s="117"/>
      <c r="S568" s="117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  <c r="AI568" s="118"/>
      <c r="AJ568" s="118"/>
      <c r="AK568" s="118"/>
      <c r="AL568" s="118"/>
      <c r="AM568" s="118"/>
      <c r="AN568" s="118"/>
      <c r="AO568" s="118"/>
      <c r="AP568" s="118"/>
      <c r="AQ568" s="118"/>
      <c r="AR568" s="118"/>
      <c r="AS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64"/>
      <c r="O569" s="161"/>
      <c r="P569" s="118"/>
      <c r="Q569" s="118"/>
      <c r="R569" s="117"/>
      <c r="S569" s="117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  <c r="AI569" s="118"/>
      <c r="AJ569" s="118"/>
      <c r="AK569" s="118"/>
      <c r="AL569" s="118"/>
      <c r="AM569" s="118"/>
      <c r="AN569" s="118"/>
      <c r="AO569" s="118"/>
      <c r="AP569" s="118"/>
      <c r="AQ569" s="118"/>
      <c r="AR569" s="118"/>
      <c r="AS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64"/>
      <c r="O570" s="161"/>
      <c r="P570" s="118"/>
      <c r="Q570" s="118"/>
      <c r="R570" s="117"/>
      <c r="S570" s="117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  <c r="AI570" s="118"/>
      <c r="AJ570" s="118"/>
      <c r="AK570" s="118"/>
      <c r="AL570" s="118"/>
      <c r="AM570" s="118"/>
      <c r="AN570" s="118"/>
      <c r="AO570" s="118"/>
      <c r="AP570" s="118"/>
      <c r="AQ570" s="118"/>
      <c r="AR570" s="118"/>
      <c r="AS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64"/>
      <c r="O571" s="161"/>
      <c r="P571" s="118"/>
      <c r="Q571" s="118"/>
      <c r="R571" s="117"/>
      <c r="S571" s="117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  <c r="AI571" s="118"/>
      <c r="AJ571" s="118"/>
      <c r="AK571" s="118"/>
      <c r="AL571" s="118"/>
      <c r="AM571" s="118"/>
      <c r="AN571" s="118"/>
      <c r="AO571" s="118"/>
      <c r="AP571" s="118"/>
      <c r="AQ571" s="118"/>
      <c r="AR571" s="118"/>
      <c r="AS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64"/>
      <c r="O572" s="161"/>
      <c r="P572" s="118"/>
      <c r="Q572" s="118"/>
      <c r="R572" s="117"/>
      <c r="S572" s="117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  <c r="AI572" s="118"/>
      <c r="AJ572" s="118"/>
      <c r="AK572" s="118"/>
      <c r="AL572" s="118"/>
      <c r="AM572" s="118"/>
      <c r="AN572" s="118"/>
      <c r="AO572" s="118"/>
      <c r="AP572" s="118"/>
      <c r="AQ572" s="118"/>
      <c r="AR572" s="118"/>
      <c r="AS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64"/>
      <c r="O573" s="161"/>
      <c r="P573" s="118"/>
      <c r="Q573" s="118"/>
      <c r="R573" s="117"/>
      <c r="S573" s="117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  <c r="AI573" s="118"/>
      <c r="AJ573" s="118"/>
      <c r="AK573" s="118"/>
      <c r="AL573" s="118"/>
      <c r="AM573" s="118"/>
      <c r="AN573" s="118"/>
      <c r="AO573" s="118"/>
      <c r="AP573" s="118"/>
      <c r="AQ573" s="118"/>
      <c r="AR573" s="118"/>
      <c r="AS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64"/>
      <c r="O574" s="161"/>
      <c r="P574" s="118"/>
      <c r="Q574" s="118"/>
      <c r="R574" s="117"/>
      <c r="S574" s="117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  <c r="AL574" s="118"/>
      <c r="AM574" s="118"/>
      <c r="AN574" s="118"/>
      <c r="AO574" s="118"/>
      <c r="AP574" s="118"/>
      <c r="AQ574" s="118"/>
      <c r="AR574" s="118"/>
      <c r="AS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64"/>
      <c r="O575" s="161"/>
      <c r="P575" s="118"/>
      <c r="Q575" s="118"/>
      <c r="R575" s="117"/>
      <c r="S575" s="117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  <c r="AL575" s="118"/>
      <c r="AM575" s="118"/>
      <c r="AN575" s="118"/>
      <c r="AO575" s="118"/>
      <c r="AP575" s="118"/>
      <c r="AQ575" s="118"/>
      <c r="AR575" s="118"/>
      <c r="AS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64"/>
      <c r="O576" s="161"/>
      <c r="P576" s="118"/>
      <c r="Q576" s="118"/>
      <c r="R576" s="117"/>
      <c r="S576" s="117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  <c r="AL576" s="118"/>
      <c r="AM576" s="118"/>
      <c r="AN576" s="118"/>
      <c r="AO576" s="118"/>
      <c r="AP576" s="118"/>
      <c r="AQ576" s="118"/>
      <c r="AR576" s="118"/>
      <c r="AS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64"/>
      <c r="O577" s="161"/>
      <c r="P577" s="118"/>
      <c r="Q577" s="118"/>
      <c r="R577" s="117"/>
      <c r="S577" s="117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  <c r="AI577" s="118"/>
      <c r="AJ577" s="118"/>
      <c r="AK577" s="118"/>
      <c r="AL577" s="118"/>
      <c r="AM577" s="118"/>
      <c r="AN577" s="118"/>
      <c r="AO577" s="118"/>
      <c r="AP577" s="118"/>
      <c r="AQ577" s="118"/>
      <c r="AR577" s="118"/>
      <c r="AS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64"/>
      <c r="O578" s="161"/>
      <c r="P578" s="118"/>
      <c r="Q578" s="118"/>
      <c r="R578" s="117"/>
      <c r="S578" s="117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64"/>
      <c r="O579" s="161"/>
      <c r="P579" s="118"/>
      <c r="Q579" s="118"/>
      <c r="R579" s="117"/>
      <c r="S579" s="117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  <c r="AI579" s="118"/>
      <c r="AJ579" s="118"/>
      <c r="AK579" s="118"/>
      <c r="AL579" s="118"/>
      <c r="AM579" s="118"/>
      <c r="AN579" s="118"/>
      <c r="AO579" s="118"/>
      <c r="AP579" s="118"/>
      <c r="AQ579" s="118"/>
      <c r="AR579" s="118"/>
      <c r="AS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64"/>
      <c r="O580" s="161"/>
      <c r="P580" s="118"/>
      <c r="Q580" s="118"/>
      <c r="R580" s="117"/>
      <c r="S580" s="117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  <c r="AI580" s="118"/>
      <c r="AJ580" s="118"/>
      <c r="AK580" s="118"/>
      <c r="AL580" s="118"/>
      <c r="AM580" s="118"/>
      <c r="AN580" s="118"/>
      <c r="AO580" s="118"/>
      <c r="AP580" s="118"/>
      <c r="AQ580" s="118"/>
      <c r="AR580" s="118"/>
      <c r="AS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64"/>
      <c r="O581" s="161"/>
      <c r="P581" s="118"/>
      <c r="Q581" s="118"/>
      <c r="R581" s="117"/>
      <c r="S581" s="117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118"/>
      <c r="AN581" s="118"/>
      <c r="AO581" s="118"/>
      <c r="AP581" s="118"/>
      <c r="AQ581" s="118"/>
      <c r="AR581" s="118"/>
      <c r="AS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64"/>
      <c r="O582" s="161"/>
      <c r="P582" s="118"/>
      <c r="Q582" s="118"/>
      <c r="R582" s="117"/>
      <c r="S582" s="117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118"/>
      <c r="AN582" s="118"/>
      <c r="AO582" s="118"/>
      <c r="AP582" s="118"/>
      <c r="AQ582" s="118"/>
      <c r="AR582" s="118"/>
      <c r="AS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64"/>
      <c r="O583" s="161"/>
      <c r="P583" s="118"/>
      <c r="Q583" s="118"/>
      <c r="R583" s="117"/>
      <c r="S583" s="117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  <c r="AL583" s="118"/>
      <c r="AM583" s="118"/>
      <c r="AN583" s="118"/>
      <c r="AO583" s="118"/>
      <c r="AP583" s="118"/>
      <c r="AQ583" s="118"/>
      <c r="AR583" s="118"/>
      <c r="AS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64"/>
      <c r="O584" s="161"/>
      <c r="P584" s="118"/>
      <c r="Q584" s="118"/>
      <c r="R584" s="117"/>
      <c r="S584" s="117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  <c r="AL584" s="118"/>
      <c r="AM584" s="118"/>
      <c r="AN584" s="118"/>
      <c r="AO584" s="118"/>
      <c r="AP584" s="118"/>
      <c r="AQ584" s="118"/>
      <c r="AR584" s="118"/>
      <c r="AS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64"/>
      <c r="O585" s="161"/>
      <c r="P585" s="118"/>
      <c r="Q585" s="118"/>
      <c r="R585" s="117"/>
      <c r="S585" s="117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  <c r="AL585" s="118"/>
      <c r="AM585" s="118"/>
      <c r="AN585" s="118"/>
      <c r="AO585" s="118"/>
      <c r="AP585" s="118"/>
      <c r="AQ585" s="118"/>
      <c r="AR585" s="118"/>
      <c r="AS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64"/>
      <c r="O586" s="161"/>
      <c r="P586" s="118"/>
      <c r="Q586" s="118"/>
      <c r="R586" s="117"/>
      <c r="S586" s="117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64"/>
      <c r="O587" s="161"/>
      <c r="P587" s="118"/>
      <c r="Q587" s="118"/>
      <c r="R587" s="117"/>
      <c r="S587" s="117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  <c r="AL587" s="118"/>
      <c r="AM587" s="118"/>
      <c r="AN587" s="118"/>
      <c r="AO587" s="118"/>
      <c r="AP587" s="118"/>
      <c r="AQ587" s="118"/>
      <c r="AR587" s="118"/>
      <c r="AS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64"/>
      <c r="O588" s="161"/>
      <c r="P588" s="118"/>
      <c r="Q588" s="118"/>
      <c r="R588" s="117"/>
      <c r="S588" s="117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118"/>
      <c r="AN588" s="118"/>
      <c r="AO588" s="118"/>
      <c r="AP588" s="118"/>
      <c r="AQ588" s="118"/>
      <c r="AR588" s="118"/>
      <c r="AS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64"/>
      <c r="O589" s="161"/>
      <c r="P589" s="118"/>
      <c r="Q589" s="118"/>
      <c r="R589" s="117"/>
      <c r="S589" s="117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  <c r="AL589" s="118"/>
      <c r="AM589" s="118"/>
      <c r="AN589" s="118"/>
      <c r="AO589" s="118"/>
      <c r="AP589" s="118"/>
      <c r="AQ589" s="118"/>
      <c r="AR589" s="118"/>
      <c r="AS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64"/>
      <c r="O590" s="161"/>
      <c r="P590" s="118"/>
      <c r="Q590" s="118"/>
      <c r="R590" s="117"/>
      <c r="S590" s="117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  <c r="AL590" s="118"/>
      <c r="AM590" s="118"/>
      <c r="AN590" s="118"/>
      <c r="AO590" s="118"/>
      <c r="AP590" s="118"/>
      <c r="AQ590" s="118"/>
      <c r="AR590" s="118"/>
      <c r="AS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64"/>
      <c r="O591" s="161"/>
      <c r="P591" s="118"/>
      <c r="Q591" s="118"/>
      <c r="R591" s="117"/>
      <c r="S591" s="117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  <c r="AL591" s="118"/>
      <c r="AM591" s="118"/>
      <c r="AN591" s="118"/>
      <c r="AO591" s="118"/>
      <c r="AP591" s="118"/>
      <c r="AQ591" s="118"/>
      <c r="AR591" s="118"/>
      <c r="AS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64"/>
      <c r="O592" s="161"/>
      <c r="P592" s="118"/>
      <c r="Q592" s="118"/>
      <c r="R592" s="117"/>
      <c r="S592" s="117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  <c r="AL592" s="118"/>
      <c r="AM592" s="118"/>
      <c r="AN592" s="118"/>
      <c r="AO592" s="118"/>
      <c r="AP592" s="118"/>
      <c r="AQ592" s="118"/>
      <c r="AR592" s="118"/>
      <c r="AS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64"/>
      <c r="O593" s="161"/>
      <c r="P593" s="118"/>
      <c r="Q593" s="118"/>
      <c r="R593" s="117"/>
      <c r="S593" s="117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  <c r="AL593" s="118"/>
      <c r="AM593" s="118"/>
      <c r="AN593" s="118"/>
      <c r="AO593" s="118"/>
      <c r="AP593" s="118"/>
      <c r="AQ593" s="118"/>
      <c r="AR593" s="118"/>
      <c r="AS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64"/>
      <c r="O594" s="161"/>
      <c r="P594" s="118"/>
      <c r="Q594" s="118"/>
      <c r="R594" s="117"/>
      <c r="S594" s="117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8"/>
      <c r="AN594" s="118"/>
      <c r="AO594" s="118"/>
      <c r="AP594" s="118"/>
      <c r="AQ594" s="118"/>
      <c r="AR594" s="118"/>
      <c r="AS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64"/>
      <c r="O595" s="161"/>
      <c r="P595" s="118"/>
      <c r="Q595" s="118"/>
      <c r="R595" s="117"/>
      <c r="S595" s="117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  <c r="AL595" s="118"/>
      <c r="AM595" s="118"/>
      <c r="AN595" s="118"/>
      <c r="AO595" s="118"/>
      <c r="AP595" s="118"/>
      <c r="AQ595" s="118"/>
      <c r="AR595" s="118"/>
      <c r="AS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64"/>
      <c r="O596" s="161"/>
      <c r="P596" s="118"/>
      <c r="Q596" s="118"/>
      <c r="R596" s="117"/>
      <c r="S596" s="117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  <c r="AL596" s="118"/>
      <c r="AM596" s="118"/>
      <c r="AN596" s="118"/>
      <c r="AO596" s="118"/>
      <c r="AP596" s="118"/>
      <c r="AQ596" s="118"/>
      <c r="AR596" s="118"/>
      <c r="AS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64"/>
      <c r="O597" s="161"/>
      <c r="P597" s="118"/>
      <c r="Q597" s="118"/>
      <c r="R597" s="117"/>
      <c r="S597" s="117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  <c r="AL597" s="118"/>
      <c r="AM597" s="118"/>
      <c r="AN597" s="118"/>
      <c r="AO597" s="118"/>
      <c r="AP597" s="118"/>
      <c r="AQ597" s="118"/>
      <c r="AR597" s="118"/>
      <c r="AS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64"/>
      <c r="O598" s="161"/>
      <c r="P598" s="118"/>
      <c r="Q598" s="118"/>
      <c r="R598" s="117"/>
      <c r="S598" s="117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  <c r="AL598" s="118"/>
      <c r="AM598" s="118"/>
      <c r="AN598" s="118"/>
      <c r="AO598" s="118"/>
      <c r="AP598" s="118"/>
      <c r="AQ598" s="118"/>
      <c r="AR598" s="118"/>
      <c r="AS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64"/>
      <c r="O599" s="161"/>
      <c r="P599" s="118"/>
      <c r="Q599" s="118"/>
      <c r="R599" s="117"/>
      <c r="S599" s="117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18"/>
      <c r="AS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64"/>
      <c r="O600" s="161"/>
      <c r="P600" s="118"/>
      <c r="Q600" s="118"/>
      <c r="R600" s="117"/>
      <c r="S600" s="117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18"/>
      <c r="AS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64"/>
      <c r="O601" s="161"/>
      <c r="P601" s="118"/>
      <c r="Q601" s="118"/>
      <c r="R601" s="117"/>
      <c r="S601" s="117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18"/>
      <c r="AS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64"/>
      <c r="O602" s="161"/>
      <c r="P602" s="118"/>
      <c r="Q602" s="118"/>
      <c r="R602" s="117"/>
      <c r="S602" s="117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18"/>
      <c r="AS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64"/>
      <c r="O603" s="161"/>
      <c r="P603" s="118"/>
      <c r="Q603" s="118"/>
      <c r="R603" s="117"/>
      <c r="S603" s="117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18"/>
      <c r="AS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64"/>
      <c r="O604" s="161"/>
      <c r="P604" s="118"/>
      <c r="Q604" s="118"/>
      <c r="R604" s="117"/>
      <c r="S604" s="117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64"/>
      <c r="O605" s="161"/>
      <c r="P605" s="118"/>
      <c r="Q605" s="118"/>
      <c r="R605" s="117"/>
      <c r="S605" s="117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18"/>
      <c r="AS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64"/>
      <c r="O606" s="161"/>
      <c r="P606" s="118"/>
      <c r="Q606" s="118"/>
      <c r="R606" s="117"/>
      <c r="S606" s="117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18"/>
      <c r="AS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64"/>
      <c r="O607" s="161"/>
      <c r="P607" s="118"/>
      <c r="Q607" s="118"/>
      <c r="R607" s="117"/>
      <c r="S607" s="117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18"/>
      <c r="AS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64"/>
      <c r="O608" s="161"/>
      <c r="P608" s="118"/>
      <c r="Q608" s="118"/>
      <c r="R608" s="117"/>
      <c r="S608" s="117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  <c r="AI608" s="118"/>
      <c r="AJ608" s="118"/>
      <c r="AK608" s="118"/>
      <c r="AL608" s="118"/>
      <c r="AM608" s="118"/>
      <c r="AN608" s="118"/>
      <c r="AO608" s="118"/>
      <c r="AP608" s="118"/>
      <c r="AQ608" s="118"/>
      <c r="AR608" s="118"/>
      <c r="AS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64"/>
      <c r="O609" s="161"/>
      <c r="P609" s="118"/>
      <c r="Q609" s="118"/>
      <c r="R609" s="117"/>
      <c r="S609" s="117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  <c r="AI609" s="118"/>
      <c r="AJ609" s="118"/>
      <c r="AK609" s="118"/>
      <c r="AL609" s="118"/>
      <c r="AM609" s="118"/>
      <c r="AN609" s="118"/>
      <c r="AO609" s="118"/>
      <c r="AP609" s="118"/>
      <c r="AQ609" s="118"/>
      <c r="AR609" s="118"/>
      <c r="AS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64"/>
      <c r="O610" s="161"/>
      <c r="P610" s="118"/>
      <c r="Q610" s="118"/>
      <c r="R610" s="117"/>
      <c r="S610" s="117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  <c r="AI610" s="118"/>
      <c r="AJ610" s="118"/>
      <c r="AK610" s="118"/>
      <c r="AL610" s="118"/>
      <c r="AM610" s="118"/>
      <c r="AN610" s="118"/>
      <c r="AO610" s="118"/>
      <c r="AP610" s="118"/>
      <c r="AQ610" s="118"/>
      <c r="AR610" s="118"/>
      <c r="AS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64"/>
      <c r="O611" s="161"/>
      <c r="P611" s="118"/>
      <c r="Q611" s="118"/>
      <c r="R611" s="117"/>
      <c r="S611" s="117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  <c r="AI611" s="118"/>
      <c r="AJ611" s="118"/>
      <c r="AK611" s="118"/>
      <c r="AL611" s="118"/>
      <c r="AM611" s="118"/>
      <c r="AN611" s="118"/>
      <c r="AO611" s="118"/>
      <c r="AP611" s="118"/>
      <c r="AQ611" s="118"/>
      <c r="AR611" s="118"/>
      <c r="AS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64"/>
      <c r="O612" s="161"/>
      <c r="P612" s="118"/>
      <c r="Q612" s="118"/>
      <c r="R612" s="117"/>
      <c r="S612" s="117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  <c r="AI612" s="118"/>
      <c r="AJ612" s="118"/>
      <c r="AK612" s="118"/>
      <c r="AL612" s="118"/>
      <c r="AM612" s="118"/>
      <c r="AN612" s="118"/>
      <c r="AO612" s="118"/>
      <c r="AP612" s="118"/>
      <c r="AQ612" s="118"/>
      <c r="AR612" s="118"/>
      <c r="AS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64"/>
      <c r="O613" s="161"/>
      <c r="P613" s="118"/>
      <c r="Q613" s="118"/>
      <c r="R613" s="117"/>
      <c r="S613" s="117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  <c r="AI613" s="118"/>
      <c r="AJ613" s="118"/>
      <c r="AK613" s="118"/>
      <c r="AL613" s="118"/>
      <c r="AM613" s="118"/>
      <c r="AN613" s="118"/>
      <c r="AO613" s="118"/>
      <c r="AP613" s="118"/>
      <c r="AQ613" s="118"/>
      <c r="AR613" s="118"/>
      <c r="AS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64"/>
      <c r="O614" s="161"/>
      <c r="P614" s="118"/>
      <c r="Q614" s="118"/>
      <c r="R614" s="117"/>
      <c r="S614" s="117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  <c r="AI614" s="118"/>
      <c r="AJ614" s="118"/>
      <c r="AK614" s="118"/>
      <c r="AL614" s="118"/>
      <c r="AM614" s="118"/>
      <c r="AN614" s="118"/>
      <c r="AO614" s="118"/>
      <c r="AP614" s="118"/>
      <c r="AQ614" s="118"/>
      <c r="AR614" s="118"/>
      <c r="AS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64"/>
      <c r="O615" s="161"/>
      <c r="P615" s="118"/>
      <c r="Q615" s="118"/>
      <c r="R615" s="117"/>
      <c r="S615" s="117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  <c r="AI615" s="118"/>
      <c r="AJ615" s="118"/>
      <c r="AK615" s="118"/>
      <c r="AL615" s="118"/>
      <c r="AM615" s="118"/>
      <c r="AN615" s="118"/>
      <c r="AO615" s="118"/>
      <c r="AP615" s="118"/>
      <c r="AQ615" s="118"/>
      <c r="AR615" s="118"/>
      <c r="AS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64"/>
      <c r="O616" s="161"/>
      <c r="P616" s="118"/>
      <c r="Q616" s="118"/>
      <c r="R616" s="117"/>
      <c r="S616" s="117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  <c r="AI616" s="118"/>
      <c r="AJ616" s="118"/>
      <c r="AK616" s="118"/>
      <c r="AL616" s="118"/>
      <c r="AM616" s="118"/>
      <c r="AN616" s="118"/>
      <c r="AO616" s="118"/>
      <c r="AP616" s="118"/>
      <c r="AQ616" s="118"/>
      <c r="AR616" s="118"/>
      <c r="AS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64"/>
      <c r="O617" s="161"/>
      <c r="P617" s="118"/>
      <c r="Q617" s="118"/>
      <c r="R617" s="117"/>
      <c r="S617" s="117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  <c r="AI617" s="118"/>
      <c r="AJ617" s="118"/>
      <c r="AK617" s="118"/>
      <c r="AL617" s="118"/>
      <c r="AM617" s="118"/>
      <c r="AN617" s="118"/>
      <c r="AO617" s="118"/>
      <c r="AP617" s="118"/>
      <c r="AQ617" s="118"/>
      <c r="AR617" s="118"/>
      <c r="AS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64"/>
      <c r="O618" s="161"/>
      <c r="P618" s="118"/>
      <c r="Q618" s="118"/>
      <c r="R618" s="117"/>
      <c r="S618" s="117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  <c r="AI618" s="118"/>
      <c r="AJ618" s="118"/>
      <c r="AK618" s="118"/>
      <c r="AL618" s="118"/>
      <c r="AM618" s="118"/>
      <c r="AN618" s="118"/>
      <c r="AO618" s="118"/>
      <c r="AP618" s="118"/>
      <c r="AQ618" s="118"/>
      <c r="AR618" s="118"/>
      <c r="AS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64"/>
      <c r="O619" s="161"/>
      <c r="P619" s="118"/>
      <c r="Q619" s="118"/>
      <c r="R619" s="117"/>
      <c r="S619" s="117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  <c r="AI619" s="118"/>
      <c r="AJ619" s="118"/>
      <c r="AK619" s="118"/>
      <c r="AL619" s="118"/>
      <c r="AM619" s="118"/>
      <c r="AN619" s="118"/>
      <c r="AO619" s="118"/>
      <c r="AP619" s="118"/>
      <c r="AQ619" s="118"/>
      <c r="AR619" s="118"/>
      <c r="AS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64"/>
      <c r="O620" s="161"/>
      <c r="P620" s="118"/>
      <c r="Q620" s="118"/>
      <c r="R620" s="117"/>
      <c r="S620" s="117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  <c r="AI620" s="118"/>
      <c r="AJ620" s="118"/>
      <c r="AK620" s="118"/>
      <c r="AL620" s="118"/>
      <c r="AM620" s="118"/>
      <c r="AN620" s="118"/>
      <c r="AO620" s="118"/>
      <c r="AP620" s="118"/>
      <c r="AQ620" s="118"/>
      <c r="AR620" s="118"/>
      <c r="AS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64"/>
      <c r="O621" s="161"/>
      <c r="P621" s="118"/>
      <c r="Q621" s="118"/>
      <c r="R621" s="117"/>
      <c r="S621" s="117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  <c r="AI621" s="118"/>
      <c r="AJ621" s="118"/>
      <c r="AK621" s="118"/>
      <c r="AL621" s="118"/>
      <c r="AM621" s="118"/>
      <c r="AN621" s="118"/>
      <c r="AO621" s="118"/>
      <c r="AP621" s="118"/>
      <c r="AQ621" s="118"/>
      <c r="AR621" s="118"/>
      <c r="AS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64"/>
      <c r="O622" s="161"/>
      <c r="P622" s="118"/>
      <c r="Q622" s="118"/>
      <c r="R622" s="117"/>
      <c r="S622" s="117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64"/>
      <c r="O623" s="161"/>
      <c r="P623" s="118"/>
      <c r="Q623" s="118"/>
      <c r="R623" s="117"/>
      <c r="S623" s="117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  <c r="AL623" s="118"/>
      <c r="AM623" s="118"/>
      <c r="AN623" s="118"/>
      <c r="AO623" s="118"/>
      <c r="AP623" s="118"/>
      <c r="AQ623" s="118"/>
      <c r="AR623" s="118"/>
      <c r="AS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64"/>
      <c r="O624" s="161"/>
      <c r="P624" s="118"/>
      <c r="Q624" s="118"/>
      <c r="R624" s="117"/>
      <c r="S624" s="117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  <c r="AL624" s="118"/>
      <c r="AM624" s="118"/>
      <c r="AN624" s="118"/>
      <c r="AO624" s="118"/>
      <c r="AP624" s="118"/>
      <c r="AQ624" s="118"/>
      <c r="AR624" s="118"/>
      <c r="AS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64"/>
      <c r="O625" s="161"/>
      <c r="P625" s="118"/>
      <c r="Q625" s="118"/>
      <c r="R625" s="117"/>
      <c r="S625" s="117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  <c r="AI625" s="118"/>
      <c r="AJ625" s="118"/>
      <c r="AK625" s="118"/>
      <c r="AL625" s="118"/>
      <c r="AM625" s="118"/>
      <c r="AN625" s="118"/>
      <c r="AO625" s="118"/>
      <c r="AP625" s="118"/>
      <c r="AQ625" s="118"/>
      <c r="AR625" s="118"/>
      <c r="AS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64"/>
      <c r="O626" s="161"/>
      <c r="P626" s="118"/>
      <c r="Q626" s="118"/>
      <c r="R626" s="117"/>
      <c r="S626" s="117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64"/>
      <c r="O627" s="161"/>
      <c r="P627" s="118"/>
      <c r="Q627" s="118"/>
      <c r="R627" s="117"/>
      <c r="S627" s="117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  <c r="AI627" s="118"/>
      <c r="AJ627" s="118"/>
      <c r="AK627" s="118"/>
      <c r="AL627" s="118"/>
      <c r="AM627" s="118"/>
      <c r="AN627" s="118"/>
      <c r="AO627" s="118"/>
      <c r="AP627" s="118"/>
      <c r="AQ627" s="118"/>
      <c r="AR627" s="118"/>
      <c r="AS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64"/>
      <c r="O628" s="161"/>
      <c r="P628" s="118"/>
      <c r="Q628" s="118"/>
      <c r="R628" s="117"/>
      <c r="S628" s="117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  <c r="AI628" s="118"/>
      <c r="AJ628" s="118"/>
      <c r="AK628" s="118"/>
      <c r="AL628" s="118"/>
      <c r="AM628" s="118"/>
      <c r="AN628" s="118"/>
      <c r="AO628" s="118"/>
      <c r="AP628" s="118"/>
      <c r="AQ628" s="118"/>
      <c r="AR628" s="118"/>
      <c r="AS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64"/>
      <c r="O629" s="161"/>
      <c r="P629" s="118"/>
      <c r="Q629" s="118"/>
      <c r="R629" s="117"/>
      <c r="S629" s="117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  <c r="AI629" s="118"/>
      <c r="AJ629" s="118"/>
      <c r="AK629" s="118"/>
      <c r="AL629" s="118"/>
      <c r="AM629" s="118"/>
      <c r="AN629" s="118"/>
      <c r="AO629" s="118"/>
      <c r="AP629" s="118"/>
      <c r="AQ629" s="118"/>
      <c r="AR629" s="118"/>
      <c r="AS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64"/>
      <c r="O630" s="161"/>
      <c r="P630" s="118"/>
      <c r="Q630" s="118"/>
      <c r="R630" s="117"/>
      <c r="S630" s="117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  <c r="AL630" s="118"/>
      <c r="AM630" s="118"/>
      <c r="AN630" s="118"/>
      <c r="AO630" s="118"/>
      <c r="AP630" s="118"/>
      <c r="AQ630" s="118"/>
      <c r="AR630" s="118"/>
      <c r="AS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64"/>
      <c r="O631" s="161"/>
      <c r="P631" s="118"/>
      <c r="Q631" s="118"/>
      <c r="R631" s="117"/>
      <c r="S631" s="117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  <c r="AL631" s="118"/>
      <c r="AM631" s="118"/>
      <c r="AN631" s="118"/>
      <c r="AO631" s="118"/>
      <c r="AP631" s="118"/>
      <c r="AQ631" s="118"/>
      <c r="AR631" s="118"/>
      <c r="AS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64"/>
      <c r="O632" s="161"/>
      <c r="P632" s="118"/>
      <c r="Q632" s="118"/>
      <c r="R632" s="117"/>
      <c r="S632" s="117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8"/>
      <c r="AN632" s="118"/>
      <c r="AO632" s="118"/>
      <c r="AP632" s="118"/>
      <c r="AQ632" s="118"/>
      <c r="AR632" s="118"/>
      <c r="AS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64"/>
      <c r="O633" s="161"/>
      <c r="P633" s="118"/>
      <c r="Q633" s="118"/>
      <c r="R633" s="117"/>
      <c r="S633" s="117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  <c r="AL633" s="118"/>
      <c r="AM633" s="118"/>
      <c r="AN633" s="118"/>
      <c r="AO633" s="118"/>
      <c r="AP633" s="118"/>
      <c r="AQ633" s="118"/>
      <c r="AR633" s="118"/>
      <c r="AS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64"/>
      <c r="O634" s="161"/>
      <c r="P634" s="118"/>
      <c r="Q634" s="118"/>
      <c r="R634" s="117"/>
      <c r="S634" s="117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  <c r="AL634" s="118"/>
      <c r="AM634" s="118"/>
      <c r="AN634" s="118"/>
      <c r="AO634" s="118"/>
      <c r="AP634" s="118"/>
      <c r="AQ634" s="118"/>
      <c r="AR634" s="118"/>
      <c r="AS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64"/>
      <c r="O635" s="161"/>
      <c r="P635" s="118"/>
      <c r="Q635" s="118"/>
      <c r="R635" s="117"/>
      <c r="S635" s="117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  <c r="AL635" s="118"/>
      <c r="AM635" s="118"/>
      <c r="AN635" s="118"/>
      <c r="AO635" s="118"/>
      <c r="AP635" s="118"/>
      <c r="AQ635" s="118"/>
      <c r="AR635" s="118"/>
      <c r="AS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64"/>
      <c r="O636" s="161"/>
      <c r="P636" s="118"/>
      <c r="Q636" s="118"/>
      <c r="R636" s="117"/>
      <c r="S636" s="117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  <c r="AL636" s="118"/>
      <c r="AM636" s="118"/>
      <c r="AN636" s="118"/>
      <c r="AO636" s="118"/>
      <c r="AP636" s="118"/>
      <c r="AQ636" s="118"/>
      <c r="AR636" s="118"/>
      <c r="AS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64"/>
      <c r="O637" s="161"/>
      <c r="P637" s="118"/>
      <c r="Q637" s="118"/>
      <c r="R637" s="117"/>
      <c r="S637" s="117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  <c r="AL637" s="118"/>
      <c r="AM637" s="118"/>
      <c r="AN637" s="118"/>
      <c r="AO637" s="118"/>
      <c r="AP637" s="118"/>
      <c r="AQ637" s="118"/>
      <c r="AR637" s="118"/>
      <c r="AS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64"/>
      <c r="O638" s="161"/>
      <c r="P638" s="118"/>
      <c r="Q638" s="118"/>
      <c r="R638" s="117"/>
      <c r="S638" s="117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  <c r="AL638" s="118"/>
      <c r="AM638" s="118"/>
      <c r="AN638" s="118"/>
      <c r="AO638" s="118"/>
      <c r="AP638" s="118"/>
      <c r="AQ638" s="118"/>
      <c r="AR638" s="118"/>
      <c r="AS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64"/>
      <c r="O639" s="161"/>
      <c r="P639" s="118"/>
      <c r="Q639" s="118"/>
      <c r="R639" s="117"/>
      <c r="S639" s="117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  <c r="AL639" s="118"/>
      <c r="AM639" s="118"/>
      <c r="AN639" s="118"/>
      <c r="AO639" s="118"/>
      <c r="AP639" s="118"/>
      <c r="AQ639" s="118"/>
      <c r="AR639" s="118"/>
      <c r="AS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64"/>
      <c r="O640" s="161"/>
      <c r="P640" s="118"/>
      <c r="Q640" s="118"/>
      <c r="R640" s="117"/>
      <c r="S640" s="117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64"/>
      <c r="O641" s="161"/>
      <c r="P641" s="118"/>
      <c r="Q641" s="118"/>
      <c r="R641" s="117"/>
      <c r="S641" s="117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  <c r="AL641" s="118"/>
      <c r="AM641" s="118"/>
      <c r="AN641" s="118"/>
      <c r="AO641" s="118"/>
      <c r="AP641" s="118"/>
      <c r="AQ641" s="118"/>
      <c r="AR641" s="118"/>
      <c r="AS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64"/>
      <c r="O642" s="161"/>
      <c r="P642" s="118"/>
      <c r="Q642" s="118"/>
      <c r="R642" s="117"/>
      <c r="S642" s="117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  <c r="AL642" s="118"/>
      <c r="AM642" s="118"/>
      <c r="AN642" s="118"/>
      <c r="AO642" s="118"/>
      <c r="AP642" s="118"/>
      <c r="AQ642" s="118"/>
      <c r="AR642" s="118"/>
      <c r="AS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64"/>
      <c r="O643" s="161"/>
      <c r="P643" s="118"/>
      <c r="Q643" s="118"/>
      <c r="R643" s="117"/>
      <c r="S643" s="117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  <c r="AL643" s="118"/>
      <c r="AM643" s="118"/>
      <c r="AN643" s="118"/>
      <c r="AO643" s="118"/>
      <c r="AP643" s="118"/>
      <c r="AQ643" s="118"/>
      <c r="AR643" s="118"/>
      <c r="AS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64"/>
      <c r="O644" s="161"/>
      <c r="P644" s="118"/>
      <c r="Q644" s="118"/>
      <c r="R644" s="117"/>
      <c r="S644" s="117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  <c r="AL644" s="118"/>
      <c r="AM644" s="118"/>
      <c r="AN644" s="118"/>
      <c r="AO644" s="118"/>
      <c r="AP644" s="118"/>
      <c r="AQ644" s="118"/>
      <c r="AR644" s="118"/>
      <c r="AS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64"/>
      <c r="O645" s="161"/>
      <c r="P645" s="118"/>
      <c r="Q645" s="118"/>
      <c r="R645" s="117"/>
      <c r="S645" s="117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  <c r="AL645" s="118"/>
      <c r="AM645" s="118"/>
      <c r="AN645" s="118"/>
      <c r="AO645" s="118"/>
      <c r="AP645" s="118"/>
      <c r="AQ645" s="118"/>
      <c r="AR645" s="118"/>
      <c r="AS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64"/>
      <c r="O646" s="161"/>
      <c r="P646" s="118"/>
      <c r="Q646" s="118"/>
      <c r="R646" s="117"/>
      <c r="S646" s="117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64"/>
      <c r="O647" s="161"/>
      <c r="P647" s="118"/>
      <c r="Q647" s="118"/>
      <c r="R647" s="117"/>
      <c r="S647" s="117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64"/>
      <c r="O648" s="161"/>
      <c r="P648" s="118"/>
      <c r="Q648" s="118"/>
      <c r="R648" s="117"/>
      <c r="S648" s="117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64"/>
      <c r="O649" s="161"/>
      <c r="P649" s="118"/>
      <c r="Q649" s="118"/>
      <c r="R649" s="117"/>
      <c r="S649" s="117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64"/>
      <c r="O650" s="161"/>
      <c r="P650" s="118"/>
      <c r="Q650" s="118"/>
      <c r="R650" s="117"/>
      <c r="S650" s="117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  <c r="AL650" s="118"/>
      <c r="AM650" s="118"/>
      <c r="AN650" s="118"/>
      <c r="AO650" s="118"/>
      <c r="AP650" s="118"/>
      <c r="AQ650" s="118"/>
      <c r="AR650" s="118"/>
      <c r="AS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64"/>
      <c r="O651" s="161"/>
      <c r="P651" s="118"/>
      <c r="Q651" s="118"/>
      <c r="R651" s="117"/>
      <c r="S651" s="117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  <c r="AL651" s="118"/>
      <c r="AM651" s="118"/>
      <c r="AN651" s="118"/>
      <c r="AO651" s="118"/>
      <c r="AP651" s="118"/>
      <c r="AQ651" s="118"/>
      <c r="AR651" s="118"/>
      <c r="AS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64"/>
      <c r="O652" s="161"/>
      <c r="P652" s="118"/>
      <c r="Q652" s="118"/>
      <c r="R652" s="117"/>
      <c r="S652" s="117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  <c r="AL652" s="118"/>
      <c r="AM652" s="118"/>
      <c r="AN652" s="118"/>
      <c r="AO652" s="118"/>
      <c r="AP652" s="118"/>
      <c r="AQ652" s="118"/>
      <c r="AR652" s="118"/>
      <c r="AS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64"/>
      <c r="O653" s="161"/>
      <c r="P653" s="118"/>
      <c r="Q653" s="118"/>
      <c r="R653" s="117"/>
      <c r="S653" s="117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  <c r="AL653" s="118"/>
      <c r="AM653" s="118"/>
      <c r="AN653" s="118"/>
      <c r="AO653" s="118"/>
      <c r="AP653" s="118"/>
      <c r="AQ653" s="118"/>
      <c r="AR653" s="118"/>
      <c r="AS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64"/>
      <c r="O654" s="161"/>
      <c r="P654" s="118"/>
      <c r="Q654" s="118"/>
      <c r="R654" s="117"/>
      <c r="S654" s="117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  <c r="AL654" s="118"/>
      <c r="AM654" s="118"/>
      <c r="AN654" s="118"/>
      <c r="AO654" s="118"/>
      <c r="AP654" s="118"/>
      <c r="AQ654" s="118"/>
      <c r="AR654" s="118"/>
      <c r="AS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64"/>
      <c r="O655" s="161"/>
      <c r="P655" s="118"/>
      <c r="Q655" s="118"/>
      <c r="R655" s="117"/>
      <c r="S655" s="117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  <c r="AL655" s="118"/>
      <c r="AM655" s="118"/>
      <c r="AN655" s="118"/>
      <c r="AO655" s="118"/>
      <c r="AP655" s="118"/>
      <c r="AQ655" s="118"/>
      <c r="AR655" s="118"/>
      <c r="AS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64"/>
      <c r="O656" s="161"/>
      <c r="P656" s="118"/>
      <c r="Q656" s="118"/>
      <c r="R656" s="117"/>
      <c r="S656" s="117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  <c r="AI656" s="118"/>
      <c r="AJ656" s="118"/>
      <c r="AK656" s="118"/>
      <c r="AL656" s="118"/>
      <c r="AM656" s="118"/>
      <c r="AN656" s="118"/>
      <c r="AO656" s="118"/>
      <c r="AP656" s="118"/>
      <c r="AQ656" s="118"/>
      <c r="AR656" s="118"/>
      <c r="AS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64"/>
      <c r="O657" s="161"/>
      <c r="P657" s="118"/>
      <c r="Q657" s="118"/>
      <c r="R657" s="117"/>
      <c r="S657" s="117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64"/>
      <c r="O658" s="161"/>
      <c r="P658" s="118"/>
      <c r="Q658" s="118"/>
      <c r="R658" s="117"/>
      <c r="S658" s="117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  <c r="AI658" s="118"/>
      <c r="AJ658" s="118"/>
      <c r="AK658" s="118"/>
      <c r="AL658" s="118"/>
      <c r="AM658" s="118"/>
      <c r="AN658" s="118"/>
      <c r="AO658" s="118"/>
      <c r="AP658" s="118"/>
      <c r="AQ658" s="118"/>
      <c r="AR658" s="118"/>
      <c r="AS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64"/>
      <c r="O659" s="161"/>
      <c r="P659" s="118"/>
      <c r="Q659" s="118"/>
      <c r="R659" s="117"/>
      <c r="S659" s="117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  <c r="AL659" s="118"/>
      <c r="AM659" s="118"/>
      <c r="AN659" s="118"/>
      <c r="AO659" s="118"/>
      <c r="AP659" s="118"/>
      <c r="AQ659" s="118"/>
      <c r="AR659" s="118"/>
      <c r="AS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64"/>
      <c r="O660" s="161"/>
      <c r="P660" s="118"/>
      <c r="Q660" s="118"/>
      <c r="R660" s="117"/>
      <c r="S660" s="117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  <c r="AL660" s="118"/>
      <c r="AM660" s="118"/>
      <c r="AN660" s="118"/>
      <c r="AO660" s="118"/>
      <c r="AP660" s="118"/>
      <c r="AQ660" s="118"/>
      <c r="AR660" s="118"/>
      <c r="AS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64"/>
      <c r="O661" s="161"/>
      <c r="P661" s="118"/>
      <c r="Q661" s="118"/>
      <c r="R661" s="117"/>
      <c r="S661" s="117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  <c r="AL661" s="118"/>
      <c r="AM661" s="118"/>
      <c r="AN661" s="118"/>
      <c r="AO661" s="118"/>
      <c r="AP661" s="118"/>
      <c r="AQ661" s="118"/>
      <c r="AR661" s="118"/>
      <c r="AS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64"/>
      <c r="O662" s="161"/>
      <c r="P662" s="118"/>
      <c r="Q662" s="118"/>
      <c r="R662" s="117"/>
      <c r="S662" s="117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  <c r="AL662" s="118"/>
      <c r="AM662" s="118"/>
      <c r="AN662" s="118"/>
      <c r="AO662" s="118"/>
      <c r="AP662" s="118"/>
      <c r="AQ662" s="118"/>
      <c r="AR662" s="118"/>
      <c r="AS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64"/>
      <c r="O663" s="161"/>
      <c r="P663" s="118"/>
      <c r="Q663" s="118"/>
      <c r="R663" s="117"/>
      <c r="S663" s="117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  <c r="AL663" s="118"/>
      <c r="AM663" s="118"/>
      <c r="AN663" s="118"/>
      <c r="AO663" s="118"/>
      <c r="AP663" s="118"/>
      <c r="AQ663" s="118"/>
      <c r="AR663" s="118"/>
      <c r="AS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64"/>
      <c r="O664" s="161"/>
      <c r="P664" s="118"/>
      <c r="Q664" s="118"/>
      <c r="R664" s="117"/>
      <c r="S664" s="117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  <c r="AL664" s="118"/>
      <c r="AM664" s="118"/>
      <c r="AN664" s="118"/>
      <c r="AO664" s="118"/>
      <c r="AP664" s="118"/>
      <c r="AQ664" s="118"/>
      <c r="AR664" s="118"/>
      <c r="AS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64"/>
      <c r="O665" s="161"/>
      <c r="P665" s="118"/>
      <c r="Q665" s="118"/>
      <c r="R665" s="117"/>
      <c r="S665" s="117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  <c r="AL665" s="118"/>
      <c r="AM665" s="118"/>
      <c r="AN665" s="118"/>
      <c r="AO665" s="118"/>
      <c r="AP665" s="118"/>
      <c r="AQ665" s="118"/>
      <c r="AR665" s="118"/>
      <c r="AS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64"/>
      <c r="O666" s="161"/>
      <c r="P666" s="118"/>
      <c r="Q666" s="118"/>
      <c r="R666" s="117"/>
      <c r="S666" s="117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  <c r="AL666" s="118"/>
      <c r="AM666" s="118"/>
      <c r="AN666" s="118"/>
      <c r="AO666" s="118"/>
      <c r="AP666" s="118"/>
      <c r="AQ666" s="118"/>
      <c r="AR666" s="118"/>
      <c r="AS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64"/>
      <c r="O667" s="161"/>
      <c r="P667" s="118"/>
      <c r="Q667" s="118"/>
      <c r="R667" s="117"/>
      <c r="S667" s="117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  <c r="AL667" s="118"/>
      <c r="AM667" s="118"/>
      <c r="AN667" s="118"/>
      <c r="AO667" s="118"/>
      <c r="AP667" s="118"/>
      <c r="AQ667" s="118"/>
      <c r="AR667" s="118"/>
      <c r="AS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64"/>
      <c r="O668" s="161"/>
      <c r="P668" s="118"/>
      <c r="Q668" s="118"/>
      <c r="R668" s="117"/>
      <c r="S668" s="117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  <c r="AL668" s="118"/>
      <c r="AM668" s="118"/>
      <c r="AN668" s="118"/>
      <c r="AO668" s="118"/>
      <c r="AP668" s="118"/>
      <c r="AQ668" s="118"/>
      <c r="AR668" s="118"/>
      <c r="AS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64"/>
      <c r="O669" s="161"/>
      <c r="P669" s="118"/>
      <c r="Q669" s="118"/>
      <c r="R669" s="117"/>
      <c r="S669" s="117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  <c r="AL669" s="118"/>
      <c r="AM669" s="118"/>
      <c r="AN669" s="118"/>
      <c r="AO669" s="118"/>
      <c r="AP669" s="118"/>
      <c r="AQ669" s="118"/>
      <c r="AR669" s="118"/>
      <c r="AS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64"/>
      <c r="O670" s="161"/>
      <c r="P670" s="118"/>
      <c r="Q670" s="118"/>
      <c r="R670" s="117"/>
      <c r="S670" s="117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8"/>
      <c r="AN670" s="118"/>
      <c r="AO670" s="118"/>
      <c r="AP670" s="118"/>
      <c r="AQ670" s="118"/>
      <c r="AR670" s="118"/>
      <c r="AS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64"/>
      <c r="O671" s="161"/>
      <c r="P671" s="118"/>
      <c r="Q671" s="118"/>
      <c r="R671" s="117"/>
      <c r="S671" s="117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  <c r="AL671" s="118"/>
      <c r="AM671" s="118"/>
      <c r="AN671" s="118"/>
      <c r="AO671" s="118"/>
      <c r="AP671" s="118"/>
      <c r="AQ671" s="118"/>
      <c r="AR671" s="118"/>
      <c r="AS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64"/>
      <c r="O672" s="161"/>
      <c r="P672" s="118"/>
      <c r="Q672" s="118"/>
      <c r="R672" s="117"/>
      <c r="S672" s="117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  <c r="AL672" s="118"/>
      <c r="AM672" s="118"/>
      <c r="AN672" s="118"/>
      <c r="AO672" s="118"/>
      <c r="AP672" s="118"/>
      <c r="AQ672" s="118"/>
      <c r="AR672" s="118"/>
      <c r="AS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64"/>
      <c r="O673" s="161"/>
      <c r="P673" s="118"/>
      <c r="Q673" s="118"/>
      <c r="R673" s="117"/>
      <c r="S673" s="117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  <c r="AL673" s="118"/>
      <c r="AM673" s="118"/>
      <c r="AN673" s="118"/>
      <c r="AO673" s="118"/>
      <c r="AP673" s="118"/>
      <c r="AQ673" s="118"/>
      <c r="AR673" s="118"/>
      <c r="AS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64"/>
      <c r="O674" s="161"/>
      <c r="P674" s="118"/>
      <c r="Q674" s="118"/>
      <c r="R674" s="117"/>
      <c r="S674" s="117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  <c r="AL674" s="118"/>
      <c r="AM674" s="118"/>
      <c r="AN674" s="118"/>
      <c r="AO674" s="118"/>
      <c r="AP674" s="118"/>
      <c r="AQ674" s="118"/>
      <c r="AR674" s="118"/>
      <c r="AS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64"/>
      <c r="O675" s="161"/>
      <c r="P675" s="118"/>
      <c r="Q675" s="118"/>
      <c r="R675" s="117"/>
      <c r="S675" s="117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  <c r="AL675" s="118"/>
      <c r="AM675" s="118"/>
      <c r="AN675" s="118"/>
      <c r="AO675" s="118"/>
      <c r="AP675" s="118"/>
      <c r="AQ675" s="118"/>
      <c r="AR675" s="118"/>
      <c r="AS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64"/>
      <c r="O676" s="161"/>
      <c r="P676" s="118"/>
      <c r="Q676" s="118"/>
      <c r="R676" s="117"/>
      <c r="S676" s="117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  <c r="AL676" s="118"/>
      <c r="AM676" s="118"/>
      <c r="AN676" s="118"/>
      <c r="AO676" s="118"/>
      <c r="AP676" s="118"/>
      <c r="AQ676" s="118"/>
      <c r="AR676" s="118"/>
      <c r="AS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64"/>
      <c r="O677" s="161"/>
      <c r="P677" s="118"/>
      <c r="Q677" s="118"/>
      <c r="R677" s="117"/>
      <c r="S677" s="117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  <c r="AL677" s="118"/>
      <c r="AM677" s="118"/>
      <c r="AN677" s="118"/>
      <c r="AO677" s="118"/>
      <c r="AP677" s="118"/>
      <c r="AQ677" s="118"/>
      <c r="AR677" s="118"/>
      <c r="AS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64"/>
      <c r="O678" s="161"/>
      <c r="P678" s="118"/>
      <c r="Q678" s="118"/>
      <c r="R678" s="117"/>
      <c r="S678" s="117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  <c r="AL678" s="118"/>
      <c r="AM678" s="118"/>
      <c r="AN678" s="118"/>
      <c r="AO678" s="118"/>
      <c r="AP678" s="118"/>
      <c r="AQ678" s="118"/>
      <c r="AR678" s="118"/>
      <c r="AS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64"/>
      <c r="O679" s="161"/>
      <c r="P679" s="118"/>
      <c r="Q679" s="118"/>
      <c r="R679" s="117"/>
      <c r="S679" s="117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  <c r="AL679" s="118"/>
      <c r="AM679" s="118"/>
      <c r="AN679" s="118"/>
      <c r="AO679" s="118"/>
      <c r="AP679" s="118"/>
      <c r="AQ679" s="118"/>
      <c r="AR679" s="118"/>
      <c r="AS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64"/>
      <c r="O680" s="161"/>
      <c r="P680" s="118"/>
      <c r="Q680" s="118"/>
      <c r="R680" s="117"/>
      <c r="S680" s="117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  <c r="AL680" s="118"/>
      <c r="AM680" s="118"/>
      <c r="AN680" s="118"/>
      <c r="AO680" s="118"/>
      <c r="AP680" s="118"/>
      <c r="AQ680" s="118"/>
      <c r="AR680" s="118"/>
      <c r="AS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64"/>
      <c r="O681" s="161"/>
      <c r="P681" s="118"/>
      <c r="Q681" s="118"/>
      <c r="R681" s="117"/>
      <c r="S681" s="117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  <c r="AL681" s="118"/>
      <c r="AM681" s="118"/>
      <c r="AN681" s="118"/>
      <c r="AO681" s="118"/>
      <c r="AP681" s="118"/>
      <c r="AQ681" s="118"/>
      <c r="AR681" s="118"/>
      <c r="AS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64"/>
      <c r="O682" s="161"/>
      <c r="P682" s="118"/>
      <c r="Q682" s="118"/>
      <c r="R682" s="117"/>
      <c r="S682" s="117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  <c r="AL682" s="118"/>
      <c r="AM682" s="118"/>
      <c r="AN682" s="118"/>
      <c r="AO682" s="118"/>
      <c r="AP682" s="118"/>
      <c r="AQ682" s="118"/>
      <c r="AR682" s="118"/>
      <c r="AS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64"/>
      <c r="O683" s="161"/>
      <c r="P683" s="118"/>
      <c r="Q683" s="118"/>
      <c r="R683" s="117"/>
      <c r="S683" s="117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  <c r="AL683" s="118"/>
      <c r="AM683" s="118"/>
      <c r="AN683" s="118"/>
      <c r="AO683" s="118"/>
      <c r="AP683" s="118"/>
      <c r="AQ683" s="118"/>
      <c r="AR683" s="118"/>
      <c r="AS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64"/>
      <c r="O684" s="161"/>
      <c r="P684" s="118"/>
      <c r="Q684" s="118"/>
      <c r="R684" s="117"/>
      <c r="S684" s="117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  <c r="AL684" s="118"/>
      <c r="AM684" s="118"/>
      <c r="AN684" s="118"/>
      <c r="AO684" s="118"/>
      <c r="AP684" s="118"/>
      <c r="AQ684" s="118"/>
      <c r="AR684" s="118"/>
      <c r="AS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64"/>
      <c r="O685" s="161"/>
      <c r="P685" s="118"/>
      <c r="Q685" s="118"/>
      <c r="R685" s="117"/>
      <c r="S685" s="117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  <c r="AL685" s="118"/>
      <c r="AM685" s="118"/>
      <c r="AN685" s="118"/>
      <c r="AO685" s="118"/>
      <c r="AP685" s="118"/>
      <c r="AQ685" s="118"/>
      <c r="AR685" s="118"/>
      <c r="AS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64"/>
      <c r="O686" s="161"/>
      <c r="P686" s="118"/>
      <c r="Q686" s="118"/>
      <c r="R686" s="117"/>
      <c r="S686" s="117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  <c r="AL686" s="118"/>
      <c r="AM686" s="118"/>
      <c r="AN686" s="118"/>
      <c r="AO686" s="118"/>
      <c r="AP686" s="118"/>
      <c r="AQ686" s="118"/>
      <c r="AR686" s="118"/>
      <c r="AS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64"/>
      <c r="O687" s="161"/>
      <c r="P687" s="118"/>
      <c r="Q687" s="118"/>
      <c r="R687" s="117"/>
      <c r="S687" s="117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  <c r="AL687" s="118"/>
      <c r="AM687" s="118"/>
      <c r="AN687" s="118"/>
      <c r="AO687" s="118"/>
      <c r="AP687" s="118"/>
      <c r="AQ687" s="118"/>
      <c r="AR687" s="118"/>
      <c r="AS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64"/>
      <c r="O688" s="161"/>
      <c r="P688" s="118"/>
      <c r="Q688" s="118"/>
      <c r="R688" s="117"/>
      <c r="S688" s="117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  <c r="AL688" s="118"/>
      <c r="AM688" s="118"/>
      <c r="AN688" s="118"/>
      <c r="AO688" s="118"/>
      <c r="AP688" s="118"/>
      <c r="AQ688" s="118"/>
      <c r="AR688" s="118"/>
      <c r="AS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64"/>
      <c r="O689" s="161"/>
      <c r="P689" s="118"/>
      <c r="Q689" s="118"/>
      <c r="R689" s="117"/>
      <c r="S689" s="117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  <c r="AL689" s="118"/>
      <c r="AM689" s="118"/>
      <c r="AN689" s="118"/>
      <c r="AO689" s="118"/>
      <c r="AP689" s="118"/>
      <c r="AQ689" s="118"/>
      <c r="AR689" s="118"/>
      <c r="AS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64"/>
      <c r="O690" s="161"/>
      <c r="P690" s="118"/>
      <c r="Q690" s="118"/>
      <c r="R690" s="117"/>
      <c r="S690" s="117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  <c r="AL690" s="118"/>
      <c r="AM690" s="118"/>
      <c r="AN690" s="118"/>
      <c r="AO690" s="118"/>
      <c r="AP690" s="118"/>
      <c r="AQ690" s="118"/>
      <c r="AR690" s="118"/>
      <c r="AS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64"/>
      <c r="O691" s="161"/>
      <c r="P691" s="118"/>
      <c r="Q691" s="118"/>
      <c r="R691" s="117"/>
      <c r="S691" s="117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  <c r="AL691" s="118"/>
      <c r="AM691" s="118"/>
      <c r="AN691" s="118"/>
      <c r="AO691" s="118"/>
      <c r="AP691" s="118"/>
      <c r="AQ691" s="118"/>
      <c r="AR691" s="118"/>
      <c r="AS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64"/>
      <c r="O692" s="161"/>
      <c r="P692" s="118"/>
      <c r="Q692" s="118"/>
      <c r="R692" s="117"/>
      <c r="S692" s="117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  <c r="AL692" s="118"/>
      <c r="AM692" s="118"/>
      <c r="AN692" s="118"/>
      <c r="AO692" s="118"/>
      <c r="AP692" s="118"/>
      <c r="AQ692" s="118"/>
      <c r="AR692" s="118"/>
      <c r="AS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64"/>
      <c r="O693" s="161"/>
      <c r="P693" s="118"/>
      <c r="Q693" s="118"/>
      <c r="R693" s="117"/>
      <c r="S693" s="117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  <c r="AL693" s="118"/>
      <c r="AM693" s="118"/>
      <c r="AN693" s="118"/>
      <c r="AO693" s="118"/>
      <c r="AP693" s="118"/>
      <c r="AQ693" s="118"/>
      <c r="AR693" s="118"/>
      <c r="AS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64"/>
      <c r="O694" s="161"/>
      <c r="P694" s="118"/>
      <c r="Q694" s="118"/>
      <c r="R694" s="117"/>
      <c r="S694" s="117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  <c r="AL694" s="118"/>
      <c r="AM694" s="118"/>
      <c r="AN694" s="118"/>
      <c r="AO694" s="118"/>
      <c r="AP694" s="118"/>
      <c r="AQ694" s="118"/>
      <c r="AR694" s="118"/>
      <c r="AS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64"/>
      <c r="O695" s="161"/>
      <c r="P695" s="118"/>
      <c r="Q695" s="118"/>
      <c r="R695" s="117"/>
      <c r="S695" s="117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  <c r="AI695" s="118"/>
      <c r="AJ695" s="118"/>
      <c r="AK695" s="118"/>
      <c r="AL695" s="118"/>
      <c r="AM695" s="118"/>
      <c r="AN695" s="118"/>
      <c r="AO695" s="118"/>
      <c r="AP695" s="118"/>
      <c r="AQ695" s="118"/>
      <c r="AR695" s="118"/>
      <c r="AS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64"/>
      <c r="O696" s="161"/>
      <c r="P696" s="118"/>
      <c r="Q696" s="118"/>
      <c r="R696" s="117"/>
      <c r="S696" s="117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  <c r="AI696" s="118"/>
      <c r="AJ696" s="118"/>
      <c r="AK696" s="118"/>
      <c r="AL696" s="118"/>
      <c r="AM696" s="118"/>
      <c r="AN696" s="118"/>
      <c r="AO696" s="118"/>
      <c r="AP696" s="118"/>
      <c r="AQ696" s="118"/>
      <c r="AR696" s="118"/>
      <c r="AS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64"/>
      <c r="O697" s="161"/>
      <c r="P697" s="118"/>
      <c r="Q697" s="118"/>
      <c r="R697" s="117"/>
      <c r="S697" s="117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  <c r="AI697" s="118"/>
      <c r="AJ697" s="118"/>
      <c r="AK697" s="118"/>
      <c r="AL697" s="118"/>
      <c r="AM697" s="118"/>
      <c r="AN697" s="118"/>
      <c r="AO697" s="118"/>
      <c r="AP697" s="118"/>
      <c r="AQ697" s="118"/>
      <c r="AR697" s="118"/>
      <c r="AS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64"/>
      <c r="O698" s="161"/>
      <c r="P698" s="118"/>
      <c r="Q698" s="118"/>
      <c r="R698" s="117"/>
      <c r="S698" s="117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  <c r="AI698" s="118"/>
      <c r="AJ698" s="118"/>
      <c r="AK698" s="118"/>
      <c r="AL698" s="118"/>
      <c r="AM698" s="118"/>
      <c r="AN698" s="118"/>
      <c r="AO698" s="118"/>
      <c r="AP698" s="118"/>
      <c r="AQ698" s="118"/>
      <c r="AR698" s="118"/>
      <c r="AS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64"/>
      <c r="O699" s="161"/>
      <c r="P699" s="118"/>
      <c r="Q699" s="118"/>
      <c r="R699" s="117"/>
      <c r="S699" s="117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  <c r="AI699" s="118"/>
      <c r="AJ699" s="118"/>
      <c r="AK699" s="118"/>
      <c r="AL699" s="118"/>
      <c r="AM699" s="118"/>
      <c r="AN699" s="118"/>
      <c r="AO699" s="118"/>
      <c r="AP699" s="118"/>
      <c r="AQ699" s="118"/>
      <c r="AR699" s="118"/>
      <c r="AS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64"/>
      <c r="O700" s="161"/>
      <c r="P700" s="118"/>
      <c r="Q700" s="118"/>
      <c r="R700" s="117"/>
      <c r="S700" s="117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  <c r="AI700" s="118"/>
      <c r="AJ700" s="118"/>
      <c r="AK700" s="118"/>
      <c r="AL700" s="118"/>
      <c r="AM700" s="118"/>
      <c r="AN700" s="118"/>
      <c r="AO700" s="118"/>
      <c r="AP700" s="118"/>
      <c r="AQ700" s="118"/>
      <c r="AR700" s="118"/>
      <c r="AS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64"/>
      <c r="O701" s="161"/>
      <c r="P701" s="118"/>
      <c r="Q701" s="118"/>
      <c r="R701" s="117"/>
      <c r="S701" s="117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  <c r="AI701" s="118"/>
      <c r="AJ701" s="118"/>
      <c r="AK701" s="118"/>
      <c r="AL701" s="118"/>
      <c r="AM701" s="118"/>
      <c r="AN701" s="118"/>
      <c r="AO701" s="118"/>
      <c r="AP701" s="118"/>
      <c r="AQ701" s="118"/>
      <c r="AR701" s="118"/>
      <c r="AS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64"/>
      <c r="O702" s="161"/>
      <c r="P702" s="118"/>
      <c r="Q702" s="118"/>
      <c r="R702" s="117"/>
      <c r="S702" s="117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  <c r="AI702" s="118"/>
      <c r="AJ702" s="118"/>
      <c r="AK702" s="118"/>
      <c r="AL702" s="118"/>
      <c r="AM702" s="118"/>
      <c r="AN702" s="118"/>
      <c r="AO702" s="118"/>
      <c r="AP702" s="118"/>
      <c r="AQ702" s="118"/>
      <c r="AR702" s="118"/>
      <c r="AS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64"/>
      <c r="O703" s="161"/>
      <c r="P703" s="118"/>
      <c r="Q703" s="118"/>
      <c r="R703" s="117"/>
      <c r="S703" s="117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  <c r="AI703" s="118"/>
      <c r="AJ703" s="118"/>
      <c r="AK703" s="118"/>
      <c r="AL703" s="118"/>
      <c r="AM703" s="118"/>
      <c r="AN703" s="118"/>
      <c r="AO703" s="118"/>
      <c r="AP703" s="118"/>
      <c r="AQ703" s="118"/>
      <c r="AR703" s="118"/>
      <c r="AS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64"/>
      <c r="O704" s="161"/>
      <c r="P704" s="118"/>
      <c r="Q704" s="118"/>
      <c r="R704" s="117"/>
      <c r="S704" s="117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  <c r="AI704" s="118"/>
      <c r="AJ704" s="118"/>
      <c r="AK704" s="118"/>
      <c r="AL704" s="118"/>
      <c r="AM704" s="118"/>
      <c r="AN704" s="118"/>
      <c r="AO704" s="118"/>
      <c r="AP704" s="118"/>
      <c r="AQ704" s="118"/>
      <c r="AR704" s="118"/>
      <c r="AS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64"/>
      <c r="O705" s="161"/>
      <c r="P705" s="118"/>
      <c r="Q705" s="118"/>
      <c r="R705" s="117"/>
      <c r="S705" s="117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  <c r="AI705" s="118"/>
      <c r="AJ705" s="118"/>
      <c r="AK705" s="118"/>
      <c r="AL705" s="118"/>
      <c r="AM705" s="118"/>
      <c r="AN705" s="118"/>
      <c r="AO705" s="118"/>
      <c r="AP705" s="118"/>
      <c r="AQ705" s="118"/>
      <c r="AR705" s="118"/>
      <c r="AS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64"/>
      <c r="O706" s="161"/>
      <c r="P706" s="118"/>
      <c r="Q706" s="118"/>
      <c r="R706" s="117"/>
      <c r="S706" s="117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  <c r="AI706" s="118"/>
      <c r="AJ706" s="118"/>
      <c r="AK706" s="118"/>
      <c r="AL706" s="118"/>
      <c r="AM706" s="118"/>
      <c r="AN706" s="118"/>
      <c r="AO706" s="118"/>
      <c r="AP706" s="118"/>
      <c r="AQ706" s="118"/>
      <c r="AR706" s="118"/>
      <c r="AS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64"/>
      <c r="O707" s="161"/>
      <c r="P707" s="118"/>
      <c r="Q707" s="118"/>
      <c r="R707" s="117"/>
      <c r="S707" s="117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  <c r="AI707" s="118"/>
      <c r="AJ707" s="118"/>
      <c r="AK707" s="118"/>
      <c r="AL707" s="118"/>
      <c r="AM707" s="118"/>
      <c r="AN707" s="118"/>
      <c r="AO707" s="118"/>
      <c r="AP707" s="118"/>
      <c r="AQ707" s="118"/>
      <c r="AR707" s="118"/>
      <c r="AS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64"/>
      <c r="O708" s="161"/>
      <c r="P708" s="118"/>
      <c r="Q708" s="118"/>
      <c r="R708" s="117"/>
      <c r="S708" s="117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8"/>
      <c r="AN708" s="118"/>
      <c r="AO708" s="118"/>
      <c r="AP708" s="118"/>
      <c r="AQ708" s="118"/>
      <c r="AR708" s="118"/>
      <c r="AS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64"/>
      <c r="O709" s="161"/>
      <c r="P709" s="118"/>
      <c r="Q709" s="118"/>
      <c r="R709" s="117"/>
      <c r="S709" s="117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  <c r="AI709" s="118"/>
      <c r="AJ709" s="118"/>
      <c r="AK709" s="118"/>
      <c r="AL709" s="118"/>
      <c r="AM709" s="118"/>
      <c r="AN709" s="118"/>
      <c r="AO709" s="118"/>
      <c r="AP709" s="118"/>
      <c r="AQ709" s="118"/>
      <c r="AR709" s="118"/>
      <c r="AS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64"/>
      <c r="O710" s="161"/>
      <c r="P710" s="118"/>
      <c r="Q710" s="118"/>
      <c r="R710" s="117"/>
      <c r="S710" s="117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64"/>
      <c r="O711" s="161"/>
      <c r="P711" s="118"/>
      <c r="Q711" s="118"/>
      <c r="R711" s="117"/>
      <c r="S711" s="117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  <c r="AI711" s="118"/>
      <c r="AJ711" s="118"/>
      <c r="AK711" s="118"/>
      <c r="AL711" s="118"/>
      <c r="AM711" s="118"/>
      <c r="AN711" s="118"/>
      <c r="AO711" s="118"/>
      <c r="AP711" s="118"/>
      <c r="AQ711" s="118"/>
      <c r="AR711" s="118"/>
      <c r="AS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64"/>
      <c r="O712" s="161"/>
      <c r="P712" s="118"/>
      <c r="Q712" s="118"/>
      <c r="R712" s="117"/>
      <c r="S712" s="117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  <c r="AI712" s="118"/>
      <c r="AJ712" s="118"/>
      <c r="AK712" s="118"/>
      <c r="AL712" s="118"/>
      <c r="AM712" s="118"/>
      <c r="AN712" s="118"/>
      <c r="AO712" s="118"/>
      <c r="AP712" s="118"/>
      <c r="AQ712" s="118"/>
      <c r="AR712" s="118"/>
      <c r="AS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64"/>
      <c r="O713" s="161"/>
      <c r="P713" s="118"/>
      <c r="Q713" s="118"/>
      <c r="R713" s="117"/>
      <c r="S713" s="117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  <c r="AI713" s="118"/>
      <c r="AJ713" s="118"/>
      <c r="AK713" s="118"/>
      <c r="AL713" s="118"/>
      <c r="AM713" s="118"/>
      <c r="AN713" s="118"/>
      <c r="AO713" s="118"/>
      <c r="AP713" s="118"/>
      <c r="AQ713" s="118"/>
      <c r="AR713" s="118"/>
      <c r="AS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64"/>
      <c r="O714" s="161"/>
      <c r="P714" s="118"/>
      <c r="Q714" s="118"/>
      <c r="R714" s="117"/>
      <c r="S714" s="117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/>
      <c r="AK714" s="118"/>
      <c r="AL714" s="118"/>
      <c r="AM714" s="118"/>
      <c r="AN714" s="118"/>
      <c r="AO714" s="118"/>
      <c r="AP714" s="118"/>
      <c r="AQ714" s="118"/>
      <c r="AR714" s="118"/>
      <c r="AS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64"/>
      <c r="O715" s="161"/>
      <c r="P715" s="118"/>
      <c r="Q715" s="118"/>
      <c r="R715" s="117"/>
      <c r="S715" s="117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  <c r="AI715" s="118"/>
      <c r="AJ715" s="118"/>
      <c r="AK715" s="118"/>
      <c r="AL715" s="118"/>
      <c r="AM715" s="118"/>
      <c r="AN715" s="118"/>
      <c r="AO715" s="118"/>
      <c r="AP715" s="118"/>
      <c r="AQ715" s="118"/>
      <c r="AR715" s="118"/>
      <c r="AS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64"/>
      <c r="O716" s="161"/>
      <c r="P716" s="118"/>
      <c r="Q716" s="118"/>
      <c r="R716" s="117"/>
      <c r="S716" s="117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  <c r="AI716" s="118"/>
      <c r="AJ716" s="118"/>
      <c r="AK716" s="118"/>
      <c r="AL716" s="118"/>
      <c r="AM716" s="118"/>
      <c r="AN716" s="118"/>
      <c r="AO716" s="118"/>
      <c r="AP716" s="118"/>
      <c r="AQ716" s="118"/>
      <c r="AR716" s="118"/>
      <c r="AS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64"/>
      <c r="O717" s="161"/>
      <c r="P717" s="118"/>
      <c r="Q717" s="118"/>
      <c r="R717" s="117"/>
      <c r="S717" s="117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  <c r="AI717" s="118"/>
      <c r="AJ717" s="118"/>
      <c r="AK717" s="118"/>
      <c r="AL717" s="118"/>
      <c r="AM717" s="118"/>
      <c r="AN717" s="118"/>
      <c r="AO717" s="118"/>
      <c r="AP717" s="118"/>
      <c r="AQ717" s="118"/>
      <c r="AR717" s="118"/>
      <c r="AS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64"/>
      <c r="O718" s="161"/>
      <c r="P718" s="118"/>
      <c r="Q718" s="118"/>
      <c r="R718" s="117"/>
      <c r="S718" s="117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  <c r="AI718" s="118"/>
      <c r="AJ718" s="118"/>
      <c r="AK718" s="118"/>
      <c r="AL718" s="118"/>
      <c r="AM718" s="118"/>
      <c r="AN718" s="118"/>
      <c r="AO718" s="118"/>
      <c r="AP718" s="118"/>
      <c r="AQ718" s="118"/>
      <c r="AR718" s="118"/>
      <c r="AS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64"/>
      <c r="O719" s="161"/>
      <c r="P719" s="118"/>
      <c r="Q719" s="118"/>
      <c r="R719" s="117"/>
      <c r="S719" s="117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  <c r="AI719" s="118"/>
      <c r="AJ719" s="118"/>
      <c r="AK719" s="118"/>
      <c r="AL719" s="118"/>
      <c r="AM719" s="118"/>
      <c r="AN719" s="118"/>
      <c r="AO719" s="118"/>
      <c r="AP719" s="118"/>
      <c r="AQ719" s="118"/>
      <c r="AR719" s="118"/>
      <c r="AS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64"/>
      <c r="O720" s="161"/>
      <c r="P720" s="118"/>
      <c r="Q720" s="118"/>
      <c r="R720" s="117"/>
      <c r="S720" s="117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  <c r="AI720" s="118"/>
      <c r="AJ720" s="118"/>
      <c r="AK720" s="118"/>
      <c r="AL720" s="118"/>
      <c r="AM720" s="118"/>
      <c r="AN720" s="118"/>
      <c r="AO720" s="118"/>
      <c r="AP720" s="118"/>
      <c r="AQ720" s="118"/>
      <c r="AR720" s="118"/>
      <c r="AS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64"/>
      <c r="O721" s="161"/>
      <c r="P721" s="118"/>
      <c r="Q721" s="118"/>
      <c r="R721" s="117"/>
      <c r="S721" s="117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  <c r="AI721" s="118"/>
      <c r="AJ721" s="118"/>
      <c r="AK721" s="118"/>
      <c r="AL721" s="118"/>
      <c r="AM721" s="118"/>
      <c r="AN721" s="118"/>
      <c r="AO721" s="118"/>
      <c r="AP721" s="118"/>
      <c r="AQ721" s="118"/>
      <c r="AR721" s="118"/>
      <c r="AS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64"/>
      <c r="O722" s="161"/>
      <c r="P722" s="118"/>
      <c r="Q722" s="118"/>
      <c r="R722" s="117"/>
      <c r="S722" s="117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  <c r="AI722" s="118"/>
      <c r="AJ722" s="118"/>
      <c r="AK722" s="118"/>
      <c r="AL722" s="118"/>
      <c r="AM722" s="118"/>
      <c r="AN722" s="118"/>
      <c r="AO722" s="118"/>
      <c r="AP722" s="118"/>
      <c r="AQ722" s="118"/>
      <c r="AR722" s="118"/>
      <c r="AS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64"/>
      <c r="O723" s="161"/>
      <c r="P723" s="118"/>
      <c r="Q723" s="118"/>
      <c r="R723" s="117"/>
      <c r="S723" s="117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/>
      <c r="AK723" s="118"/>
      <c r="AL723" s="118"/>
      <c r="AM723" s="118"/>
      <c r="AN723" s="118"/>
      <c r="AO723" s="118"/>
      <c r="AP723" s="118"/>
      <c r="AQ723" s="118"/>
      <c r="AR723" s="118"/>
      <c r="AS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64"/>
      <c r="O724" s="161"/>
      <c r="P724" s="118"/>
      <c r="Q724" s="118"/>
      <c r="R724" s="117"/>
      <c r="S724" s="117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  <c r="AI724" s="118"/>
      <c r="AJ724" s="118"/>
      <c r="AK724" s="118"/>
      <c r="AL724" s="118"/>
      <c r="AM724" s="118"/>
      <c r="AN724" s="118"/>
      <c r="AO724" s="118"/>
      <c r="AP724" s="118"/>
      <c r="AQ724" s="118"/>
      <c r="AR724" s="118"/>
      <c r="AS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64"/>
      <c r="O725" s="161"/>
      <c r="P725" s="118"/>
      <c r="Q725" s="118"/>
      <c r="R725" s="117"/>
      <c r="S725" s="117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  <c r="AI725" s="118"/>
      <c r="AJ725" s="118"/>
      <c r="AK725" s="118"/>
      <c r="AL725" s="118"/>
      <c r="AM725" s="118"/>
      <c r="AN725" s="118"/>
      <c r="AO725" s="118"/>
      <c r="AP725" s="118"/>
      <c r="AQ725" s="118"/>
      <c r="AR725" s="118"/>
      <c r="AS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64"/>
      <c r="O726" s="161"/>
      <c r="P726" s="118"/>
      <c r="Q726" s="118"/>
      <c r="R726" s="117"/>
      <c r="S726" s="117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  <c r="AI726" s="118"/>
      <c r="AJ726" s="118"/>
      <c r="AK726" s="118"/>
      <c r="AL726" s="118"/>
      <c r="AM726" s="118"/>
      <c r="AN726" s="118"/>
      <c r="AO726" s="118"/>
      <c r="AP726" s="118"/>
      <c r="AQ726" s="118"/>
      <c r="AR726" s="118"/>
      <c r="AS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64"/>
      <c r="O727" s="161"/>
      <c r="P727" s="118"/>
      <c r="Q727" s="118"/>
      <c r="R727" s="117"/>
      <c r="S727" s="117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  <c r="AI727" s="118"/>
      <c r="AJ727" s="118"/>
      <c r="AK727" s="118"/>
      <c r="AL727" s="118"/>
      <c r="AM727" s="118"/>
      <c r="AN727" s="118"/>
      <c r="AO727" s="118"/>
      <c r="AP727" s="118"/>
      <c r="AQ727" s="118"/>
      <c r="AR727" s="118"/>
      <c r="AS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64"/>
      <c r="O728" s="161"/>
      <c r="P728" s="118"/>
      <c r="Q728" s="118"/>
      <c r="R728" s="117"/>
      <c r="S728" s="117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  <c r="AI728" s="118"/>
      <c r="AJ728" s="118"/>
      <c r="AK728" s="118"/>
      <c r="AL728" s="118"/>
      <c r="AM728" s="118"/>
      <c r="AN728" s="118"/>
      <c r="AO728" s="118"/>
      <c r="AP728" s="118"/>
      <c r="AQ728" s="118"/>
      <c r="AR728" s="118"/>
      <c r="AS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64"/>
      <c r="O729" s="161"/>
      <c r="P729" s="118"/>
      <c r="Q729" s="118"/>
      <c r="R729" s="117"/>
      <c r="S729" s="117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  <c r="AI729" s="118"/>
      <c r="AJ729" s="118"/>
      <c r="AK729" s="118"/>
      <c r="AL729" s="118"/>
      <c r="AM729" s="118"/>
      <c r="AN729" s="118"/>
      <c r="AO729" s="118"/>
      <c r="AP729" s="118"/>
      <c r="AQ729" s="118"/>
      <c r="AR729" s="118"/>
      <c r="AS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64"/>
      <c r="O730" s="161"/>
      <c r="P730" s="118"/>
      <c r="Q730" s="118"/>
      <c r="R730" s="117"/>
      <c r="S730" s="117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/>
      <c r="AK730" s="118"/>
      <c r="AL730" s="118"/>
      <c r="AM730" s="118"/>
      <c r="AN730" s="118"/>
      <c r="AO730" s="118"/>
      <c r="AP730" s="118"/>
      <c r="AQ730" s="118"/>
      <c r="AR730" s="118"/>
      <c r="AS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64"/>
      <c r="O731" s="161"/>
      <c r="P731" s="118"/>
      <c r="Q731" s="118"/>
      <c r="R731" s="117"/>
      <c r="S731" s="117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/>
      <c r="AK731" s="118"/>
      <c r="AL731" s="118"/>
      <c r="AM731" s="118"/>
      <c r="AN731" s="118"/>
      <c r="AO731" s="118"/>
      <c r="AP731" s="118"/>
      <c r="AQ731" s="118"/>
      <c r="AR731" s="118"/>
      <c r="AS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64"/>
      <c r="O732" s="161"/>
      <c r="P732" s="118"/>
      <c r="Q732" s="118"/>
      <c r="R732" s="117"/>
      <c r="S732" s="117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  <c r="AI732" s="118"/>
      <c r="AJ732" s="118"/>
      <c r="AK732" s="118"/>
      <c r="AL732" s="118"/>
      <c r="AM732" s="118"/>
      <c r="AN732" s="118"/>
      <c r="AO732" s="118"/>
      <c r="AP732" s="118"/>
      <c r="AQ732" s="118"/>
      <c r="AR732" s="118"/>
      <c r="AS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64"/>
      <c r="O733" s="161"/>
      <c r="P733" s="118"/>
      <c r="Q733" s="118"/>
      <c r="R733" s="117"/>
      <c r="S733" s="117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  <c r="AI733" s="118"/>
      <c r="AJ733" s="118"/>
      <c r="AK733" s="118"/>
      <c r="AL733" s="118"/>
      <c r="AM733" s="118"/>
      <c r="AN733" s="118"/>
      <c r="AO733" s="118"/>
      <c r="AP733" s="118"/>
      <c r="AQ733" s="118"/>
      <c r="AR733" s="118"/>
      <c r="AS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64"/>
      <c r="O734" s="161"/>
      <c r="P734" s="118"/>
      <c r="Q734" s="118"/>
      <c r="R734" s="117"/>
      <c r="S734" s="117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  <c r="AI734" s="118"/>
      <c r="AJ734" s="118"/>
      <c r="AK734" s="118"/>
      <c r="AL734" s="118"/>
      <c r="AM734" s="118"/>
      <c r="AN734" s="118"/>
      <c r="AO734" s="118"/>
      <c r="AP734" s="118"/>
      <c r="AQ734" s="118"/>
      <c r="AR734" s="118"/>
      <c r="AS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64"/>
      <c r="O735" s="161"/>
      <c r="P735" s="118"/>
      <c r="Q735" s="118"/>
      <c r="R735" s="117"/>
      <c r="S735" s="117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  <c r="AI735" s="118"/>
      <c r="AJ735" s="118"/>
      <c r="AK735" s="118"/>
      <c r="AL735" s="118"/>
      <c r="AM735" s="118"/>
      <c r="AN735" s="118"/>
      <c r="AO735" s="118"/>
      <c r="AP735" s="118"/>
      <c r="AQ735" s="118"/>
      <c r="AR735" s="118"/>
      <c r="AS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64"/>
      <c r="O736" s="161"/>
      <c r="P736" s="118"/>
      <c r="Q736" s="118"/>
      <c r="R736" s="117"/>
      <c r="S736" s="117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  <c r="AI736" s="118"/>
      <c r="AJ736" s="118"/>
      <c r="AK736" s="118"/>
      <c r="AL736" s="118"/>
      <c r="AM736" s="118"/>
      <c r="AN736" s="118"/>
      <c r="AO736" s="118"/>
      <c r="AP736" s="118"/>
      <c r="AQ736" s="118"/>
      <c r="AR736" s="118"/>
      <c r="AS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64"/>
      <c r="O737" s="161"/>
      <c r="P737" s="118"/>
      <c r="Q737" s="118"/>
      <c r="R737" s="117"/>
      <c r="S737" s="117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  <c r="AI737" s="118"/>
      <c r="AJ737" s="118"/>
      <c r="AK737" s="118"/>
      <c r="AL737" s="118"/>
      <c r="AM737" s="118"/>
      <c r="AN737" s="118"/>
      <c r="AO737" s="118"/>
      <c r="AP737" s="118"/>
      <c r="AQ737" s="118"/>
      <c r="AR737" s="118"/>
      <c r="AS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64"/>
      <c r="O738" s="161"/>
      <c r="P738" s="118"/>
      <c r="Q738" s="118"/>
      <c r="R738" s="117"/>
      <c r="S738" s="117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  <c r="AI738" s="118"/>
      <c r="AJ738" s="118"/>
      <c r="AK738" s="118"/>
      <c r="AL738" s="118"/>
      <c r="AM738" s="118"/>
      <c r="AN738" s="118"/>
      <c r="AO738" s="118"/>
      <c r="AP738" s="118"/>
      <c r="AQ738" s="118"/>
      <c r="AR738" s="118"/>
      <c r="AS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64"/>
      <c r="O739" s="161"/>
      <c r="P739" s="118"/>
      <c r="Q739" s="118"/>
      <c r="R739" s="117"/>
      <c r="S739" s="117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  <c r="AI739" s="118"/>
      <c r="AJ739" s="118"/>
      <c r="AK739" s="118"/>
      <c r="AL739" s="118"/>
      <c r="AM739" s="118"/>
      <c r="AN739" s="118"/>
      <c r="AO739" s="118"/>
      <c r="AP739" s="118"/>
      <c r="AQ739" s="118"/>
      <c r="AR739" s="118"/>
      <c r="AS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64"/>
      <c r="O740" s="161"/>
      <c r="P740" s="118"/>
      <c r="Q740" s="118"/>
      <c r="R740" s="117"/>
      <c r="S740" s="117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  <c r="AI740" s="118"/>
      <c r="AJ740" s="118"/>
      <c r="AK740" s="118"/>
      <c r="AL740" s="118"/>
      <c r="AM740" s="118"/>
      <c r="AN740" s="118"/>
      <c r="AO740" s="118"/>
      <c r="AP740" s="118"/>
      <c r="AQ740" s="118"/>
      <c r="AR740" s="118"/>
      <c r="AS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64"/>
      <c r="O741" s="161"/>
      <c r="P741" s="118"/>
      <c r="Q741" s="118"/>
      <c r="R741" s="117"/>
      <c r="S741" s="117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  <c r="AI741" s="118"/>
      <c r="AJ741" s="118"/>
      <c r="AK741" s="118"/>
      <c r="AL741" s="118"/>
      <c r="AM741" s="118"/>
      <c r="AN741" s="118"/>
      <c r="AO741" s="118"/>
      <c r="AP741" s="118"/>
      <c r="AQ741" s="118"/>
      <c r="AR741" s="118"/>
      <c r="AS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64"/>
      <c r="O742" s="161"/>
      <c r="P742" s="118"/>
      <c r="Q742" s="118"/>
      <c r="R742" s="117"/>
      <c r="S742" s="117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  <c r="AI742" s="118"/>
      <c r="AJ742" s="118"/>
      <c r="AK742" s="118"/>
      <c r="AL742" s="118"/>
      <c r="AM742" s="118"/>
      <c r="AN742" s="118"/>
      <c r="AO742" s="118"/>
      <c r="AP742" s="118"/>
      <c r="AQ742" s="118"/>
      <c r="AR742" s="118"/>
      <c r="AS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64"/>
      <c r="O743" s="161"/>
      <c r="P743" s="118"/>
      <c r="Q743" s="118"/>
      <c r="R743" s="117"/>
      <c r="S743" s="117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  <c r="AI743" s="118"/>
      <c r="AJ743" s="118"/>
      <c r="AK743" s="118"/>
      <c r="AL743" s="118"/>
      <c r="AM743" s="118"/>
      <c r="AN743" s="118"/>
      <c r="AO743" s="118"/>
      <c r="AP743" s="118"/>
      <c r="AQ743" s="118"/>
      <c r="AR743" s="118"/>
      <c r="AS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64"/>
      <c r="O744" s="161"/>
      <c r="P744" s="118"/>
      <c r="Q744" s="118"/>
      <c r="R744" s="117"/>
      <c r="S744" s="117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  <c r="AI744" s="118"/>
      <c r="AJ744" s="118"/>
      <c r="AK744" s="118"/>
      <c r="AL744" s="118"/>
      <c r="AM744" s="118"/>
      <c r="AN744" s="118"/>
      <c r="AO744" s="118"/>
      <c r="AP744" s="118"/>
      <c r="AQ744" s="118"/>
      <c r="AR744" s="118"/>
      <c r="AS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64"/>
      <c r="O745" s="161"/>
      <c r="P745" s="118"/>
      <c r="Q745" s="118"/>
      <c r="R745" s="117"/>
      <c r="S745" s="117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  <c r="AI745" s="118"/>
      <c r="AJ745" s="118"/>
      <c r="AK745" s="118"/>
      <c r="AL745" s="118"/>
      <c r="AM745" s="118"/>
      <c r="AN745" s="118"/>
      <c r="AO745" s="118"/>
      <c r="AP745" s="118"/>
      <c r="AQ745" s="118"/>
      <c r="AR745" s="118"/>
      <c r="AS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64"/>
      <c r="O746" s="161"/>
      <c r="P746" s="118"/>
      <c r="Q746" s="118"/>
      <c r="R746" s="117"/>
      <c r="S746" s="117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8"/>
      <c r="AN746" s="118"/>
      <c r="AO746" s="118"/>
      <c r="AP746" s="118"/>
      <c r="AQ746" s="118"/>
      <c r="AR746" s="118"/>
      <c r="AS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64"/>
      <c r="O747" s="161"/>
      <c r="P747" s="118"/>
      <c r="Q747" s="118"/>
      <c r="R747" s="117"/>
      <c r="S747" s="117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  <c r="AI747" s="118"/>
      <c r="AJ747" s="118"/>
      <c r="AK747" s="118"/>
      <c r="AL747" s="118"/>
      <c r="AM747" s="118"/>
      <c r="AN747" s="118"/>
      <c r="AO747" s="118"/>
      <c r="AP747" s="118"/>
      <c r="AQ747" s="118"/>
      <c r="AR747" s="118"/>
      <c r="AS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64"/>
      <c r="O748" s="161"/>
      <c r="P748" s="118"/>
      <c r="Q748" s="118"/>
      <c r="R748" s="117"/>
      <c r="S748" s="117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  <c r="AI748" s="118"/>
      <c r="AJ748" s="118"/>
      <c r="AK748" s="118"/>
      <c r="AL748" s="118"/>
      <c r="AM748" s="118"/>
      <c r="AN748" s="118"/>
      <c r="AO748" s="118"/>
      <c r="AP748" s="118"/>
      <c r="AQ748" s="118"/>
      <c r="AR748" s="118"/>
      <c r="AS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64"/>
      <c r="O749" s="161"/>
      <c r="P749" s="118"/>
      <c r="Q749" s="118"/>
      <c r="R749" s="117"/>
      <c r="S749" s="117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  <c r="AI749" s="118"/>
      <c r="AJ749" s="118"/>
      <c r="AK749" s="118"/>
      <c r="AL749" s="118"/>
      <c r="AM749" s="118"/>
      <c r="AN749" s="118"/>
      <c r="AO749" s="118"/>
      <c r="AP749" s="118"/>
      <c r="AQ749" s="118"/>
      <c r="AR749" s="118"/>
      <c r="AS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64"/>
      <c r="O750" s="161"/>
      <c r="P750" s="118"/>
      <c r="Q750" s="118"/>
      <c r="R750" s="117"/>
      <c r="S750" s="117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  <c r="AI750" s="118"/>
      <c r="AJ750" s="118"/>
      <c r="AK750" s="118"/>
      <c r="AL750" s="118"/>
      <c r="AM750" s="118"/>
      <c r="AN750" s="118"/>
      <c r="AO750" s="118"/>
      <c r="AP750" s="118"/>
      <c r="AQ750" s="118"/>
      <c r="AR750" s="118"/>
      <c r="AS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64"/>
      <c r="O751" s="161"/>
      <c r="P751" s="118"/>
      <c r="Q751" s="118"/>
      <c r="R751" s="117"/>
      <c r="S751" s="117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  <c r="AI751" s="118"/>
      <c r="AJ751" s="118"/>
      <c r="AK751" s="118"/>
      <c r="AL751" s="118"/>
      <c r="AM751" s="118"/>
      <c r="AN751" s="118"/>
      <c r="AO751" s="118"/>
      <c r="AP751" s="118"/>
      <c r="AQ751" s="118"/>
      <c r="AR751" s="118"/>
      <c r="AS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64"/>
      <c r="O752" s="161"/>
      <c r="P752" s="118"/>
      <c r="Q752" s="118"/>
      <c r="R752" s="117"/>
      <c r="S752" s="117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  <c r="AI752" s="118"/>
      <c r="AJ752" s="118"/>
      <c r="AK752" s="118"/>
      <c r="AL752" s="118"/>
      <c r="AM752" s="118"/>
      <c r="AN752" s="118"/>
      <c r="AO752" s="118"/>
      <c r="AP752" s="118"/>
      <c r="AQ752" s="118"/>
      <c r="AR752" s="118"/>
      <c r="AS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64"/>
      <c r="O753" s="161"/>
      <c r="P753" s="118"/>
      <c r="Q753" s="118"/>
      <c r="R753" s="117"/>
      <c r="S753" s="117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  <c r="AI753" s="118"/>
      <c r="AJ753" s="118"/>
      <c r="AK753" s="118"/>
      <c r="AL753" s="118"/>
      <c r="AM753" s="118"/>
      <c r="AN753" s="118"/>
      <c r="AO753" s="118"/>
      <c r="AP753" s="118"/>
      <c r="AQ753" s="118"/>
      <c r="AR753" s="118"/>
      <c r="AS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64"/>
      <c r="O754" s="161"/>
      <c r="P754" s="118"/>
      <c r="Q754" s="118"/>
      <c r="R754" s="117"/>
      <c r="S754" s="117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  <c r="AI754" s="118"/>
      <c r="AJ754" s="118"/>
      <c r="AK754" s="118"/>
      <c r="AL754" s="118"/>
      <c r="AM754" s="118"/>
      <c r="AN754" s="118"/>
      <c r="AO754" s="118"/>
      <c r="AP754" s="118"/>
      <c r="AQ754" s="118"/>
      <c r="AR754" s="118"/>
      <c r="AS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64"/>
      <c r="O755" s="161"/>
      <c r="P755" s="118"/>
      <c r="Q755" s="118"/>
      <c r="R755" s="117"/>
      <c r="S755" s="117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  <c r="AI755" s="118"/>
      <c r="AJ755" s="118"/>
      <c r="AK755" s="118"/>
      <c r="AL755" s="118"/>
      <c r="AM755" s="118"/>
      <c r="AN755" s="118"/>
      <c r="AO755" s="118"/>
      <c r="AP755" s="118"/>
      <c r="AQ755" s="118"/>
      <c r="AR755" s="118"/>
      <c r="AS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64"/>
      <c r="O756" s="161"/>
      <c r="P756" s="118"/>
      <c r="Q756" s="118"/>
      <c r="R756" s="117"/>
      <c r="S756" s="117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  <c r="AI756" s="118"/>
      <c r="AJ756" s="118"/>
      <c r="AK756" s="118"/>
      <c r="AL756" s="118"/>
      <c r="AM756" s="118"/>
      <c r="AN756" s="118"/>
      <c r="AO756" s="118"/>
      <c r="AP756" s="118"/>
      <c r="AQ756" s="118"/>
      <c r="AR756" s="118"/>
      <c r="AS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64"/>
      <c r="O757" s="161"/>
      <c r="P757" s="118"/>
      <c r="Q757" s="118"/>
      <c r="R757" s="117"/>
      <c r="S757" s="117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  <c r="AI757" s="118"/>
      <c r="AJ757" s="118"/>
      <c r="AK757" s="118"/>
      <c r="AL757" s="118"/>
      <c r="AM757" s="118"/>
      <c r="AN757" s="118"/>
      <c r="AO757" s="118"/>
      <c r="AP757" s="118"/>
      <c r="AQ757" s="118"/>
      <c r="AR757" s="118"/>
      <c r="AS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64"/>
      <c r="O758" s="161"/>
      <c r="P758" s="118"/>
      <c r="Q758" s="118"/>
      <c r="R758" s="117"/>
      <c r="S758" s="117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  <c r="AI758" s="118"/>
      <c r="AJ758" s="118"/>
      <c r="AK758" s="118"/>
      <c r="AL758" s="118"/>
      <c r="AM758" s="118"/>
      <c r="AN758" s="118"/>
      <c r="AO758" s="118"/>
      <c r="AP758" s="118"/>
      <c r="AQ758" s="118"/>
      <c r="AR758" s="118"/>
      <c r="AS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64"/>
      <c r="O759" s="161"/>
      <c r="P759" s="118"/>
      <c r="Q759" s="118"/>
      <c r="R759" s="117"/>
      <c r="S759" s="117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  <c r="AI759" s="118"/>
      <c r="AJ759" s="118"/>
      <c r="AK759" s="118"/>
      <c r="AL759" s="118"/>
      <c r="AM759" s="118"/>
      <c r="AN759" s="118"/>
      <c r="AO759" s="118"/>
      <c r="AP759" s="118"/>
      <c r="AQ759" s="118"/>
      <c r="AR759" s="118"/>
      <c r="AS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64"/>
      <c r="O760" s="161"/>
      <c r="P760" s="118"/>
      <c r="Q760" s="118"/>
      <c r="R760" s="117"/>
      <c r="S760" s="117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  <c r="AI760" s="118"/>
      <c r="AJ760" s="118"/>
      <c r="AK760" s="118"/>
      <c r="AL760" s="118"/>
      <c r="AM760" s="118"/>
      <c r="AN760" s="118"/>
      <c r="AO760" s="118"/>
      <c r="AP760" s="118"/>
      <c r="AQ760" s="118"/>
      <c r="AR760" s="118"/>
      <c r="AS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64"/>
      <c r="O761" s="161"/>
      <c r="P761" s="118"/>
      <c r="Q761" s="118"/>
      <c r="R761" s="117"/>
      <c r="S761" s="117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  <c r="AI761" s="118"/>
      <c r="AJ761" s="118"/>
      <c r="AK761" s="118"/>
      <c r="AL761" s="118"/>
      <c r="AM761" s="118"/>
      <c r="AN761" s="118"/>
      <c r="AO761" s="118"/>
      <c r="AP761" s="118"/>
      <c r="AQ761" s="118"/>
      <c r="AR761" s="118"/>
      <c r="AS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64"/>
      <c r="O762" s="161"/>
      <c r="P762" s="118"/>
      <c r="Q762" s="118"/>
      <c r="R762" s="117"/>
      <c r="S762" s="117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  <c r="AI762" s="118"/>
      <c r="AJ762" s="118"/>
      <c r="AK762" s="118"/>
      <c r="AL762" s="118"/>
      <c r="AM762" s="118"/>
      <c r="AN762" s="118"/>
      <c r="AO762" s="118"/>
      <c r="AP762" s="118"/>
      <c r="AQ762" s="118"/>
      <c r="AR762" s="118"/>
      <c r="AS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64"/>
      <c r="O763" s="161"/>
      <c r="P763" s="118"/>
      <c r="Q763" s="118"/>
      <c r="R763" s="117"/>
      <c r="S763" s="117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64"/>
      <c r="O764" s="161"/>
      <c r="P764" s="118"/>
      <c r="Q764" s="118"/>
      <c r="R764" s="117"/>
      <c r="S764" s="117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  <c r="AI764" s="118"/>
      <c r="AJ764" s="118"/>
      <c r="AK764" s="118"/>
      <c r="AL764" s="118"/>
      <c r="AM764" s="118"/>
      <c r="AN764" s="118"/>
      <c r="AO764" s="118"/>
      <c r="AP764" s="118"/>
      <c r="AQ764" s="118"/>
      <c r="AR764" s="118"/>
      <c r="AS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64"/>
      <c r="O765" s="161"/>
      <c r="P765" s="118"/>
      <c r="Q765" s="118"/>
      <c r="R765" s="117"/>
      <c r="S765" s="117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  <c r="AI765" s="118"/>
      <c r="AJ765" s="118"/>
      <c r="AK765" s="118"/>
      <c r="AL765" s="118"/>
      <c r="AM765" s="118"/>
      <c r="AN765" s="118"/>
      <c r="AO765" s="118"/>
      <c r="AP765" s="118"/>
      <c r="AQ765" s="118"/>
      <c r="AR765" s="118"/>
      <c r="AS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64"/>
      <c r="O766" s="161"/>
      <c r="P766" s="118"/>
      <c r="Q766" s="118"/>
      <c r="R766" s="117"/>
      <c r="S766" s="117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  <c r="AI766" s="118"/>
      <c r="AJ766" s="118"/>
      <c r="AK766" s="118"/>
      <c r="AL766" s="118"/>
      <c r="AM766" s="118"/>
      <c r="AN766" s="118"/>
      <c r="AO766" s="118"/>
      <c r="AP766" s="118"/>
      <c r="AQ766" s="118"/>
      <c r="AR766" s="118"/>
      <c r="AS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64"/>
      <c r="O767" s="161"/>
      <c r="P767" s="118"/>
      <c r="Q767" s="118"/>
      <c r="R767" s="117"/>
      <c r="S767" s="117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  <c r="AI767" s="118"/>
      <c r="AJ767" s="118"/>
      <c r="AK767" s="118"/>
      <c r="AL767" s="118"/>
      <c r="AM767" s="118"/>
      <c r="AN767" s="118"/>
      <c r="AO767" s="118"/>
      <c r="AP767" s="118"/>
      <c r="AQ767" s="118"/>
      <c r="AR767" s="118"/>
      <c r="AS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64"/>
      <c r="O768" s="161"/>
      <c r="P768" s="118"/>
      <c r="Q768" s="118"/>
      <c r="R768" s="117"/>
      <c r="S768" s="117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  <c r="AI768" s="118"/>
      <c r="AJ768" s="118"/>
      <c r="AK768" s="118"/>
      <c r="AL768" s="118"/>
      <c r="AM768" s="118"/>
      <c r="AN768" s="118"/>
      <c r="AO768" s="118"/>
      <c r="AP768" s="118"/>
      <c r="AQ768" s="118"/>
      <c r="AR768" s="118"/>
      <c r="AS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64"/>
      <c r="O769" s="161"/>
      <c r="P769" s="118"/>
      <c r="Q769" s="118"/>
      <c r="R769" s="117"/>
      <c r="S769" s="117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  <c r="AI769" s="118"/>
      <c r="AJ769" s="118"/>
      <c r="AK769" s="118"/>
      <c r="AL769" s="118"/>
      <c r="AM769" s="118"/>
      <c r="AN769" s="118"/>
      <c r="AO769" s="118"/>
      <c r="AP769" s="118"/>
      <c r="AQ769" s="118"/>
      <c r="AR769" s="118"/>
      <c r="AS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64"/>
      <c r="O770" s="161"/>
      <c r="P770" s="118"/>
      <c r="Q770" s="118"/>
      <c r="R770" s="117"/>
      <c r="S770" s="117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  <c r="AI770" s="118"/>
      <c r="AJ770" s="118"/>
      <c r="AK770" s="118"/>
      <c r="AL770" s="118"/>
      <c r="AM770" s="118"/>
      <c r="AN770" s="118"/>
      <c r="AO770" s="118"/>
      <c r="AP770" s="118"/>
      <c r="AQ770" s="118"/>
      <c r="AR770" s="118"/>
      <c r="AS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64"/>
      <c r="O771" s="161"/>
      <c r="P771" s="118"/>
      <c r="Q771" s="118"/>
      <c r="R771" s="117"/>
      <c r="S771" s="117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  <c r="AI771" s="118"/>
      <c r="AJ771" s="118"/>
      <c r="AK771" s="118"/>
      <c r="AL771" s="118"/>
      <c r="AM771" s="118"/>
      <c r="AN771" s="118"/>
      <c r="AO771" s="118"/>
      <c r="AP771" s="118"/>
      <c r="AQ771" s="118"/>
      <c r="AR771" s="118"/>
      <c r="AS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64"/>
      <c r="O772" s="161"/>
      <c r="P772" s="118"/>
      <c r="Q772" s="118"/>
      <c r="R772" s="117"/>
      <c r="S772" s="117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  <c r="AI772" s="118"/>
      <c r="AJ772" s="118"/>
      <c r="AK772" s="118"/>
      <c r="AL772" s="118"/>
      <c r="AM772" s="118"/>
      <c r="AN772" s="118"/>
      <c r="AO772" s="118"/>
      <c r="AP772" s="118"/>
      <c r="AQ772" s="118"/>
      <c r="AR772" s="118"/>
      <c r="AS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64"/>
      <c r="O773" s="161"/>
      <c r="P773" s="118"/>
      <c r="Q773" s="118"/>
      <c r="R773" s="117"/>
      <c r="S773" s="117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  <c r="AI773" s="118"/>
      <c r="AJ773" s="118"/>
      <c r="AK773" s="118"/>
      <c r="AL773" s="118"/>
      <c r="AM773" s="118"/>
      <c r="AN773" s="118"/>
      <c r="AO773" s="118"/>
      <c r="AP773" s="118"/>
      <c r="AQ773" s="118"/>
      <c r="AR773" s="118"/>
      <c r="AS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64"/>
      <c r="O774" s="161"/>
      <c r="P774" s="118"/>
      <c r="Q774" s="118"/>
      <c r="R774" s="117"/>
      <c r="S774" s="117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  <c r="AI774" s="118"/>
      <c r="AJ774" s="118"/>
      <c r="AK774" s="118"/>
      <c r="AL774" s="118"/>
      <c r="AM774" s="118"/>
      <c r="AN774" s="118"/>
      <c r="AO774" s="118"/>
      <c r="AP774" s="118"/>
      <c r="AQ774" s="118"/>
      <c r="AR774" s="118"/>
      <c r="AS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64"/>
      <c r="O775" s="161"/>
      <c r="P775" s="118"/>
      <c r="Q775" s="118"/>
      <c r="R775" s="117"/>
      <c r="S775" s="117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  <c r="AL775" s="118"/>
      <c r="AM775" s="118"/>
      <c r="AN775" s="118"/>
      <c r="AO775" s="118"/>
      <c r="AP775" s="118"/>
      <c r="AQ775" s="118"/>
      <c r="AR775" s="118"/>
      <c r="AS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64"/>
      <c r="O776" s="161"/>
      <c r="P776" s="118"/>
      <c r="Q776" s="118"/>
      <c r="R776" s="117"/>
      <c r="S776" s="117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  <c r="AI776" s="118"/>
      <c r="AJ776" s="118"/>
      <c r="AK776" s="118"/>
      <c r="AL776" s="118"/>
      <c r="AM776" s="118"/>
      <c r="AN776" s="118"/>
      <c r="AO776" s="118"/>
      <c r="AP776" s="118"/>
      <c r="AQ776" s="118"/>
      <c r="AR776" s="118"/>
      <c r="AS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64"/>
      <c r="O777" s="161"/>
      <c r="P777" s="118"/>
      <c r="Q777" s="118"/>
      <c r="R777" s="117"/>
      <c r="S777" s="117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  <c r="AI777" s="118"/>
      <c r="AJ777" s="118"/>
      <c r="AK777" s="118"/>
      <c r="AL777" s="118"/>
      <c r="AM777" s="118"/>
      <c r="AN777" s="118"/>
      <c r="AO777" s="118"/>
      <c r="AP777" s="118"/>
      <c r="AQ777" s="118"/>
      <c r="AR777" s="118"/>
      <c r="AS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64"/>
      <c r="O778" s="161"/>
      <c r="P778" s="118"/>
      <c r="Q778" s="118"/>
      <c r="R778" s="117"/>
      <c r="S778" s="117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  <c r="AI778" s="118"/>
      <c r="AJ778" s="118"/>
      <c r="AK778" s="118"/>
      <c r="AL778" s="118"/>
      <c r="AM778" s="118"/>
      <c r="AN778" s="118"/>
      <c r="AO778" s="118"/>
      <c r="AP778" s="118"/>
      <c r="AQ778" s="118"/>
      <c r="AR778" s="118"/>
      <c r="AS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64"/>
      <c r="O779" s="161"/>
      <c r="P779" s="118"/>
      <c r="Q779" s="118"/>
      <c r="R779" s="117"/>
      <c r="S779" s="117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  <c r="AI779" s="118"/>
      <c r="AJ779" s="118"/>
      <c r="AK779" s="118"/>
      <c r="AL779" s="118"/>
      <c r="AM779" s="118"/>
      <c r="AN779" s="118"/>
      <c r="AO779" s="118"/>
      <c r="AP779" s="118"/>
      <c r="AQ779" s="118"/>
      <c r="AR779" s="118"/>
      <c r="AS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64"/>
      <c r="O780" s="161"/>
      <c r="P780" s="118"/>
      <c r="Q780" s="118"/>
      <c r="R780" s="117"/>
      <c r="S780" s="117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  <c r="AI780" s="118"/>
      <c r="AJ780" s="118"/>
      <c r="AK780" s="118"/>
      <c r="AL780" s="118"/>
      <c r="AM780" s="118"/>
      <c r="AN780" s="118"/>
      <c r="AO780" s="118"/>
      <c r="AP780" s="118"/>
      <c r="AQ780" s="118"/>
      <c r="AR780" s="118"/>
      <c r="AS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64"/>
      <c r="O781" s="161"/>
      <c r="P781" s="118"/>
      <c r="Q781" s="118"/>
      <c r="R781" s="117"/>
      <c r="S781" s="117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  <c r="AI781" s="118"/>
      <c r="AJ781" s="118"/>
      <c r="AK781" s="118"/>
      <c r="AL781" s="118"/>
      <c r="AM781" s="118"/>
      <c r="AN781" s="118"/>
      <c r="AO781" s="118"/>
      <c r="AP781" s="118"/>
      <c r="AQ781" s="118"/>
      <c r="AR781" s="118"/>
      <c r="AS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64"/>
      <c r="O782" s="161"/>
      <c r="P782" s="118"/>
      <c r="Q782" s="118"/>
      <c r="R782" s="117"/>
      <c r="S782" s="117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  <c r="AI782" s="118"/>
      <c r="AJ782" s="118"/>
      <c r="AK782" s="118"/>
      <c r="AL782" s="118"/>
      <c r="AM782" s="118"/>
      <c r="AN782" s="118"/>
      <c r="AO782" s="118"/>
      <c r="AP782" s="118"/>
      <c r="AQ782" s="118"/>
      <c r="AR782" s="118"/>
      <c r="AS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64"/>
      <c r="O783" s="161"/>
      <c r="P783" s="118"/>
      <c r="Q783" s="118"/>
      <c r="R783" s="117"/>
      <c r="S783" s="117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  <c r="AI783" s="118"/>
      <c r="AJ783" s="118"/>
      <c r="AK783" s="118"/>
      <c r="AL783" s="118"/>
      <c r="AM783" s="118"/>
      <c r="AN783" s="118"/>
      <c r="AO783" s="118"/>
      <c r="AP783" s="118"/>
      <c r="AQ783" s="118"/>
      <c r="AR783" s="118"/>
      <c r="AS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64"/>
      <c r="O784" s="161"/>
      <c r="P784" s="118"/>
      <c r="Q784" s="118"/>
      <c r="R784" s="117"/>
      <c r="S784" s="117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8"/>
      <c r="AN784" s="118"/>
      <c r="AO784" s="118"/>
      <c r="AP784" s="118"/>
      <c r="AQ784" s="118"/>
      <c r="AR784" s="118"/>
      <c r="AS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64"/>
      <c r="O785" s="161"/>
      <c r="P785" s="118"/>
      <c r="Q785" s="118"/>
      <c r="R785" s="117"/>
      <c r="S785" s="117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  <c r="AI785" s="118"/>
      <c r="AJ785" s="118"/>
      <c r="AK785" s="118"/>
      <c r="AL785" s="118"/>
      <c r="AM785" s="118"/>
      <c r="AN785" s="118"/>
      <c r="AO785" s="118"/>
      <c r="AP785" s="118"/>
      <c r="AQ785" s="118"/>
      <c r="AR785" s="118"/>
      <c r="AS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64"/>
      <c r="O786" s="161"/>
      <c r="P786" s="118"/>
      <c r="Q786" s="118"/>
      <c r="R786" s="117"/>
      <c r="S786" s="117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  <c r="AI786" s="118"/>
      <c r="AJ786" s="118"/>
      <c r="AK786" s="118"/>
      <c r="AL786" s="118"/>
      <c r="AM786" s="118"/>
      <c r="AN786" s="118"/>
      <c r="AO786" s="118"/>
      <c r="AP786" s="118"/>
      <c r="AQ786" s="118"/>
      <c r="AR786" s="118"/>
      <c r="AS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64"/>
      <c r="O787" s="161"/>
      <c r="P787" s="118"/>
      <c r="Q787" s="118"/>
      <c r="R787" s="117"/>
      <c r="S787" s="117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  <c r="AI787" s="118"/>
      <c r="AJ787" s="118"/>
      <c r="AK787" s="118"/>
      <c r="AL787" s="118"/>
      <c r="AM787" s="118"/>
      <c r="AN787" s="118"/>
      <c r="AO787" s="118"/>
      <c r="AP787" s="118"/>
      <c r="AQ787" s="118"/>
      <c r="AR787" s="118"/>
      <c r="AS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64"/>
      <c r="O788" s="161"/>
      <c r="P788" s="118"/>
      <c r="Q788" s="118"/>
      <c r="R788" s="117"/>
      <c r="S788" s="117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  <c r="AI788" s="118"/>
      <c r="AJ788" s="118"/>
      <c r="AK788" s="118"/>
      <c r="AL788" s="118"/>
      <c r="AM788" s="118"/>
      <c r="AN788" s="118"/>
      <c r="AO788" s="118"/>
      <c r="AP788" s="118"/>
      <c r="AQ788" s="118"/>
      <c r="AR788" s="118"/>
      <c r="AS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64"/>
      <c r="O789" s="161"/>
      <c r="P789" s="118"/>
      <c r="Q789" s="118"/>
      <c r="R789" s="117"/>
      <c r="S789" s="117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  <c r="AI789" s="118"/>
      <c r="AJ789" s="118"/>
      <c r="AK789" s="118"/>
      <c r="AL789" s="118"/>
      <c r="AM789" s="118"/>
      <c r="AN789" s="118"/>
      <c r="AO789" s="118"/>
      <c r="AP789" s="118"/>
      <c r="AQ789" s="118"/>
      <c r="AR789" s="118"/>
      <c r="AS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64"/>
      <c r="O790" s="161"/>
      <c r="P790" s="118"/>
      <c r="Q790" s="118"/>
      <c r="R790" s="117"/>
      <c r="S790" s="117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  <c r="AI790" s="118"/>
      <c r="AJ790" s="118"/>
      <c r="AK790" s="118"/>
      <c r="AL790" s="118"/>
      <c r="AM790" s="118"/>
      <c r="AN790" s="118"/>
      <c r="AO790" s="118"/>
      <c r="AP790" s="118"/>
      <c r="AQ790" s="118"/>
      <c r="AR790" s="118"/>
      <c r="AS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64"/>
      <c r="O791" s="161"/>
      <c r="P791" s="118"/>
      <c r="Q791" s="118"/>
      <c r="R791" s="117"/>
      <c r="S791" s="117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  <c r="AI791" s="118"/>
      <c r="AJ791" s="118"/>
      <c r="AK791" s="118"/>
      <c r="AL791" s="118"/>
      <c r="AM791" s="118"/>
      <c r="AN791" s="118"/>
      <c r="AO791" s="118"/>
      <c r="AP791" s="118"/>
      <c r="AQ791" s="118"/>
      <c r="AR791" s="118"/>
      <c r="AS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64"/>
      <c r="O792" s="161"/>
      <c r="P792" s="118"/>
      <c r="Q792" s="118"/>
      <c r="R792" s="117"/>
      <c r="S792" s="117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  <c r="AI792" s="118"/>
      <c r="AJ792" s="118"/>
      <c r="AK792" s="118"/>
      <c r="AL792" s="118"/>
      <c r="AM792" s="118"/>
      <c r="AN792" s="118"/>
      <c r="AO792" s="118"/>
      <c r="AP792" s="118"/>
      <c r="AQ792" s="118"/>
      <c r="AR792" s="118"/>
      <c r="AS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64"/>
      <c r="O793" s="161"/>
      <c r="P793" s="118"/>
      <c r="Q793" s="118"/>
      <c r="R793" s="117"/>
      <c r="S793" s="117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  <c r="AI793" s="118"/>
      <c r="AJ793" s="118"/>
      <c r="AK793" s="118"/>
      <c r="AL793" s="118"/>
      <c r="AM793" s="118"/>
      <c r="AN793" s="118"/>
      <c r="AO793" s="118"/>
      <c r="AP793" s="118"/>
      <c r="AQ793" s="118"/>
      <c r="AR793" s="118"/>
      <c r="AS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64"/>
      <c r="O794" s="161"/>
      <c r="P794" s="118"/>
      <c r="Q794" s="118"/>
      <c r="R794" s="117"/>
      <c r="S794" s="117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  <c r="AI794" s="118"/>
      <c r="AJ794" s="118"/>
      <c r="AK794" s="118"/>
      <c r="AL794" s="118"/>
      <c r="AM794" s="118"/>
      <c r="AN794" s="118"/>
      <c r="AO794" s="118"/>
      <c r="AP794" s="118"/>
      <c r="AQ794" s="118"/>
      <c r="AR794" s="118"/>
      <c r="AS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64"/>
      <c r="O795" s="161"/>
      <c r="P795" s="118"/>
      <c r="Q795" s="118"/>
      <c r="R795" s="117"/>
      <c r="S795" s="117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  <c r="AI795" s="118"/>
      <c r="AJ795" s="118"/>
      <c r="AK795" s="118"/>
      <c r="AL795" s="118"/>
      <c r="AM795" s="118"/>
      <c r="AN795" s="118"/>
      <c r="AO795" s="118"/>
      <c r="AP795" s="118"/>
      <c r="AQ795" s="118"/>
      <c r="AR795" s="118"/>
      <c r="AS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64"/>
      <c r="O796" s="161"/>
      <c r="P796" s="118"/>
      <c r="Q796" s="118"/>
      <c r="R796" s="117"/>
      <c r="S796" s="117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  <c r="AI796" s="118"/>
      <c r="AJ796" s="118"/>
      <c r="AK796" s="118"/>
      <c r="AL796" s="118"/>
      <c r="AM796" s="118"/>
      <c r="AN796" s="118"/>
      <c r="AO796" s="118"/>
      <c r="AP796" s="118"/>
      <c r="AQ796" s="118"/>
      <c r="AR796" s="118"/>
      <c r="AS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64"/>
      <c r="O797" s="161"/>
      <c r="P797" s="118"/>
      <c r="Q797" s="118"/>
      <c r="R797" s="117"/>
      <c r="S797" s="117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  <c r="AI797" s="118"/>
      <c r="AJ797" s="118"/>
      <c r="AK797" s="118"/>
      <c r="AL797" s="118"/>
      <c r="AM797" s="118"/>
      <c r="AN797" s="118"/>
      <c r="AO797" s="118"/>
      <c r="AP797" s="118"/>
      <c r="AQ797" s="118"/>
      <c r="AR797" s="118"/>
      <c r="AS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64"/>
      <c r="O798" s="161"/>
      <c r="P798" s="118"/>
      <c r="Q798" s="118"/>
      <c r="R798" s="117"/>
      <c r="S798" s="117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  <c r="AI798" s="118"/>
      <c r="AJ798" s="118"/>
      <c r="AK798" s="118"/>
      <c r="AL798" s="118"/>
      <c r="AM798" s="118"/>
      <c r="AN798" s="118"/>
      <c r="AO798" s="118"/>
      <c r="AP798" s="118"/>
      <c r="AQ798" s="118"/>
      <c r="AR798" s="118"/>
      <c r="AS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64"/>
      <c r="O799" s="161"/>
      <c r="P799" s="118"/>
      <c r="Q799" s="118"/>
      <c r="R799" s="117"/>
      <c r="S799" s="117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  <c r="AI799" s="118"/>
      <c r="AJ799" s="118"/>
      <c r="AK799" s="118"/>
      <c r="AL799" s="118"/>
      <c r="AM799" s="118"/>
      <c r="AN799" s="118"/>
      <c r="AO799" s="118"/>
      <c r="AP799" s="118"/>
      <c r="AQ799" s="118"/>
      <c r="AR799" s="118"/>
      <c r="AS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64"/>
      <c r="O800" s="161"/>
      <c r="P800" s="118"/>
      <c r="Q800" s="118"/>
      <c r="R800" s="117"/>
      <c r="S800" s="117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  <c r="AI800" s="118"/>
      <c r="AJ800" s="118"/>
      <c r="AK800" s="118"/>
      <c r="AL800" s="118"/>
      <c r="AM800" s="118"/>
      <c r="AN800" s="118"/>
      <c r="AO800" s="118"/>
      <c r="AP800" s="118"/>
      <c r="AQ800" s="118"/>
      <c r="AR800" s="118"/>
      <c r="AS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64"/>
      <c r="O801" s="161"/>
      <c r="P801" s="118"/>
      <c r="Q801" s="118"/>
      <c r="R801" s="117"/>
      <c r="S801" s="117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  <c r="AI801" s="118"/>
      <c r="AJ801" s="118"/>
      <c r="AK801" s="118"/>
      <c r="AL801" s="118"/>
      <c r="AM801" s="118"/>
      <c r="AN801" s="118"/>
      <c r="AO801" s="118"/>
      <c r="AP801" s="118"/>
      <c r="AQ801" s="118"/>
      <c r="AR801" s="118"/>
      <c r="AS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64"/>
      <c r="O802" s="161"/>
      <c r="P802" s="118"/>
      <c r="Q802" s="118"/>
      <c r="R802" s="117"/>
      <c r="S802" s="117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  <c r="AI802" s="118"/>
      <c r="AJ802" s="118"/>
      <c r="AK802" s="118"/>
      <c r="AL802" s="118"/>
      <c r="AM802" s="118"/>
      <c r="AN802" s="118"/>
      <c r="AO802" s="118"/>
      <c r="AP802" s="118"/>
      <c r="AQ802" s="118"/>
      <c r="AR802" s="118"/>
      <c r="AS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64"/>
      <c r="O803" s="161"/>
      <c r="P803" s="118"/>
      <c r="Q803" s="118"/>
      <c r="R803" s="117"/>
      <c r="S803" s="117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  <c r="AI803" s="118"/>
      <c r="AJ803" s="118"/>
      <c r="AK803" s="118"/>
      <c r="AL803" s="118"/>
      <c r="AM803" s="118"/>
      <c r="AN803" s="118"/>
      <c r="AO803" s="118"/>
      <c r="AP803" s="118"/>
      <c r="AQ803" s="118"/>
      <c r="AR803" s="118"/>
      <c r="AS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64"/>
      <c r="O804" s="161"/>
      <c r="P804" s="118"/>
      <c r="Q804" s="118"/>
      <c r="R804" s="117"/>
      <c r="S804" s="117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  <c r="AI804" s="118"/>
      <c r="AJ804" s="118"/>
      <c r="AK804" s="118"/>
      <c r="AL804" s="118"/>
      <c r="AM804" s="118"/>
      <c r="AN804" s="118"/>
      <c r="AO804" s="118"/>
      <c r="AP804" s="118"/>
      <c r="AQ804" s="118"/>
      <c r="AR804" s="118"/>
      <c r="AS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64"/>
      <c r="O805" s="161"/>
      <c r="P805" s="118"/>
      <c r="Q805" s="118"/>
      <c r="R805" s="117"/>
      <c r="S805" s="117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  <c r="AI805" s="118"/>
      <c r="AJ805" s="118"/>
      <c r="AK805" s="118"/>
      <c r="AL805" s="118"/>
      <c r="AM805" s="118"/>
      <c r="AN805" s="118"/>
      <c r="AO805" s="118"/>
      <c r="AP805" s="118"/>
      <c r="AQ805" s="118"/>
      <c r="AR805" s="118"/>
      <c r="AS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64"/>
      <c r="O806" s="161"/>
      <c r="P806" s="118"/>
      <c r="Q806" s="118"/>
      <c r="R806" s="117"/>
      <c r="S806" s="117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  <c r="AI806" s="118"/>
      <c r="AJ806" s="118"/>
      <c r="AK806" s="118"/>
      <c r="AL806" s="118"/>
      <c r="AM806" s="118"/>
      <c r="AN806" s="118"/>
      <c r="AO806" s="118"/>
      <c r="AP806" s="118"/>
      <c r="AQ806" s="118"/>
      <c r="AR806" s="118"/>
      <c r="AS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64"/>
      <c r="O807" s="161"/>
      <c r="P807" s="118"/>
      <c r="Q807" s="118"/>
      <c r="R807" s="117"/>
      <c r="S807" s="117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  <c r="AI807" s="118"/>
      <c r="AJ807" s="118"/>
      <c r="AK807" s="118"/>
      <c r="AL807" s="118"/>
      <c r="AM807" s="118"/>
      <c r="AN807" s="118"/>
      <c r="AO807" s="118"/>
      <c r="AP807" s="118"/>
      <c r="AQ807" s="118"/>
      <c r="AR807" s="118"/>
      <c r="AS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64"/>
      <c r="O808" s="161"/>
      <c r="P808" s="118"/>
      <c r="Q808" s="118"/>
      <c r="R808" s="117"/>
      <c r="S808" s="117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  <c r="AI808" s="118"/>
      <c r="AJ808" s="118"/>
      <c r="AK808" s="118"/>
      <c r="AL808" s="118"/>
      <c r="AM808" s="118"/>
      <c r="AN808" s="118"/>
      <c r="AO808" s="118"/>
      <c r="AP808" s="118"/>
      <c r="AQ808" s="118"/>
      <c r="AR808" s="118"/>
      <c r="AS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64"/>
      <c r="O809" s="161"/>
      <c r="P809" s="118"/>
      <c r="Q809" s="118"/>
      <c r="R809" s="117"/>
      <c r="S809" s="117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  <c r="AI809" s="118"/>
      <c r="AJ809" s="118"/>
      <c r="AK809" s="118"/>
      <c r="AL809" s="118"/>
      <c r="AM809" s="118"/>
      <c r="AN809" s="118"/>
      <c r="AO809" s="118"/>
      <c r="AP809" s="118"/>
      <c r="AQ809" s="118"/>
      <c r="AR809" s="118"/>
      <c r="AS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64"/>
      <c r="O810" s="161"/>
      <c r="P810" s="118"/>
      <c r="Q810" s="118"/>
      <c r="R810" s="117"/>
      <c r="S810" s="117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  <c r="AI810" s="118"/>
      <c r="AJ810" s="118"/>
      <c r="AK810" s="118"/>
      <c r="AL810" s="118"/>
      <c r="AM810" s="118"/>
      <c r="AN810" s="118"/>
      <c r="AO810" s="118"/>
      <c r="AP810" s="118"/>
      <c r="AQ810" s="118"/>
      <c r="AR810" s="118"/>
      <c r="AS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64"/>
      <c r="O811" s="161"/>
      <c r="P811" s="161"/>
      <c r="Q811" s="118"/>
      <c r="R811" s="117"/>
      <c r="S811" s="117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  <c r="AI811" s="118"/>
      <c r="AJ811" s="118"/>
      <c r="AK811" s="118"/>
      <c r="AL811" s="118"/>
      <c r="AM811" s="118"/>
      <c r="AN811" s="118"/>
      <c r="AO811" s="118"/>
      <c r="AP811" s="118"/>
      <c r="AQ811" s="118"/>
      <c r="AR811" s="118"/>
      <c r="AS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64"/>
      <c r="O812" s="161"/>
      <c r="P812" s="161"/>
      <c r="Q812" s="118"/>
      <c r="R812" s="117"/>
      <c r="S812" s="117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  <c r="AI812" s="118"/>
      <c r="AJ812" s="118"/>
      <c r="AK812" s="118"/>
      <c r="AL812" s="118"/>
      <c r="AM812" s="118"/>
      <c r="AN812" s="118"/>
      <c r="AO812" s="118"/>
      <c r="AP812" s="118"/>
      <c r="AQ812" s="118"/>
      <c r="AR812" s="118"/>
      <c r="AS812" s="118"/>
    </row>
    <row r="813">
      <c r="A813" s="118"/>
      <c r="B813" s="118"/>
      <c r="C813" s="118"/>
      <c r="D813" s="118"/>
      <c r="E813" s="118"/>
      <c r="F813" s="161"/>
      <c r="G813" s="161"/>
      <c r="H813" s="118"/>
      <c r="I813" s="118"/>
      <c r="J813" s="161"/>
      <c r="K813" s="161"/>
      <c r="L813" s="161"/>
      <c r="M813" s="161"/>
      <c r="N813" s="161"/>
      <c r="O813" s="161"/>
      <c r="P813" s="161"/>
      <c r="Q813" s="118"/>
      <c r="R813" s="117"/>
      <c r="S813" s="117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  <c r="AI813" s="118"/>
      <c r="AJ813" s="118"/>
      <c r="AK813" s="118"/>
      <c r="AL813" s="118"/>
      <c r="AM813" s="118"/>
      <c r="AN813" s="118"/>
      <c r="AO813" s="118"/>
      <c r="AP813" s="118"/>
      <c r="AQ813" s="118"/>
      <c r="AR813" s="118"/>
      <c r="AS813" s="118"/>
    </row>
    <row r="814">
      <c r="A814" s="118"/>
      <c r="B814" s="118"/>
      <c r="C814" s="118"/>
      <c r="D814" s="118"/>
      <c r="E814" s="118"/>
      <c r="F814" s="161"/>
      <c r="G814" s="161"/>
      <c r="H814" s="118"/>
      <c r="I814" s="118"/>
      <c r="J814" s="161"/>
      <c r="K814" s="161"/>
      <c r="L814" s="161"/>
      <c r="M814" s="161"/>
      <c r="N814" s="161"/>
      <c r="O814" s="161"/>
      <c r="P814" s="161"/>
      <c r="Q814" s="118"/>
      <c r="R814" s="117"/>
      <c r="S814" s="117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  <c r="AI814" s="118"/>
      <c r="AJ814" s="118"/>
      <c r="AK814" s="118"/>
      <c r="AL814" s="118"/>
      <c r="AM814" s="118"/>
      <c r="AN814" s="118"/>
      <c r="AO814" s="118"/>
      <c r="AP814" s="118"/>
      <c r="AQ814" s="118"/>
      <c r="AR814" s="118"/>
      <c r="AS814" s="118"/>
    </row>
    <row r="815">
      <c r="A815" s="118"/>
      <c r="B815" s="118"/>
      <c r="C815" s="118"/>
      <c r="D815" s="118"/>
      <c r="E815" s="118"/>
      <c r="F815" s="161"/>
      <c r="G815" s="161"/>
      <c r="H815" s="118"/>
      <c r="I815" s="118"/>
      <c r="J815" s="161"/>
      <c r="K815" s="161"/>
      <c r="L815" s="161"/>
      <c r="M815" s="161"/>
      <c r="N815" s="161"/>
      <c r="O815" s="161"/>
      <c r="P815" s="161"/>
      <c r="Q815" s="118"/>
      <c r="R815" s="117"/>
      <c r="S815" s="117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  <c r="AI815" s="118"/>
      <c r="AJ815" s="118"/>
      <c r="AK815" s="118"/>
      <c r="AL815" s="118"/>
      <c r="AM815" s="118"/>
      <c r="AN815" s="118"/>
      <c r="AO815" s="118"/>
      <c r="AP815" s="118"/>
      <c r="AQ815" s="118"/>
      <c r="AR815" s="118"/>
      <c r="AS815" s="118"/>
    </row>
    <row r="816">
      <c r="A816" s="118"/>
      <c r="B816" s="118"/>
      <c r="C816" s="118"/>
      <c r="D816" s="118"/>
      <c r="E816" s="118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18"/>
      <c r="R816" s="117"/>
      <c r="S816" s="117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</row>
    <row r="817">
      <c r="A817" s="118"/>
      <c r="B817" s="118"/>
      <c r="C817" s="118"/>
      <c r="D817" s="118"/>
      <c r="E817" s="118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18"/>
      <c r="R817" s="117"/>
      <c r="S817" s="117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  <c r="AI817" s="118"/>
      <c r="AJ817" s="118"/>
      <c r="AK817" s="118"/>
      <c r="AL817" s="118"/>
      <c r="AM817" s="118"/>
      <c r="AN817" s="118"/>
      <c r="AO817" s="118"/>
      <c r="AP817" s="118"/>
      <c r="AQ817" s="118"/>
      <c r="AR817" s="118"/>
      <c r="AS817" s="118"/>
    </row>
    <row r="818">
      <c r="A818" s="118"/>
      <c r="B818" s="118"/>
      <c r="C818" s="118"/>
      <c r="D818" s="118"/>
      <c r="E818" s="118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18"/>
      <c r="R818" s="117"/>
      <c r="S818" s="117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  <c r="AI818" s="118"/>
      <c r="AJ818" s="118"/>
      <c r="AK818" s="118"/>
      <c r="AL818" s="118"/>
      <c r="AM818" s="118"/>
      <c r="AN818" s="118"/>
      <c r="AO818" s="118"/>
      <c r="AP818" s="118"/>
      <c r="AQ818" s="118"/>
      <c r="AR818" s="118"/>
      <c r="AS818" s="118"/>
    </row>
    <row r="819">
      <c r="A819" s="118"/>
      <c r="B819" s="118"/>
      <c r="C819" s="118"/>
      <c r="D819" s="118"/>
      <c r="E819" s="118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18"/>
      <c r="R819" s="117"/>
      <c r="S819" s="117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  <c r="AI819" s="118"/>
      <c r="AJ819" s="118"/>
      <c r="AK819" s="118"/>
      <c r="AL819" s="118"/>
      <c r="AM819" s="118"/>
      <c r="AN819" s="118"/>
      <c r="AO819" s="118"/>
      <c r="AP819" s="118"/>
      <c r="AQ819" s="118"/>
      <c r="AR819" s="118"/>
      <c r="AS819" s="118"/>
    </row>
    <row r="820">
      <c r="A820" s="118"/>
      <c r="B820" s="118"/>
      <c r="C820" s="118"/>
      <c r="D820" s="118"/>
      <c r="E820" s="118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18"/>
      <c r="R820" s="117"/>
      <c r="S820" s="117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  <c r="AI820" s="118"/>
      <c r="AJ820" s="118"/>
      <c r="AK820" s="118"/>
      <c r="AL820" s="118"/>
      <c r="AM820" s="118"/>
      <c r="AN820" s="118"/>
      <c r="AO820" s="118"/>
      <c r="AP820" s="118"/>
      <c r="AQ820" s="118"/>
      <c r="AR820" s="118"/>
      <c r="AS820" s="118"/>
    </row>
    <row r="821">
      <c r="A821" s="118"/>
      <c r="B821" s="118"/>
      <c r="C821" s="118"/>
      <c r="D821" s="118"/>
      <c r="E821" s="118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18"/>
      <c r="R821" s="117"/>
      <c r="S821" s="117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  <c r="AI821" s="118"/>
      <c r="AJ821" s="118"/>
      <c r="AK821" s="118"/>
      <c r="AL821" s="118"/>
      <c r="AM821" s="118"/>
      <c r="AN821" s="118"/>
      <c r="AO821" s="118"/>
      <c r="AP821" s="118"/>
      <c r="AQ821" s="118"/>
      <c r="AR821" s="118"/>
      <c r="AS821" s="118"/>
    </row>
    <row r="822">
      <c r="A822" s="118"/>
      <c r="B822" s="118"/>
      <c r="C822" s="118"/>
      <c r="D822" s="118"/>
      <c r="E822" s="118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18"/>
      <c r="R822" s="117"/>
      <c r="S822" s="117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8"/>
      <c r="AN822" s="118"/>
      <c r="AO822" s="118"/>
      <c r="AP822" s="118"/>
      <c r="AQ822" s="118"/>
      <c r="AR822" s="118"/>
      <c r="AS822" s="118"/>
    </row>
    <row r="823">
      <c r="A823" s="118"/>
      <c r="B823" s="118"/>
      <c r="C823" s="118"/>
      <c r="D823" s="118"/>
      <c r="E823" s="118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18"/>
      <c r="R823" s="117"/>
      <c r="S823" s="117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  <c r="AI823" s="118"/>
      <c r="AJ823" s="118"/>
      <c r="AK823" s="118"/>
      <c r="AL823" s="118"/>
      <c r="AM823" s="118"/>
      <c r="AN823" s="118"/>
      <c r="AO823" s="118"/>
      <c r="AP823" s="118"/>
      <c r="AQ823" s="118"/>
      <c r="AR823" s="118"/>
      <c r="AS823" s="118"/>
    </row>
    <row r="824">
      <c r="A824" s="118"/>
      <c r="B824" s="118"/>
      <c r="C824" s="118"/>
      <c r="D824" s="118"/>
      <c r="E824" s="118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18"/>
      <c r="R824" s="117"/>
      <c r="S824" s="117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  <c r="AI824" s="118"/>
      <c r="AJ824" s="118"/>
      <c r="AK824" s="118"/>
      <c r="AL824" s="118"/>
      <c r="AM824" s="118"/>
      <c r="AN824" s="118"/>
      <c r="AO824" s="118"/>
      <c r="AP824" s="118"/>
      <c r="AQ824" s="118"/>
      <c r="AR824" s="118"/>
      <c r="AS824" s="118"/>
    </row>
    <row r="825">
      <c r="A825" s="118"/>
      <c r="B825" s="118"/>
      <c r="C825" s="118"/>
      <c r="D825" s="118"/>
      <c r="E825" s="118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18"/>
      <c r="R825" s="117"/>
      <c r="S825" s="117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  <c r="AI825" s="118"/>
      <c r="AJ825" s="118"/>
      <c r="AK825" s="118"/>
      <c r="AL825" s="118"/>
      <c r="AM825" s="118"/>
      <c r="AN825" s="118"/>
      <c r="AO825" s="118"/>
      <c r="AP825" s="118"/>
      <c r="AQ825" s="118"/>
      <c r="AR825" s="118"/>
      <c r="AS825" s="118"/>
    </row>
    <row r="826">
      <c r="A826" s="118"/>
      <c r="B826" s="118"/>
      <c r="C826" s="118"/>
      <c r="D826" s="118"/>
      <c r="E826" s="118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18"/>
      <c r="R826" s="117"/>
      <c r="S826" s="117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  <c r="AI826" s="118"/>
      <c r="AJ826" s="118"/>
      <c r="AK826" s="118"/>
      <c r="AL826" s="118"/>
      <c r="AM826" s="118"/>
      <c r="AN826" s="118"/>
      <c r="AO826" s="118"/>
      <c r="AP826" s="118"/>
      <c r="AQ826" s="118"/>
      <c r="AR826" s="118"/>
      <c r="AS826" s="118"/>
    </row>
    <row r="827">
      <c r="A827" s="118"/>
      <c r="B827" s="118"/>
      <c r="C827" s="118"/>
      <c r="D827" s="118"/>
      <c r="E827" s="118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17"/>
      <c r="S827" s="117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  <c r="AI827" s="118"/>
      <c r="AJ827" s="118"/>
      <c r="AK827" s="118"/>
      <c r="AL827" s="118"/>
      <c r="AM827" s="118"/>
      <c r="AN827" s="118"/>
      <c r="AO827" s="118"/>
      <c r="AP827" s="118"/>
      <c r="AQ827" s="118"/>
      <c r="AR827" s="118"/>
      <c r="AS827" s="118"/>
    </row>
    <row r="828">
      <c r="A828" s="118"/>
      <c r="B828" s="118"/>
      <c r="C828" s="118"/>
      <c r="D828" s="118"/>
      <c r="E828" s="118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17"/>
      <c r="S828" s="117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  <c r="AI828" s="118"/>
      <c r="AJ828" s="118"/>
      <c r="AK828" s="118"/>
      <c r="AL828" s="118"/>
      <c r="AM828" s="118"/>
      <c r="AN828" s="118"/>
      <c r="AO828" s="118"/>
      <c r="AP828" s="118"/>
      <c r="AQ828" s="118"/>
      <c r="AR828" s="118"/>
      <c r="AS828" s="118"/>
    </row>
    <row r="829">
      <c r="A829" s="118"/>
      <c r="B829" s="118"/>
      <c r="C829" s="118"/>
      <c r="D829" s="118"/>
      <c r="E829" s="118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17"/>
      <c r="S829" s="117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  <c r="AL829" s="118"/>
      <c r="AM829" s="118"/>
      <c r="AN829" s="118"/>
      <c r="AO829" s="118"/>
      <c r="AP829" s="118"/>
      <c r="AQ829" s="118"/>
      <c r="AR829" s="118"/>
      <c r="AS829" s="118"/>
    </row>
    <row r="830">
      <c r="A830" s="118"/>
      <c r="B830" s="118"/>
      <c r="C830" s="118"/>
      <c r="D830" s="118"/>
      <c r="E830" s="118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17"/>
      <c r="S830" s="117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  <c r="AL830" s="118"/>
      <c r="AM830" s="118"/>
      <c r="AN830" s="118"/>
      <c r="AO830" s="118"/>
      <c r="AP830" s="118"/>
      <c r="AQ830" s="118"/>
      <c r="AR830" s="118"/>
      <c r="AS830" s="118"/>
    </row>
    <row r="831">
      <c r="A831" s="118"/>
      <c r="B831" s="118"/>
      <c r="C831" s="118"/>
      <c r="D831" s="118"/>
      <c r="E831" s="118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17"/>
      <c r="S831" s="117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  <c r="AI831" s="118"/>
      <c r="AJ831" s="118"/>
      <c r="AK831" s="118"/>
      <c r="AL831" s="118"/>
      <c r="AM831" s="118"/>
      <c r="AN831" s="118"/>
      <c r="AO831" s="118"/>
      <c r="AP831" s="118"/>
      <c r="AQ831" s="118"/>
      <c r="AR831" s="118"/>
      <c r="AS831" s="118"/>
    </row>
    <row r="832">
      <c r="A832" s="118"/>
      <c r="B832" s="118"/>
      <c r="C832" s="118"/>
      <c r="D832" s="118"/>
      <c r="E832" s="118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17"/>
      <c r="S832" s="117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  <c r="AI832" s="118"/>
      <c r="AJ832" s="118"/>
      <c r="AK832" s="118"/>
      <c r="AL832" s="118"/>
      <c r="AM832" s="118"/>
      <c r="AN832" s="118"/>
      <c r="AO832" s="118"/>
      <c r="AP832" s="118"/>
      <c r="AQ832" s="118"/>
      <c r="AR832" s="118"/>
      <c r="AS832" s="118"/>
    </row>
    <row r="833">
      <c r="A833" s="118"/>
      <c r="B833" s="118"/>
      <c r="C833" s="118"/>
      <c r="D833" s="118"/>
      <c r="E833" s="118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17"/>
      <c r="S833" s="117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  <c r="AI833" s="118"/>
      <c r="AJ833" s="118"/>
      <c r="AK833" s="118"/>
      <c r="AL833" s="118"/>
      <c r="AM833" s="118"/>
      <c r="AN833" s="118"/>
      <c r="AO833" s="118"/>
      <c r="AP833" s="118"/>
      <c r="AQ833" s="118"/>
      <c r="AR833" s="118"/>
      <c r="AS833" s="118"/>
    </row>
    <row r="834">
      <c r="A834" s="118"/>
      <c r="B834" s="118"/>
      <c r="C834" s="118"/>
      <c r="D834" s="118"/>
      <c r="E834" s="118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17"/>
      <c r="S834" s="117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  <c r="AI834" s="118"/>
      <c r="AJ834" s="118"/>
      <c r="AK834" s="118"/>
      <c r="AL834" s="118"/>
      <c r="AM834" s="118"/>
      <c r="AN834" s="118"/>
      <c r="AO834" s="118"/>
      <c r="AP834" s="118"/>
      <c r="AQ834" s="118"/>
      <c r="AR834" s="118"/>
      <c r="AS834" s="118"/>
    </row>
    <row r="835">
      <c r="A835" s="118"/>
      <c r="B835" s="118"/>
      <c r="C835" s="118"/>
      <c r="D835" s="118"/>
      <c r="E835" s="118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17"/>
      <c r="S835" s="117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  <c r="AI835" s="118"/>
      <c r="AJ835" s="118"/>
      <c r="AK835" s="118"/>
      <c r="AL835" s="118"/>
      <c r="AM835" s="118"/>
      <c r="AN835" s="118"/>
      <c r="AO835" s="118"/>
      <c r="AP835" s="118"/>
      <c r="AQ835" s="118"/>
      <c r="AR835" s="118"/>
      <c r="AS835" s="118"/>
    </row>
    <row r="836">
      <c r="A836" s="118"/>
      <c r="B836" s="118"/>
      <c r="C836" s="118"/>
      <c r="D836" s="118"/>
      <c r="E836" s="118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17"/>
      <c r="S836" s="117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  <c r="AI836" s="118"/>
      <c r="AJ836" s="118"/>
      <c r="AK836" s="118"/>
      <c r="AL836" s="118"/>
      <c r="AM836" s="118"/>
      <c r="AN836" s="118"/>
      <c r="AO836" s="118"/>
      <c r="AP836" s="118"/>
      <c r="AQ836" s="118"/>
      <c r="AR836" s="118"/>
      <c r="AS836" s="118"/>
    </row>
    <row r="837">
      <c r="A837" s="118"/>
      <c r="B837" s="118"/>
      <c r="C837" s="118"/>
      <c r="D837" s="118"/>
      <c r="E837" s="118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17"/>
      <c r="S837" s="117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  <c r="AI837" s="118"/>
      <c r="AJ837" s="118"/>
      <c r="AK837" s="118"/>
      <c r="AL837" s="118"/>
      <c r="AM837" s="118"/>
      <c r="AN837" s="118"/>
      <c r="AO837" s="118"/>
      <c r="AP837" s="118"/>
      <c r="AQ837" s="118"/>
      <c r="AR837" s="118"/>
      <c r="AS837" s="118"/>
    </row>
    <row r="838">
      <c r="A838" s="118"/>
      <c r="B838" s="118"/>
      <c r="C838" s="118"/>
      <c r="D838" s="118"/>
      <c r="E838" s="118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17"/>
      <c r="S838" s="117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  <c r="AI838" s="118"/>
      <c r="AJ838" s="118"/>
      <c r="AK838" s="118"/>
      <c r="AL838" s="118"/>
      <c r="AM838" s="118"/>
      <c r="AN838" s="118"/>
      <c r="AO838" s="118"/>
      <c r="AP838" s="118"/>
      <c r="AQ838" s="118"/>
      <c r="AR838" s="118"/>
      <c r="AS838" s="118"/>
    </row>
    <row r="839">
      <c r="A839" s="118"/>
      <c r="B839" s="118"/>
      <c r="C839" s="118"/>
      <c r="D839" s="118"/>
      <c r="E839" s="118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17"/>
      <c r="S839" s="117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  <c r="AI839" s="118"/>
      <c r="AJ839" s="118"/>
      <c r="AK839" s="118"/>
      <c r="AL839" s="118"/>
      <c r="AM839" s="118"/>
      <c r="AN839" s="118"/>
      <c r="AO839" s="118"/>
      <c r="AP839" s="118"/>
      <c r="AQ839" s="118"/>
      <c r="AR839" s="118"/>
      <c r="AS839" s="118"/>
    </row>
    <row r="840">
      <c r="A840" s="118"/>
      <c r="B840" s="118"/>
      <c r="C840" s="118"/>
      <c r="D840" s="118"/>
      <c r="E840" s="118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17"/>
      <c r="S840" s="117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  <c r="AI840" s="118"/>
      <c r="AJ840" s="118"/>
      <c r="AK840" s="118"/>
      <c r="AL840" s="118"/>
      <c r="AM840" s="118"/>
      <c r="AN840" s="118"/>
      <c r="AO840" s="118"/>
      <c r="AP840" s="118"/>
      <c r="AQ840" s="118"/>
      <c r="AR840" s="118"/>
      <c r="AS840" s="118"/>
    </row>
    <row r="841">
      <c r="A841" s="118"/>
      <c r="B841" s="118"/>
      <c r="C841" s="118"/>
      <c r="D841" s="118"/>
      <c r="E841" s="118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17"/>
      <c r="S841" s="117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  <c r="AI841" s="118"/>
      <c r="AJ841" s="118"/>
      <c r="AK841" s="118"/>
      <c r="AL841" s="118"/>
      <c r="AM841" s="118"/>
      <c r="AN841" s="118"/>
      <c r="AO841" s="118"/>
      <c r="AP841" s="118"/>
      <c r="AQ841" s="118"/>
      <c r="AR841" s="118"/>
      <c r="AS841" s="118"/>
    </row>
  </sheetData>
  <mergeCells count="15">
    <mergeCell ref="G3:G4"/>
    <mergeCell ref="H3:H4"/>
    <mergeCell ref="I3:I4"/>
    <mergeCell ref="J3:M3"/>
    <mergeCell ref="N3:N4"/>
    <mergeCell ref="O3:O4"/>
    <mergeCell ref="P3:P4"/>
    <mergeCell ref="Q3:Q4"/>
    <mergeCell ref="J1:M1"/>
    <mergeCell ref="A3:A4"/>
    <mergeCell ref="B3:B4"/>
    <mergeCell ref="C3:C4"/>
    <mergeCell ref="D3:D4"/>
    <mergeCell ref="E3:E4"/>
    <mergeCell ref="F3:F4"/>
  </mergeCell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9.13"/>
    <col customWidth="1" min="3" max="3" width="4.25"/>
    <col customWidth="1" hidden="1" min="4" max="4" width="4.75"/>
    <col customWidth="1" min="5" max="5" width="16.25"/>
    <col customWidth="1" hidden="1" min="6" max="6" width="18.13"/>
    <col customWidth="1" hidden="1" min="7" max="7" width="16.63"/>
    <col customWidth="1" min="8" max="8" width="3.88"/>
    <col customWidth="1" min="9" max="9" width="3.38"/>
    <col customWidth="1" min="10" max="10" width="16.38"/>
    <col customWidth="1" min="11" max="11" width="19.88"/>
    <col customWidth="1" min="12" max="12" width="18.63"/>
    <col customWidth="1" min="13" max="13" width="20.38"/>
    <col customWidth="1" min="14" max="14" width="4.88"/>
    <col customWidth="1" min="15" max="15" width="5.13"/>
    <col customWidth="1" min="16" max="16" width="21.38"/>
    <col customWidth="1" min="17" max="17" width="23.38"/>
    <col customWidth="1" hidden="1" min="18" max="18" width="13.88"/>
    <col customWidth="1" hidden="1" min="19" max="19" width="22.38"/>
  </cols>
  <sheetData>
    <row r="1" ht="23.25" customHeight="1">
      <c r="A1" s="106"/>
      <c r="B1" s="107">
        <f>NOW()</f>
        <v>46137.95904</v>
      </c>
      <c r="C1" s="108">
        <f> COUNTIF(C5:C25, "&gt;0")</f>
        <v>1</v>
      </c>
      <c r="D1" s="109"/>
      <c r="F1" s="110"/>
      <c r="G1" s="110"/>
      <c r="H1" s="111"/>
      <c r="I1" s="111"/>
      <c r="J1" s="112" t="s">
        <v>125</v>
      </c>
      <c r="N1" s="113"/>
      <c r="O1" s="114">
        <v>46158.0</v>
      </c>
      <c r="P1" s="181" t="s">
        <v>126</v>
      </c>
      <c r="Q1" s="115"/>
      <c r="R1" s="116"/>
      <c r="S1" s="117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</row>
    <row r="2" ht="27.0" customHeight="1">
      <c r="A2" s="119">
        <v>11.0</v>
      </c>
      <c r="B2" s="120" t="s">
        <v>779</v>
      </c>
      <c r="C2" s="182"/>
      <c r="D2" s="212"/>
      <c r="E2" s="122"/>
      <c r="F2" s="122"/>
      <c r="G2" s="122"/>
      <c r="H2" s="47">
        <f t="shared" ref="H2:I2" si="1">COUNTIF(H4:H15, "&gt;0")</f>
        <v>1</v>
      </c>
      <c r="I2" s="47">
        <f t="shared" si="1"/>
        <v>1</v>
      </c>
      <c r="J2" s="122"/>
      <c r="K2" s="122"/>
      <c r="L2" s="213">
        <v>2.0</v>
      </c>
      <c r="M2" s="122"/>
      <c r="N2" s="124">
        <f>COUNTIF(N4:N22, "&gt;0")</f>
        <v>7</v>
      </c>
      <c r="O2" s="124">
        <f>COUNTIF(O4:O24, "&gt;0")</f>
        <v>1</v>
      </c>
      <c r="P2" s="125">
        <v>46137.0</v>
      </c>
      <c r="Q2" s="214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ht="22.5" customHeight="1">
      <c r="A3" s="129" t="s">
        <v>5</v>
      </c>
      <c r="B3" s="129" t="s">
        <v>6</v>
      </c>
      <c r="C3" s="129" t="s">
        <v>9</v>
      </c>
      <c r="D3" s="129"/>
      <c r="E3" s="129" t="s">
        <v>18</v>
      </c>
      <c r="F3" s="130" t="s">
        <v>131</v>
      </c>
      <c r="G3" s="129" t="s">
        <v>132</v>
      </c>
      <c r="H3" s="300"/>
      <c r="I3" s="300"/>
      <c r="J3" s="131" t="s">
        <v>133</v>
      </c>
      <c r="K3" s="132"/>
      <c r="L3" s="132"/>
      <c r="M3" s="133"/>
      <c r="N3" s="129" t="s">
        <v>134</v>
      </c>
      <c r="O3" s="129" t="s">
        <v>135</v>
      </c>
      <c r="P3" s="130" t="s">
        <v>136</v>
      </c>
      <c r="Q3" s="129" t="s">
        <v>137</v>
      </c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</row>
    <row r="4" ht="27.0" customHeight="1">
      <c r="A4" s="50"/>
      <c r="B4" s="50"/>
      <c r="C4" s="50"/>
      <c r="D4" s="50"/>
      <c r="E4" s="50"/>
      <c r="F4" s="50"/>
      <c r="G4" s="50"/>
      <c r="H4" s="50"/>
      <c r="I4" s="50"/>
      <c r="J4" s="137" t="s">
        <v>140</v>
      </c>
      <c r="K4" s="301" t="s">
        <v>141</v>
      </c>
      <c r="L4" s="137" t="s">
        <v>142</v>
      </c>
      <c r="M4" s="137" t="s">
        <v>143</v>
      </c>
      <c r="N4" s="50"/>
      <c r="O4" s="50"/>
      <c r="P4" s="50"/>
      <c r="Q4" s="50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</row>
    <row r="5" ht="30.0" customHeight="1">
      <c r="A5" s="138">
        <v>1.0</v>
      </c>
      <c r="B5" s="60" t="s">
        <v>780</v>
      </c>
      <c r="C5" s="98"/>
      <c r="D5" s="92"/>
      <c r="E5" s="93" t="s">
        <v>76</v>
      </c>
      <c r="F5" s="238" t="s">
        <v>781</v>
      </c>
      <c r="G5" s="259"/>
      <c r="H5" s="302"/>
      <c r="I5" s="303"/>
      <c r="J5" s="159" t="s">
        <v>782</v>
      </c>
      <c r="K5" s="200" t="s">
        <v>783</v>
      </c>
      <c r="L5" s="159" t="s">
        <v>781</v>
      </c>
      <c r="M5" s="159" t="s">
        <v>784</v>
      </c>
      <c r="N5" s="304"/>
      <c r="O5" s="126"/>
      <c r="P5" s="59" t="s">
        <v>380</v>
      </c>
      <c r="Q5" s="201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>
      <c r="A6" s="138">
        <f t="shared" ref="A6:A15" si="2">A5+1</f>
        <v>2</v>
      </c>
      <c r="B6" s="159" t="s">
        <v>785</v>
      </c>
      <c r="C6" s="140">
        <v>5.0</v>
      </c>
      <c r="D6" s="92"/>
      <c r="E6" s="93" t="s">
        <v>112</v>
      </c>
      <c r="F6" s="72" t="s">
        <v>786</v>
      </c>
      <c r="G6" s="72" t="s">
        <v>787</v>
      </c>
      <c r="H6" s="302"/>
      <c r="I6" s="303"/>
      <c r="J6" s="159" t="s">
        <v>788</v>
      </c>
      <c r="K6" s="200" t="s">
        <v>789</v>
      </c>
      <c r="L6" s="159" t="s">
        <v>786</v>
      </c>
      <c r="M6" s="159" t="s">
        <v>402</v>
      </c>
      <c r="N6" s="305">
        <v>1.0</v>
      </c>
      <c r="O6" s="305">
        <v>1.0</v>
      </c>
      <c r="P6" s="59"/>
      <c r="Q6" s="306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>
      <c r="A7" s="138">
        <f t="shared" si="2"/>
        <v>3</v>
      </c>
      <c r="B7" s="60" t="s">
        <v>110</v>
      </c>
      <c r="C7" s="98"/>
      <c r="D7" s="92"/>
      <c r="E7" s="93" t="s">
        <v>33</v>
      </c>
      <c r="F7" s="72" t="s">
        <v>83</v>
      </c>
      <c r="G7" s="72" t="s">
        <v>158</v>
      </c>
      <c r="H7" s="302"/>
      <c r="I7" s="303"/>
      <c r="J7" s="159" t="s">
        <v>33</v>
      </c>
      <c r="K7" s="200" t="s">
        <v>790</v>
      </c>
      <c r="L7" s="148" t="s">
        <v>83</v>
      </c>
      <c r="M7" s="159" t="s">
        <v>340</v>
      </c>
      <c r="N7" s="305">
        <v>1.0</v>
      </c>
      <c r="O7" s="126"/>
      <c r="P7" s="59"/>
      <c r="Q7" s="306"/>
      <c r="R7" s="216" t="s">
        <v>791</v>
      </c>
      <c r="S7" s="307" t="s">
        <v>792</v>
      </c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ht="28.5" customHeight="1">
      <c r="A8" s="138">
        <f t="shared" si="2"/>
        <v>4</v>
      </c>
      <c r="B8" s="60" t="s">
        <v>111</v>
      </c>
      <c r="C8" s="98"/>
      <c r="D8" s="92"/>
      <c r="E8" s="93" t="s">
        <v>112</v>
      </c>
      <c r="F8" s="95" t="s">
        <v>113</v>
      </c>
      <c r="G8" s="95" t="s">
        <v>793</v>
      </c>
      <c r="H8" s="96"/>
      <c r="I8" s="308"/>
      <c r="J8" s="159" t="s">
        <v>794</v>
      </c>
      <c r="K8" s="200" t="s">
        <v>795</v>
      </c>
      <c r="L8" s="159" t="s">
        <v>113</v>
      </c>
      <c r="M8" s="159" t="s">
        <v>796</v>
      </c>
      <c r="N8" s="305">
        <v>1.0</v>
      </c>
      <c r="O8" s="126"/>
      <c r="P8" s="59"/>
      <c r="Q8" s="201"/>
      <c r="R8" s="216" t="s">
        <v>797</v>
      </c>
      <c r="S8" s="217" t="s">
        <v>798</v>
      </c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9" ht="31.5" customHeight="1">
      <c r="A9" s="138">
        <f t="shared" si="2"/>
        <v>5</v>
      </c>
      <c r="B9" s="60" t="s">
        <v>114</v>
      </c>
      <c r="C9" s="98"/>
      <c r="D9" s="92"/>
      <c r="E9" s="93" t="s">
        <v>98</v>
      </c>
      <c r="F9" s="309" t="s">
        <v>799</v>
      </c>
      <c r="G9" s="309" t="s">
        <v>800</v>
      </c>
      <c r="H9" s="96"/>
      <c r="I9" s="308"/>
      <c r="J9" s="159" t="s">
        <v>801</v>
      </c>
      <c r="K9" s="200" t="s">
        <v>802</v>
      </c>
      <c r="L9" s="159" t="s">
        <v>799</v>
      </c>
      <c r="M9" s="159" t="s">
        <v>803</v>
      </c>
      <c r="N9" s="304"/>
      <c r="O9" s="126"/>
      <c r="P9" s="59" t="s">
        <v>380</v>
      </c>
      <c r="Q9" s="306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</row>
    <row r="10">
      <c r="A10" s="138">
        <f t="shared" si="2"/>
        <v>6</v>
      </c>
      <c r="B10" s="60" t="s">
        <v>115</v>
      </c>
      <c r="C10" s="98"/>
      <c r="D10" s="92"/>
      <c r="E10" s="93" t="s">
        <v>116</v>
      </c>
      <c r="F10" s="59" t="s">
        <v>804</v>
      </c>
      <c r="G10" s="259"/>
      <c r="H10" s="304">
        <v>1.0</v>
      </c>
      <c r="I10" s="304">
        <v>1.0</v>
      </c>
      <c r="J10" s="159" t="s">
        <v>805</v>
      </c>
      <c r="K10" s="185" t="s">
        <v>265</v>
      </c>
      <c r="L10" s="159" t="s">
        <v>804</v>
      </c>
      <c r="M10" s="159" t="s">
        <v>806</v>
      </c>
      <c r="N10" s="187"/>
      <c r="O10" s="126"/>
      <c r="P10" s="59" t="s">
        <v>807</v>
      </c>
      <c r="Q10" s="306"/>
      <c r="R10" s="216" t="s">
        <v>808</v>
      </c>
      <c r="S10" s="217" t="s">
        <v>809</v>
      </c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</row>
    <row r="11" ht="28.5" customHeight="1">
      <c r="A11" s="138">
        <f t="shared" si="2"/>
        <v>7</v>
      </c>
      <c r="B11" s="60" t="s">
        <v>810</v>
      </c>
      <c r="C11" s="98"/>
      <c r="D11" s="92"/>
      <c r="E11" s="93" t="s">
        <v>811</v>
      </c>
      <c r="F11" s="310" t="s">
        <v>324</v>
      </c>
      <c r="G11" s="59" t="s">
        <v>376</v>
      </c>
      <c r="H11" s="302"/>
      <c r="I11" s="303"/>
      <c r="J11" s="159" t="s">
        <v>322</v>
      </c>
      <c r="K11" s="200" t="s">
        <v>323</v>
      </c>
      <c r="L11" s="159" t="s">
        <v>324</v>
      </c>
      <c r="M11" s="159" t="s">
        <v>325</v>
      </c>
      <c r="N11" s="305">
        <v>1.0</v>
      </c>
      <c r="O11" s="126"/>
      <c r="P11" s="59"/>
      <c r="Q11" s="201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</row>
    <row r="12" ht="39.0" customHeight="1">
      <c r="A12" s="138">
        <f t="shared" si="2"/>
        <v>8</v>
      </c>
      <c r="B12" s="60" t="s">
        <v>812</v>
      </c>
      <c r="C12" s="98"/>
      <c r="D12" s="92"/>
      <c r="E12" s="93" t="s">
        <v>80</v>
      </c>
      <c r="F12" s="310" t="s">
        <v>813</v>
      </c>
      <c r="G12" s="59" t="s">
        <v>754</v>
      </c>
      <c r="H12" s="302"/>
      <c r="I12" s="303"/>
      <c r="J12" s="159" t="s">
        <v>814</v>
      </c>
      <c r="K12" s="200" t="s">
        <v>815</v>
      </c>
      <c r="L12" s="159" t="s">
        <v>813</v>
      </c>
      <c r="M12" s="159" t="s">
        <v>816</v>
      </c>
      <c r="N12" s="305">
        <v>1.0</v>
      </c>
      <c r="O12" s="126"/>
      <c r="P12" s="59"/>
      <c r="Q12" s="306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</row>
    <row r="13" ht="33.0" customHeight="1">
      <c r="A13" s="138">
        <f t="shared" si="2"/>
        <v>9</v>
      </c>
      <c r="B13" s="60" t="s">
        <v>117</v>
      </c>
      <c r="C13" s="98"/>
      <c r="D13" s="92"/>
      <c r="E13" s="93" t="s">
        <v>118</v>
      </c>
      <c r="F13" s="59" t="s">
        <v>83</v>
      </c>
      <c r="G13" s="59" t="s">
        <v>158</v>
      </c>
      <c r="H13" s="302"/>
      <c r="I13" s="311"/>
      <c r="J13" s="139" t="s">
        <v>48</v>
      </c>
      <c r="K13" s="147" t="s">
        <v>159</v>
      </c>
      <c r="L13" s="148" t="s">
        <v>83</v>
      </c>
      <c r="M13" s="139" t="s">
        <v>160</v>
      </c>
      <c r="N13" s="305">
        <v>1.0</v>
      </c>
      <c r="O13" s="126"/>
      <c r="P13" s="59"/>
      <c r="Q13" s="306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</row>
    <row r="14" ht="30.75" customHeight="1">
      <c r="A14" s="138">
        <f t="shared" si="2"/>
        <v>10</v>
      </c>
      <c r="B14" s="60" t="s">
        <v>119</v>
      </c>
      <c r="C14" s="98"/>
      <c r="D14" s="98"/>
      <c r="E14" s="93" t="s">
        <v>55</v>
      </c>
      <c r="F14" s="59" t="s">
        <v>120</v>
      </c>
      <c r="G14" s="59" t="s">
        <v>817</v>
      </c>
      <c r="H14" s="302"/>
      <c r="I14" s="311"/>
      <c r="J14" s="159" t="s">
        <v>818</v>
      </c>
      <c r="K14" s="200" t="s">
        <v>819</v>
      </c>
      <c r="L14" s="159" t="s">
        <v>120</v>
      </c>
      <c r="M14" s="159" t="s">
        <v>820</v>
      </c>
      <c r="N14" s="305">
        <v>1.0</v>
      </c>
      <c r="O14" s="126"/>
      <c r="P14" s="59"/>
      <c r="Q14" s="306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</row>
    <row r="15" ht="31.5" customHeight="1">
      <c r="A15" s="193">
        <f t="shared" si="2"/>
        <v>11</v>
      </c>
      <c r="B15" s="294" t="s">
        <v>821</v>
      </c>
      <c r="C15" s="294"/>
      <c r="D15" s="294"/>
      <c r="E15" s="272" t="s">
        <v>33</v>
      </c>
      <c r="F15" s="294"/>
      <c r="G15" s="294"/>
      <c r="H15" s="294"/>
      <c r="I15" s="294"/>
      <c r="J15" s="294" t="s">
        <v>822</v>
      </c>
      <c r="K15" s="196" t="s">
        <v>823</v>
      </c>
      <c r="L15" s="197" t="s">
        <v>824</v>
      </c>
      <c r="M15" s="197" t="s">
        <v>825</v>
      </c>
      <c r="N15" s="298"/>
      <c r="O15" s="298"/>
      <c r="P15" s="299" t="s">
        <v>778</v>
      </c>
      <c r="Q15" s="306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</row>
    <row r="16" ht="21.75" customHeight="1">
      <c r="A16" s="162">
        <v>46158.0</v>
      </c>
      <c r="B16" s="163" t="s">
        <v>126</v>
      </c>
      <c r="C16" s="118"/>
      <c r="D16" s="118"/>
      <c r="E16" s="118"/>
      <c r="F16" s="118"/>
      <c r="G16" s="118"/>
      <c r="H16" s="100"/>
      <c r="I16" s="100"/>
      <c r="J16" s="118"/>
      <c r="K16" s="118"/>
      <c r="L16" s="118"/>
      <c r="M16" s="118"/>
      <c r="N16" s="164"/>
      <c r="O16" s="161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</row>
    <row r="17">
      <c r="A17" s="118"/>
      <c r="B17" s="118"/>
      <c r="C17" s="118"/>
      <c r="D17" s="118"/>
      <c r="E17" s="118"/>
      <c r="F17" s="118"/>
      <c r="G17" s="118"/>
      <c r="H17" s="100"/>
      <c r="I17" s="100"/>
      <c r="J17" s="118"/>
      <c r="K17" s="118"/>
      <c r="L17" s="118"/>
      <c r="M17" s="118"/>
      <c r="N17" s="164"/>
      <c r="O17" s="161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</row>
    <row r="18">
      <c r="A18" s="118"/>
      <c r="B18" s="118"/>
      <c r="C18" s="118"/>
      <c r="D18" s="118"/>
      <c r="E18" s="118"/>
      <c r="F18" s="118"/>
      <c r="G18" s="118"/>
      <c r="H18" s="100"/>
      <c r="I18" s="100"/>
      <c r="J18" s="118"/>
      <c r="K18" s="118"/>
      <c r="L18" s="118"/>
      <c r="M18" s="118"/>
      <c r="N18" s="164"/>
      <c r="O18" s="161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</row>
    <row r="19">
      <c r="A19" s="118"/>
      <c r="B19" s="118"/>
      <c r="C19" s="118"/>
      <c r="D19" s="118"/>
      <c r="E19" s="118"/>
      <c r="F19" s="118"/>
      <c r="G19" s="118"/>
      <c r="H19" s="100"/>
      <c r="I19" s="100"/>
      <c r="J19" s="118"/>
      <c r="K19" s="118"/>
      <c r="L19" s="118"/>
      <c r="M19" s="118"/>
      <c r="N19" s="164"/>
      <c r="O19" s="161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</row>
    <row r="20">
      <c r="A20" s="118"/>
      <c r="B20" s="118"/>
      <c r="C20" s="118"/>
      <c r="D20" s="118"/>
      <c r="E20" s="118"/>
      <c r="F20" s="118"/>
      <c r="G20" s="118"/>
      <c r="H20" s="100"/>
      <c r="I20" s="100"/>
      <c r="J20" s="118"/>
      <c r="K20" s="118"/>
      <c r="L20" s="118"/>
      <c r="M20" s="118"/>
      <c r="N20" s="164"/>
      <c r="O20" s="161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</row>
    <row r="21">
      <c r="A21" s="118"/>
      <c r="B21" s="118"/>
      <c r="C21" s="118"/>
      <c r="D21" s="118"/>
      <c r="E21" s="118"/>
      <c r="F21" s="118"/>
      <c r="G21" s="118"/>
      <c r="H21" s="100"/>
      <c r="I21" s="100"/>
      <c r="J21" s="118"/>
      <c r="K21" s="118"/>
      <c r="L21" s="118"/>
      <c r="M21" s="118"/>
      <c r="N21" s="164"/>
      <c r="O21" s="161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</row>
    <row r="22">
      <c r="A22" s="118"/>
      <c r="B22" s="118"/>
      <c r="C22" s="118"/>
      <c r="D22" s="118"/>
      <c r="E22" s="118"/>
      <c r="F22" s="118"/>
      <c r="G22" s="118"/>
      <c r="H22" s="100"/>
      <c r="I22" s="100"/>
      <c r="J22" s="118"/>
      <c r="K22" s="118"/>
      <c r="L22" s="118"/>
      <c r="M22" s="118"/>
      <c r="N22" s="164"/>
      <c r="O22" s="161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</row>
    <row r="23">
      <c r="A23" s="118"/>
      <c r="B23" s="118"/>
      <c r="C23" s="118"/>
      <c r="D23" s="118"/>
      <c r="E23" s="118"/>
      <c r="F23" s="118"/>
      <c r="G23" s="118"/>
      <c r="H23" s="100"/>
      <c r="I23" s="100"/>
      <c r="J23" s="118"/>
      <c r="K23" s="118"/>
      <c r="L23" s="118"/>
      <c r="M23" s="118"/>
      <c r="N23" s="164"/>
      <c r="O23" s="161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</row>
    <row r="24">
      <c r="A24" s="118"/>
      <c r="B24" s="118"/>
      <c r="C24" s="118"/>
      <c r="D24" s="118"/>
      <c r="E24" s="118"/>
      <c r="F24" s="118"/>
      <c r="G24" s="118"/>
      <c r="H24" s="100"/>
      <c r="I24" s="100"/>
      <c r="J24" s="118"/>
      <c r="K24" s="118"/>
      <c r="L24" s="118"/>
      <c r="M24" s="118"/>
      <c r="N24" s="164"/>
      <c r="O24" s="161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</row>
    <row r="25">
      <c r="A25" s="118"/>
      <c r="B25" s="118"/>
      <c r="C25" s="118"/>
      <c r="D25" s="118"/>
      <c r="E25" s="118"/>
      <c r="F25" s="118"/>
      <c r="G25" s="118"/>
      <c r="H25" s="100"/>
      <c r="I25" s="100"/>
      <c r="J25" s="118"/>
      <c r="K25" s="118"/>
      <c r="L25" s="118"/>
      <c r="M25" s="118"/>
      <c r="N25" s="164"/>
      <c r="O25" s="161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</row>
    <row r="26">
      <c r="A26" s="118"/>
      <c r="B26" s="118"/>
      <c r="C26" s="118"/>
      <c r="D26" s="118"/>
      <c r="E26" s="118"/>
      <c r="F26" s="118"/>
      <c r="G26" s="118"/>
      <c r="H26" s="100"/>
      <c r="I26" s="100"/>
      <c r="J26" s="118"/>
      <c r="K26" s="118"/>
      <c r="L26" s="118"/>
      <c r="M26" s="118"/>
      <c r="N26" s="164"/>
      <c r="O26" s="161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</row>
    <row r="27">
      <c r="A27" s="118"/>
      <c r="B27" s="118"/>
      <c r="C27" s="118"/>
      <c r="D27" s="118"/>
      <c r="E27" s="118"/>
      <c r="F27" s="118"/>
      <c r="G27" s="118"/>
      <c r="H27" s="100"/>
      <c r="I27" s="100"/>
      <c r="J27" s="118"/>
      <c r="K27" s="118"/>
      <c r="L27" s="118"/>
      <c r="M27" s="118"/>
      <c r="N27" s="164"/>
      <c r="O27" s="161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</row>
    <row r="28">
      <c r="A28" s="118"/>
      <c r="B28" s="118"/>
      <c r="C28" s="118"/>
      <c r="D28" s="118"/>
      <c r="E28" s="118"/>
      <c r="F28" s="118"/>
      <c r="G28" s="118"/>
      <c r="H28" s="100"/>
      <c r="I28" s="100"/>
      <c r="J28" s="118"/>
      <c r="K28" s="118"/>
      <c r="L28" s="118"/>
      <c r="M28" s="118"/>
      <c r="N28" s="164"/>
      <c r="O28" s="161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</row>
    <row r="29">
      <c r="A29" s="118"/>
      <c r="B29" s="118"/>
      <c r="C29" s="118"/>
      <c r="D29" s="118"/>
      <c r="E29" s="118"/>
      <c r="F29" s="118"/>
      <c r="G29" s="118"/>
      <c r="H29" s="100"/>
      <c r="I29" s="100"/>
      <c r="J29" s="118"/>
      <c r="K29" s="118"/>
      <c r="L29" s="118"/>
      <c r="M29" s="118"/>
      <c r="N29" s="164"/>
      <c r="O29" s="161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</row>
    <row r="30">
      <c r="A30" s="118"/>
      <c r="B30" s="118"/>
      <c r="C30" s="118"/>
      <c r="D30" s="118"/>
      <c r="E30" s="118"/>
      <c r="F30" s="118"/>
      <c r="G30" s="118"/>
      <c r="H30" s="100"/>
      <c r="I30" s="100"/>
      <c r="J30" s="118"/>
      <c r="K30" s="118"/>
      <c r="L30" s="118"/>
      <c r="M30" s="118"/>
      <c r="N30" s="164"/>
      <c r="O30" s="161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</row>
    <row r="31">
      <c r="A31" s="118"/>
      <c r="B31" s="118"/>
      <c r="C31" s="118"/>
      <c r="D31" s="118"/>
      <c r="E31" s="118"/>
      <c r="F31" s="118"/>
      <c r="G31" s="118"/>
      <c r="H31" s="100"/>
      <c r="I31" s="100"/>
      <c r="J31" s="118"/>
      <c r="K31" s="118"/>
      <c r="L31" s="118"/>
      <c r="M31" s="118"/>
      <c r="N31" s="164"/>
      <c r="O31" s="161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</row>
    <row r="32">
      <c r="A32" s="118"/>
      <c r="B32" s="118"/>
      <c r="C32" s="118"/>
      <c r="D32" s="118"/>
      <c r="E32" s="118"/>
      <c r="F32" s="118"/>
      <c r="G32" s="118"/>
      <c r="H32" s="100"/>
      <c r="I32" s="100"/>
      <c r="J32" s="118"/>
      <c r="K32" s="118"/>
      <c r="L32" s="118"/>
      <c r="M32" s="118"/>
      <c r="N32" s="164"/>
      <c r="O32" s="161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</row>
    <row r="33">
      <c r="A33" s="118"/>
      <c r="B33" s="118"/>
      <c r="C33" s="118"/>
      <c r="D33" s="118"/>
      <c r="E33" s="118"/>
      <c r="F33" s="118"/>
      <c r="G33" s="118"/>
      <c r="H33" s="100"/>
      <c r="I33" s="100"/>
      <c r="J33" s="118"/>
      <c r="K33" s="118"/>
      <c r="L33" s="118"/>
      <c r="M33" s="118"/>
      <c r="N33" s="164"/>
      <c r="O33" s="161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</row>
    <row r="34">
      <c r="A34" s="118"/>
      <c r="B34" s="118"/>
      <c r="C34" s="118"/>
      <c r="D34" s="118"/>
      <c r="E34" s="118"/>
      <c r="F34" s="118"/>
      <c r="G34" s="118"/>
      <c r="H34" s="100"/>
      <c r="I34" s="100"/>
      <c r="J34" s="118"/>
      <c r="K34" s="118"/>
      <c r="L34" s="118"/>
      <c r="M34" s="118"/>
      <c r="N34" s="164"/>
      <c r="O34" s="161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</row>
    <row r="35">
      <c r="A35" s="118"/>
      <c r="B35" s="118"/>
      <c r="C35" s="118"/>
      <c r="D35" s="118"/>
      <c r="E35" s="118"/>
      <c r="F35" s="118"/>
      <c r="G35" s="118"/>
      <c r="H35" s="100"/>
      <c r="I35" s="100"/>
      <c r="J35" s="118"/>
      <c r="K35" s="118"/>
      <c r="L35" s="118"/>
      <c r="M35" s="118"/>
      <c r="N35" s="164"/>
      <c r="O35" s="161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</row>
    <row r="36">
      <c r="A36" s="118"/>
      <c r="B36" s="118"/>
      <c r="C36" s="118"/>
      <c r="D36" s="118"/>
      <c r="E36" s="118"/>
      <c r="F36" s="118"/>
      <c r="G36" s="118"/>
      <c r="H36" s="100"/>
      <c r="I36" s="100"/>
      <c r="J36" s="118"/>
      <c r="K36" s="118"/>
      <c r="L36" s="118"/>
      <c r="M36" s="118"/>
      <c r="N36" s="164"/>
      <c r="O36" s="161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</row>
    <row r="37">
      <c r="A37" s="118"/>
      <c r="B37" s="118"/>
      <c r="C37" s="118"/>
      <c r="D37" s="118"/>
      <c r="E37" s="118"/>
      <c r="F37" s="118"/>
      <c r="G37" s="118"/>
      <c r="H37" s="100"/>
      <c r="I37" s="100"/>
      <c r="J37" s="118"/>
      <c r="K37" s="118"/>
      <c r="L37" s="118"/>
      <c r="M37" s="118"/>
      <c r="N37" s="164"/>
      <c r="O37" s="161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</row>
    <row r="38">
      <c r="A38" s="118"/>
      <c r="B38" s="118"/>
      <c r="C38" s="118"/>
      <c r="D38" s="118"/>
      <c r="E38" s="118"/>
      <c r="F38" s="118"/>
      <c r="G38" s="118"/>
      <c r="H38" s="100"/>
      <c r="I38" s="100"/>
      <c r="J38" s="118"/>
      <c r="K38" s="118"/>
      <c r="L38" s="118"/>
      <c r="M38" s="118"/>
      <c r="N38" s="164"/>
      <c r="O38" s="161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</row>
    <row r="39">
      <c r="A39" s="118"/>
      <c r="B39" s="118"/>
      <c r="C39" s="118"/>
      <c r="D39" s="118"/>
      <c r="E39" s="118"/>
      <c r="F39" s="118"/>
      <c r="G39" s="118"/>
      <c r="H39" s="100"/>
      <c r="I39" s="100"/>
      <c r="J39" s="118"/>
      <c r="K39" s="118"/>
      <c r="L39" s="118"/>
      <c r="M39" s="118"/>
      <c r="N39" s="164"/>
      <c r="O39" s="161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</row>
    <row r="40">
      <c r="A40" s="118"/>
      <c r="B40" s="118"/>
      <c r="C40" s="118"/>
      <c r="D40" s="118"/>
      <c r="E40" s="118"/>
      <c r="F40" s="118"/>
      <c r="G40" s="118"/>
      <c r="H40" s="100"/>
      <c r="I40" s="100"/>
      <c r="J40" s="118"/>
      <c r="K40" s="118"/>
      <c r="L40" s="118"/>
      <c r="M40" s="118"/>
      <c r="N40" s="164"/>
      <c r="O40" s="161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</row>
    <row r="41">
      <c r="A41" s="118"/>
      <c r="B41" s="118"/>
      <c r="C41" s="118"/>
      <c r="D41" s="118"/>
      <c r="E41" s="118"/>
      <c r="F41" s="118"/>
      <c r="G41" s="118"/>
      <c r="H41" s="100"/>
      <c r="I41" s="100"/>
      <c r="J41" s="118"/>
      <c r="K41" s="118"/>
      <c r="L41" s="118"/>
      <c r="M41" s="118"/>
      <c r="N41" s="164"/>
      <c r="O41" s="161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</row>
    <row r="42">
      <c r="A42" s="118"/>
      <c r="B42" s="118"/>
      <c r="C42" s="118"/>
      <c r="D42" s="118"/>
      <c r="E42" s="118"/>
      <c r="F42" s="118"/>
      <c r="G42" s="118"/>
      <c r="H42" s="100"/>
      <c r="I42" s="100"/>
      <c r="J42" s="118"/>
      <c r="K42" s="118"/>
      <c r="L42" s="118"/>
      <c r="M42" s="118"/>
      <c r="N42" s="164"/>
      <c r="O42" s="161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</row>
    <row r="43">
      <c r="A43" s="118"/>
      <c r="B43" s="118"/>
      <c r="C43" s="118"/>
      <c r="D43" s="118"/>
      <c r="E43" s="118"/>
      <c r="F43" s="118"/>
      <c r="G43" s="118"/>
      <c r="H43" s="100"/>
      <c r="I43" s="100"/>
      <c r="J43" s="118"/>
      <c r="K43" s="118"/>
      <c r="L43" s="118"/>
      <c r="M43" s="118"/>
      <c r="N43" s="164"/>
      <c r="O43" s="161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</row>
    <row r="44">
      <c r="A44" s="118"/>
      <c r="B44" s="118"/>
      <c r="C44" s="118"/>
      <c r="D44" s="118"/>
      <c r="E44" s="118"/>
      <c r="F44" s="118"/>
      <c r="G44" s="118"/>
      <c r="H44" s="100"/>
      <c r="I44" s="100"/>
      <c r="J44" s="118"/>
      <c r="K44" s="118"/>
      <c r="L44" s="118"/>
      <c r="M44" s="118"/>
      <c r="N44" s="164"/>
      <c r="O44" s="161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</row>
    <row r="45">
      <c r="A45" s="118"/>
      <c r="B45" s="118"/>
      <c r="C45" s="118"/>
      <c r="D45" s="118"/>
      <c r="E45" s="118"/>
      <c r="F45" s="118"/>
      <c r="G45" s="118"/>
      <c r="H45" s="100"/>
      <c r="I45" s="100"/>
      <c r="J45" s="118"/>
      <c r="K45" s="118"/>
      <c r="L45" s="118"/>
      <c r="M45" s="118"/>
      <c r="N45" s="164"/>
      <c r="O45" s="161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</row>
    <row r="46">
      <c r="A46" s="118"/>
      <c r="B46" s="118"/>
      <c r="C46" s="118"/>
      <c r="D46" s="118"/>
      <c r="E46" s="118"/>
      <c r="F46" s="118"/>
      <c r="G46" s="118"/>
      <c r="H46" s="100"/>
      <c r="I46" s="100"/>
      <c r="J46" s="118"/>
      <c r="K46" s="118"/>
      <c r="L46" s="118"/>
      <c r="M46" s="118"/>
      <c r="N46" s="164"/>
      <c r="O46" s="161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</row>
    <row r="47">
      <c r="A47" s="118"/>
      <c r="B47" s="118"/>
      <c r="C47" s="118"/>
      <c r="D47" s="118"/>
      <c r="E47" s="118"/>
      <c r="F47" s="118"/>
      <c r="G47" s="118"/>
      <c r="H47" s="100"/>
      <c r="I47" s="100"/>
      <c r="J47" s="118"/>
      <c r="K47" s="118"/>
      <c r="L47" s="118"/>
      <c r="M47" s="118"/>
      <c r="N47" s="164"/>
      <c r="O47" s="161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</row>
    <row r="48">
      <c r="A48" s="118"/>
      <c r="B48" s="118"/>
      <c r="C48" s="118"/>
      <c r="D48" s="118"/>
      <c r="E48" s="118"/>
      <c r="F48" s="118"/>
      <c r="G48" s="118"/>
      <c r="H48" s="100"/>
      <c r="I48" s="100"/>
      <c r="J48" s="118"/>
      <c r="K48" s="118"/>
      <c r="L48" s="118"/>
      <c r="M48" s="118"/>
      <c r="N48" s="164"/>
      <c r="O48" s="161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</row>
    <row r="49">
      <c r="A49" s="118"/>
      <c r="B49" s="118"/>
      <c r="C49" s="118"/>
      <c r="D49" s="118"/>
      <c r="E49" s="118"/>
      <c r="F49" s="118"/>
      <c r="G49" s="118"/>
      <c r="H49" s="100"/>
      <c r="I49" s="100"/>
      <c r="J49" s="118"/>
      <c r="K49" s="118"/>
      <c r="L49" s="118"/>
      <c r="M49" s="118"/>
      <c r="N49" s="164"/>
      <c r="O49" s="161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</row>
    <row r="50">
      <c r="A50" s="118"/>
      <c r="B50" s="118"/>
      <c r="C50" s="118"/>
      <c r="D50" s="118"/>
      <c r="E50" s="118"/>
      <c r="F50" s="118"/>
      <c r="G50" s="118"/>
      <c r="H50" s="100"/>
      <c r="I50" s="100"/>
      <c r="J50" s="118"/>
      <c r="K50" s="118"/>
      <c r="L50" s="118"/>
      <c r="M50" s="118"/>
      <c r="N50" s="164"/>
      <c r="O50" s="161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</row>
    <row r="51">
      <c r="A51" s="118"/>
      <c r="B51" s="118"/>
      <c r="C51" s="118"/>
      <c r="D51" s="118"/>
      <c r="E51" s="118"/>
      <c r="F51" s="118"/>
      <c r="G51" s="118"/>
      <c r="H51" s="100"/>
      <c r="I51" s="100"/>
      <c r="J51" s="118"/>
      <c r="K51" s="118"/>
      <c r="L51" s="118"/>
      <c r="M51" s="118"/>
      <c r="N51" s="164"/>
      <c r="O51" s="161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</row>
    <row r="52">
      <c r="A52" s="118"/>
      <c r="B52" s="118"/>
      <c r="C52" s="118"/>
      <c r="D52" s="118"/>
      <c r="E52" s="118"/>
      <c r="F52" s="118"/>
      <c r="G52" s="118"/>
      <c r="H52" s="100"/>
      <c r="I52" s="100"/>
      <c r="J52" s="118"/>
      <c r="K52" s="118"/>
      <c r="L52" s="118"/>
      <c r="M52" s="118"/>
      <c r="N52" s="164"/>
      <c r="O52" s="161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</row>
    <row r="53">
      <c r="A53" s="118"/>
      <c r="B53" s="118"/>
      <c r="C53" s="118"/>
      <c r="D53" s="118"/>
      <c r="E53" s="118"/>
      <c r="F53" s="118"/>
      <c r="G53" s="118"/>
      <c r="H53" s="100"/>
      <c r="I53" s="100"/>
      <c r="J53" s="118"/>
      <c r="K53" s="118"/>
      <c r="L53" s="118"/>
      <c r="M53" s="118"/>
      <c r="N53" s="164"/>
      <c r="O53" s="161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</row>
    <row r="54">
      <c r="A54" s="118"/>
      <c r="B54" s="118"/>
      <c r="C54" s="118"/>
      <c r="D54" s="118"/>
      <c r="E54" s="118"/>
      <c r="F54" s="118"/>
      <c r="G54" s="118"/>
      <c r="H54" s="100"/>
      <c r="I54" s="100"/>
      <c r="J54" s="118"/>
      <c r="K54" s="118"/>
      <c r="L54" s="118"/>
      <c r="M54" s="118"/>
      <c r="N54" s="164"/>
      <c r="O54" s="161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</row>
    <row r="55">
      <c r="A55" s="118"/>
      <c r="B55" s="118"/>
      <c r="C55" s="118"/>
      <c r="D55" s="118"/>
      <c r="E55" s="118"/>
      <c r="F55" s="118"/>
      <c r="G55" s="118"/>
      <c r="H55" s="100"/>
      <c r="I55" s="100"/>
      <c r="J55" s="118"/>
      <c r="K55" s="118"/>
      <c r="L55" s="118"/>
      <c r="M55" s="118"/>
      <c r="N55" s="164"/>
      <c r="O55" s="161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</row>
    <row r="56">
      <c r="A56" s="118"/>
      <c r="B56" s="118"/>
      <c r="C56" s="118"/>
      <c r="D56" s="118"/>
      <c r="E56" s="118"/>
      <c r="F56" s="118"/>
      <c r="G56" s="118"/>
      <c r="H56" s="100"/>
      <c r="I56" s="100"/>
      <c r="J56" s="118"/>
      <c r="K56" s="118"/>
      <c r="L56" s="118"/>
      <c r="M56" s="118"/>
      <c r="N56" s="164"/>
      <c r="O56" s="161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</row>
    <row r="57">
      <c r="A57" s="118"/>
      <c r="B57" s="118"/>
      <c r="C57" s="118"/>
      <c r="D57" s="118"/>
      <c r="E57" s="118"/>
      <c r="F57" s="118"/>
      <c r="G57" s="118"/>
      <c r="H57" s="100"/>
      <c r="I57" s="100"/>
      <c r="J57" s="118"/>
      <c r="K57" s="118"/>
      <c r="L57" s="118"/>
      <c r="M57" s="118"/>
      <c r="N57" s="164"/>
      <c r="O57" s="161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</row>
    <row r="58">
      <c r="A58" s="118"/>
      <c r="B58" s="118"/>
      <c r="C58" s="118"/>
      <c r="D58" s="118"/>
      <c r="E58" s="118"/>
      <c r="F58" s="118"/>
      <c r="G58" s="118"/>
      <c r="H58" s="100"/>
      <c r="I58" s="100"/>
      <c r="J58" s="118"/>
      <c r="K58" s="118"/>
      <c r="L58" s="118"/>
      <c r="M58" s="118"/>
      <c r="N58" s="164"/>
      <c r="O58" s="161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</row>
    <row r="59">
      <c r="A59" s="118"/>
      <c r="B59" s="118"/>
      <c r="C59" s="118"/>
      <c r="D59" s="118"/>
      <c r="E59" s="118"/>
      <c r="F59" s="118"/>
      <c r="G59" s="118"/>
      <c r="H59" s="100"/>
      <c r="I59" s="100"/>
      <c r="J59" s="118"/>
      <c r="K59" s="118"/>
      <c r="L59" s="118"/>
      <c r="M59" s="118"/>
      <c r="N59" s="164"/>
      <c r="O59" s="161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</row>
    <row r="60">
      <c r="A60" s="118"/>
      <c r="B60" s="118"/>
      <c r="C60" s="118"/>
      <c r="D60" s="118"/>
      <c r="E60" s="118"/>
      <c r="F60" s="118"/>
      <c r="G60" s="118"/>
      <c r="H60" s="100"/>
      <c r="I60" s="100"/>
      <c r="J60" s="118"/>
      <c r="K60" s="118"/>
      <c r="L60" s="118"/>
      <c r="M60" s="118"/>
      <c r="N60" s="164"/>
      <c r="O60" s="161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</row>
    <row r="61">
      <c r="A61" s="118"/>
      <c r="B61" s="118"/>
      <c r="C61" s="118"/>
      <c r="D61" s="118"/>
      <c r="E61" s="118"/>
      <c r="F61" s="118"/>
      <c r="G61" s="118"/>
      <c r="H61" s="100"/>
      <c r="I61" s="100"/>
      <c r="J61" s="118"/>
      <c r="K61" s="118"/>
      <c r="L61" s="118"/>
      <c r="M61" s="118"/>
      <c r="N61" s="164"/>
      <c r="O61" s="161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</row>
    <row r="62">
      <c r="A62" s="118"/>
      <c r="B62" s="118"/>
      <c r="C62" s="118"/>
      <c r="D62" s="118"/>
      <c r="E62" s="118"/>
      <c r="F62" s="118"/>
      <c r="G62" s="118"/>
      <c r="H62" s="100"/>
      <c r="I62" s="100"/>
      <c r="J62" s="118"/>
      <c r="K62" s="118"/>
      <c r="L62" s="118"/>
      <c r="M62" s="118"/>
      <c r="N62" s="164"/>
      <c r="O62" s="161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</row>
    <row r="63">
      <c r="A63" s="118"/>
      <c r="B63" s="118"/>
      <c r="C63" s="118"/>
      <c r="D63" s="118"/>
      <c r="E63" s="118"/>
      <c r="F63" s="118"/>
      <c r="G63" s="118"/>
      <c r="H63" s="100"/>
      <c r="I63" s="100"/>
      <c r="J63" s="118"/>
      <c r="K63" s="118"/>
      <c r="L63" s="118"/>
      <c r="M63" s="118"/>
      <c r="N63" s="164"/>
      <c r="O63" s="161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</row>
    <row r="64">
      <c r="A64" s="118"/>
      <c r="B64" s="118"/>
      <c r="C64" s="118"/>
      <c r="D64" s="118"/>
      <c r="E64" s="118"/>
      <c r="F64" s="118"/>
      <c r="G64" s="118"/>
      <c r="H64" s="100"/>
      <c r="I64" s="100"/>
      <c r="J64" s="118"/>
      <c r="K64" s="118"/>
      <c r="L64" s="118"/>
      <c r="M64" s="118"/>
      <c r="N64" s="164"/>
      <c r="O64" s="161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</row>
    <row r="65">
      <c r="A65" s="118"/>
      <c r="B65" s="118"/>
      <c r="C65" s="118"/>
      <c r="D65" s="118"/>
      <c r="E65" s="118"/>
      <c r="F65" s="118"/>
      <c r="G65" s="118"/>
      <c r="H65" s="100"/>
      <c r="I65" s="100"/>
      <c r="J65" s="118"/>
      <c r="K65" s="118"/>
      <c r="L65" s="118"/>
      <c r="M65" s="118"/>
      <c r="N65" s="164"/>
      <c r="O65" s="161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</row>
    <row r="66">
      <c r="A66" s="118"/>
      <c r="B66" s="118"/>
      <c r="C66" s="118"/>
      <c r="D66" s="118"/>
      <c r="E66" s="118"/>
      <c r="F66" s="118"/>
      <c r="G66" s="118"/>
      <c r="H66" s="100"/>
      <c r="I66" s="100"/>
      <c r="J66" s="118"/>
      <c r="K66" s="118"/>
      <c r="L66" s="118"/>
      <c r="M66" s="118"/>
      <c r="N66" s="164"/>
      <c r="O66" s="161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</row>
    <row r="67">
      <c r="A67" s="118"/>
      <c r="B67" s="118"/>
      <c r="C67" s="118"/>
      <c r="D67" s="118"/>
      <c r="E67" s="118"/>
      <c r="F67" s="118"/>
      <c r="G67" s="118"/>
      <c r="H67" s="100"/>
      <c r="I67" s="100"/>
      <c r="J67" s="118"/>
      <c r="K67" s="118"/>
      <c r="L67" s="118"/>
      <c r="M67" s="118"/>
      <c r="N67" s="164"/>
      <c r="O67" s="161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</row>
    <row r="68">
      <c r="A68" s="118"/>
      <c r="B68" s="118"/>
      <c r="C68" s="118"/>
      <c r="D68" s="118"/>
      <c r="E68" s="118"/>
      <c r="F68" s="118"/>
      <c r="G68" s="118"/>
      <c r="H68" s="100"/>
      <c r="I68" s="100"/>
      <c r="J68" s="118"/>
      <c r="K68" s="118"/>
      <c r="L68" s="118"/>
      <c r="M68" s="118"/>
      <c r="N68" s="164"/>
      <c r="O68" s="161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</row>
    <row r="69">
      <c r="A69" s="118"/>
      <c r="B69" s="118"/>
      <c r="C69" s="118"/>
      <c r="D69" s="118"/>
      <c r="E69" s="118"/>
      <c r="F69" s="118"/>
      <c r="G69" s="118"/>
      <c r="H69" s="100"/>
      <c r="I69" s="100"/>
      <c r="J69" s="118"/>
      <c r="K69" s="118"/>
      <c r="L69" s="118"/>
      <c r="M69" s="118"/>
      <c r="N69" s="164"/>
      <c r="O69" s="161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</row>
    <row r="70">
      <c r="A70" s="118"/>
      <c r="B70" s="118"/>
      <c r="C70" s="118"/>
      <c r="D70" s="118"/>
      <c r="E70" s="118"/>
      <c r="F70" s="118"/>
      <c r="G70" s="118"/>
      <c r="H70" s="100"/>
      <c r="I70" s="100"/>
      <c r="J70" s="118"/>
      <c r="K70" s="118"/>
      <c r="L70" s="118"/>
      <c r="M70" s="118"/>
      <c r="N70" s="164"/>
      <c r="O70" s="161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</row>
    <row r="71">
      <c r="A71" s="118"/>
      <c r="B71" s="118"/>
      <c r="C71" s="118"/>
      <c r="D71" s="118"/>
      <c r="E71" s="118"/>
      <c r="F71" s="118"/>
      <c r="G71" s="118"/>
      <c r="H71" s="100"/>
      <c r="I71" s="100"/>
      <c r="J71" s="118"/>
      <c r="K71" s="118"/>
      <c r="L71" s="118"/>
      <c r="M71" s="118"/>
      <c r="N71" s="164"/>
      <c r="O71" s="161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</row>
    <row r="72">
      <c r="A72" s="118"/>
      <c r="B72" s="118"/>
      <c r="C72" s="118"/>
      <c r="D72" s="118"/>
      <c r="E72" s="118"/>
      <c r="F72" s="118"/>
      <c r="G72" s="118"/>
      <c r="H72" s="100"/>
      <c r="I72" s="100"/>
      <c r="J72" s="118"/>
      <c r="K72" s="118"/>
      <c r="L72" s="118"/>
      <c r="M72" s="118"/>
      <c r="N72" s="164"/>
      <c r="O72" s="161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</row>
    <row r="73">
      <c r="A73" s="118"/>
      <c r="B73" s="118"/>
      <c r="C73" s="118"/>
      <c r="D73" s="118"/>
      <c r="E73" s="118"/>
      <c r="F73" s="118"/>
      <c r="G73" s="118"/>
      <c r="H73" s="100"/>
      <c r="I73" s="100"/>
      <c r="J73" s="118"/>
      <c r="K73" s="118"/>
      <c r="L73" s="118"/>
      <c r="M73" s="118"/>
      <c r="N73" s="164"/>
      <c r="O73" s="161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</row>
    <row r="74">
      <c r="A74" s="118"/>
      <c r="B74" s="118"/>
      <c r="C74" s="118"/>
      <c r="D74" s="118"/>
      <c r="E74" s="118"/>
      <c r="F74" s="118"/>
      <c r="G74" s="118"/>
      <c r="H74" s="100"/>
      <c r="I74" s="100"/>
      <c r="J74" s="118"/>
      <c r="K74" s="118"/>
      <c r="L74" s="118"/>
      <c r="M74" s="118"/>
      <c r="N74" s="164"/>
      <c r="O74" s="161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</row>
    <row r="75">
      <c r="A75" s="118"/>
      <c r="B75" s="118"/>
      <c r="C75" s="118"/>
      <c r="D75" s="118"/>
      <c r="E75" s="118"/>
      <c r="F75" s="118"/>
      <c r="G75" s="118"/>
      <c r="H75" s="100"/>
      <c r="I75" s="100"/>
      <c r="J75" s="118"/>
      <c r="K75" s="118"/>
      <c r="L75" s="118"/>
      <c r="M75" s="118"/>
      <c r="N75" s="164"/>
      <c r="O75" s="161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</row>
    <row r="76">
      <c r="A76" s="118"/>
      <c r="B76" s="118"/>
      <c r="C76" s="118"/>
      <c r="D76" s="118"/>
      <c r="E76" s="118"/>
      <c r="F76" s="118"/>
      <c r="G76" s="118"/>
      <c r="H76" s="100"/>
      <c r="I76" s="100"/>
      <c r="J76" s="118"/>
      <c r="K76" s="118"/>
      <c r="L76" s="118"/>
      <c r="M76" s="118"/>
      <c r="N76" s="164"/>
      <c r="O76" s="161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</row>
    <row r="77">
      <c r="A77" s="118"/>
      <c r="B77" s="118"/>
      <c r="C77" s="118"/>
      <c r="D77" s="118"/>
      <c r="E77" s="118"/>
      <c r="F77" s="118"/>
      <c r="G77" s="118"/>
      <c r="H77" s="100"/>
      <c r="I77" s="100"/>
      <c r="J77" s="118"/>
      <c r="K77" s="118"/>
      <c r="L77" s="118"/>
      <c r="M77" s="118"/>
      <c r="N77" s="164"/>
      <c r="O77" s="161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</row>
    <row r="78">
      <c r="A78" s="118"/>
      <c r="B78" s="118"/>
      <c r="C78" s="118"/>
      <c r="D78" s="118"/>
      <c r="E78" s="118"/>
      <c r="F78" s="118"/>
      <c r="G78" s="118"/>
      <c r="H78" s="100"/>
      <c r="I78" s="100"/>
      <c r="J78" s="118"/>
      <c r="K78" s="118"/>
      <c r="L78" s="118"/>
      <c r="M78" s="118"/>
      <c r="N78" s="164"/>
      <c r="O78" s="161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</row>
    <row r="79">
      <c r="A79" s="118"/>
      <c r="B79" s="118"/>
      <c r="C79" s="118"/>
      <c r="D79" s="118"/>
      <c r="E79" s="118"/>
      <c r="F79" s="118"/>
      <c r="G79" s="118"/>
      <c r="H79" s="100"/>
      <c r="I79" s="100"/>
      <c r="J79" s="118"/>
      <c r="K79" s="118"/>
      <c r="L79" s="118"/>
      <c r="M79" s="118"/>
      <c r="N79" s="164"/>
      <c r="O79" s="161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</row>
    <row r="80">
      <c r="A80" s="118"/>
      <c r="B80" s="118"/>
      <c r="C80" s="118"/>
      <c r="D80" s="118"/>
      <c r="E80" s="118"/>
      <c r="F80" s="118"/>
      <c r="G80" s="118"/>
      <c r="H80" s="100"/>
      <c r="I80" s="100"/>
      <c r="J80" s="118"/>
      <c r="K80" s="118"/>
      <c r="L80" s="118"/>
      <c r="M80" s="118"/>
      <c r="N80" s="164"/>
      <c r="O80" s="161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</row>
    <row r="81">
      <c r="A81" s="118"/>
      <c r="B81" s="118"/>
      <c r="C81" s="118"/>
      <c r="D81" s="118"/>
      <c r="E81" s="118"/>
      <c r="F81" s="118"/>
      <c r="G81" s="118"/>
      <c r="H81" s="100"/>
      <c r="I81" s="100"/>
      <c r="J81" s="118"/>
      <c r="K81" s="118"/>
      <c r="L81" s="118"/>
      <c r="M81" s="118"/>
      <c r="N81" s="164"/>
      <c r="O81" s="161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</row>
    <row r="82">
      <c r="A82" s="118"/>
      <c r="B82" s="118"/>
      <c r="C82" s="118"/>
      <c r="D82" s="118"/>
      <c r="E82" s="118"/>
      <c r="F82" s="118"/>
      <c r="G82" s="118"/>
      <c r="H82" s="100"/>
      <c r="I82" s="100"/>
      <c r="J82" s="118"/>
      <c r="K82" s="118"/>
      <c r="L82" s="118"/>
      <c r="M82" s="118"/>
      <c r="N82" s="164"/>
      <c r="O82" s="161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</row>
    <row r="83">
      <c r="A83" s="118"/>
      <c r="B83" s="118"/>
      <c r="C83" s="118"/>
      <c r="D83" s="118"/>
      <c r="E83" s="118"/>
      <c r="F83" s="118"/>
      <c r="G83" s="118"/>
      <c r="H83" s="100"/>
      <c r="I83" s="100"/>
      <c r="J83" s="118"/>
      <c r="K83" s="118"/>
      <c r="L83" s="118"/>
      <c r="M83" s="118"/>
      <c r="N83" s="164"/>
      <c r="O83" s="161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</row>
    <row r="84">
      <c r="A84" s="118"/>
      <c r="B84" s="118"/>
      <c r="C84" s="118"/>
      <c r="D84" s="118"/>
      <c r="E84" s="118"/>
      <c r="F84" s="118"/>
      <c r="G84" s="118"/>
      <c r="H84" s="100"/>
      <c r="I84" s="100"/>
      <c r="J84" s="118"/>
      <c r="K84" s="118"/>
      <c r="L84" s="118"/>
      <c r="M84" s="118"/>
      <c r="N84" s="164"/>
      <c r="O84" s="161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</row>
    <row r="85">
      <c r="A85" s="118"/>
      <c r="B85" s="118"/>
      <c r="C85" s="118"/>
      <c r="D85" s="118"/>
      <c r="E85" s="118"/>
      <c r="F85" s="118"/>
      <c r="G85" s="118"/>
      <c r="H85" s="100"/>
      <c r="I85" s="100"/>
      <c r="J85" s="118"/>
      <c r="K85" s="118"/>
      <c r="L85" s="118"/>
      <c r="M85" s="118"/>
      <c r="N85" s="164"/>
      <c r="O85" s="161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</row>
    <row r="86">
      <c r="A86" s="118"/>
      <c r="B86" s="118"/>
      <c r="C86" s="118"/>
      <c r="D86" s="118"/>
      <c r="E86" s="118"/>
      <c r="F86" s="118"/>
      <c r="G86" s="118"/>
      <c r="H86" s="100"/>
      <c r="I86" s="100"/>
      <c r="J86" s="118"/>
      <c r="K86" s="118"/>
      <c r="L86" s="118"/>
      <c r="M86" s="118"/>
      <c r="N86" s="164"/>
      <c r="O86" s="161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</row>
    <row r="87">
      <c r="A87" s="118"/>
      <c r="B87" s="118"/>
      <c r="C87" s="118"/>
      <c r="D87" s="118"/>
      <c r="E87" s="118"/>
      <c r="F87" s="118"/>
      <c r="G87" s="118"/>
      <c r="H87" s="100"/>
      <c r="I87" s="100"/>
      <c r="J87" s="118"/>
      <c r="K87" s="118"/>
      <c r="L87" s="118"/>
      <c r="M87" s="118"/>
      <c r="N87" s="164"/>
      <c r="O87" s="161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</row>
    <row r="88">
      <c r="A88" s="118"/>
      <c r="B88" s="118"/>
      <c r="C88" s="118"/>
      <c r="D88" s="118"/>
      <c r="E88" s="118"/>
      <c r="F88" s="118"/>
      <c r="G88" s="118"/>
      <c r="H88" s="100"/>
      <c r="I88" s="100"/>
      <c r="J88" s="118"/>
      <c r="K88" s="118"/>
      <c r="L88" s="118"/>
      <c r="M88" s="118"/>
      <c r="N88" s="164"/>
      <c r="O88" s="161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</row>
    <row r="89">
      <c r="A89" s="118"/>
      <c r="B89" s="118"/>
      <c r="C89" s="118"/>
      <c r="D89" s="118"/>
      <c r="E89" s="118"/>
      <c r="F89" s="118"/>
      <c r="G89" s="118"/>
      <c r="H89" s="100"/>
      <c r="I89" s="100"/>
      <c r="J89" s="118"/>
      <c r="K89" s="118"/>
      <c r="L89" s="118"/>
      <c r="M89" s="118"/>
      <c r="N89" s="164"/>
      <c r="O89" s="161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</row>
    <row r="90">
      <c r="A90" s="118"/>
      <c r="B90" s="118"/>
      <c r="C90" s="118"/>
      <c r="D90" s="118"/>
      <c r="E90" s="118"/>
      <c r="F90" s="118"/>
      <c r="G90" s="118"/>
      <c r="H90" s="100"/>
      <c r="I90" s="100"/>
      <c r="J90" s="118"/>
      <c r="K90" s="118"/>
      <c r="L90" s="118"/>
      <c r="M90" s="118"/>
      <c r="N90" s="164"/>
      <c r="O90" s="161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</row>
    <row r="91">
      <c r="A91" s="118"/>
      <c r="B91" s="118"/>
      <c r="C91" s="118"/>
      <c r="D91" s="118"/>
      <c r="E91" s="118"/>
      <c r="F91" s="118"/>
      <c r="G91" s="118"/>
      <c r="H91" s="100"/>
      <c r="I91" s="100"/>
      <c r="J91" s="118"/>
      <c r="K91" s="118"/>
      <c r="L91" s="118"/>
      <c r="M91" s="118"/>
      <c r="N91" s="164"/>
      <c r="O91" s="161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</row>
    <row r="92">
      <c r="A92" s="118"/>
      <c r="B92" s="118"/>
      <c r="C92" s="118"/>
      <c r="D92" s="118"/>
      <c r="E92" s="118"/>
      <c r="F92" s="118"/>
      <c r="G92" s="118"/>
      <c r="H92" s="100"/>
      <c r="I92" s="100"/>
      <c r="J92" s="118"/>
      <c r="K92" s="118"/>
      <c r="L92" s="118"/>
      <c r="M92" s="118"/>
      <c r="N92" s="164"/>
      <c r="O92" s="161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</row>
    <row r="93">
      <c r="A93" s="118"/>
      <c r="B93" s="118"/>
      <c r="C93" s="118"/>
      <c r="D93" s="118"/>
      <c r="E93" s="118"/>
      <c r="F93" s="118"/>
      <c r="G93" s="118"/>
      <c r="H93" s="100"/>
      <c r="I93" s="100"/>
      <c r="J93" s="118"/>
      <c r="K93" s="118"/>
      <c r="L93" s="118"/>
      <c r="M93" s="118"/>
      <c r="N93" s="164"/>
      <c r="O93" s="161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</row>
    <row r="94">
      <c r="A94" s="118"/>
      <c r="B94" s="118"/>
      <c r="C94" s="118"/>
      <c r="D94" s="118"/>
      <c r="E94" s="118"/>
      <c r="F94" s="118"/>
      <c r="G94" s="118"/>
      <c r="H94" s="100"/>
      <c r="I94" s="100"/>
      <c r="J94" s="118"/>
      <c r="K94" s="118"/>
      <c r="L94" s="118"/>
      <c r="M94" s="118"/>
      <c r="N94" s="164"/>
      <c r="O94" s="161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</row>
    <row r="95">
      <c r="A95" s="118"/>
      <c r="B95" s="118"/>
      <c r="C95" s="118"/>
      <c r="D95" s="118"/>
      <c r="E95" s="118"/>
      <c r="F95" s="118"/>
      <c r="G95" s="118"/>
      <c r="H95" s="100"/>
      <c r="I95" s="100"/>
      <c r="J95" s="118"/>
      <c r="K95" s="118"/>
      <c r="L95" s="118"/>
      <c r="M95" s="118"/>
      <c r="N95" s="164"/>
      <c r="O95" s="161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</row>
    <row r="96">
      <c r="A96" s="118"/>
      <c r="B96" s="118"/>
      <c r="C96" s="118"/>
      <c r="D96" s="118"/>
      <c r="E96" s="118"/>
      <c r="F96" s="118"/>
      <c r="G96" s="118"/>
      <c r="H96" s="100"/>
      <c r="I96" s="100"/>
      <c r="J96" s="118"/>
      <c r="K96" s="118"/>
      <c r="L96" s="118"/>
      <c r="M96" s="118"/>
      <c r="N96" s="164"/>
      <c r="O96" s="161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</row>
    <row r="97">
      <c r="A97" s="118"/>
      <c r="B97" s="118"/>
      <c r="C97" s="118"/>
      <c r="D97" s="118"/>
      <c r="E97" s="118"/>
      <c r="F97" s="118"/>
      <c r="G97" s="118"/>
      <c r="H97" s="100"/>
      <c r="I97" s="100"/>
      <c r="J97" s="118"/>
      <c r="K97" s="118"/>
      <c r="L97" s="118"/>
      <c r="M97" s="118"/>
      <c r="N97" s="164"/>
      <c r="O97" s="161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</row>
    <row r="98">
      <c r="A98" s="118"/>
      <c r="B98" s="118"/>
      <c r="C98" s="118"/>
      <c r="D98" s="118"/>
      <c r="E98" s="118"/>
      <c r="F98" s="118"/>
      <c r="G98" s="118"/>
      <c r="H98" s="100"/>
      <c r="I98" s="100"/>
      <c r="J98" s="118"/>
      <c r="K98" s="118"/>
      <c r="L98" s="118"/>
      <c r="M98" s="118"/>
      <c r="N98" s="164"/>
      <c r="O98" s="161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</row>
    <row r="99">
      <c r="A99" s="118"/>
      <c r="B99" s="118"/>
      <c r="C99" s="118"/>
      <c r="D99" s="118"/>
      <c r="E99" s="118"/>
      <c r="F99" s="118"/>
      <c r="G99" s="118"/>
      <c r="H99" s="100"/>
      <c r="I99" s="100"/>
      <c r="J99" s="118"/>
      <c r="K99" s="118"/>
      <c r="L99" s="118"/>
      <c r="M99" s="118"/>
      <c r="N99" s="164"/>
      <c r="O99" s="161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</row>
    <row r="100">
      <c r="A100" s="118"/>
      <c r="B100" s="118"/>
      <c r="C100" s="118"/>
      <c r="D100" s="118"/>
      <c r="E100" s="118"/>
      <c r="F100" s="118"/>
      <c r="G100" s="118"/>
      <c r="H100" s="100"/>
      <c r="I100" s="100"/>
      <c r="J100" s="118"/>
      <c r="K100" s="118"/>
      <c r="L100" s="118"/>
      <c r="M100" s="118"/>
      <c r="N100" s="164"/>
      <c r="O100" s="161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</row>
    <row r="101">
      <c r="A101" s="118"/>
      <c r="B101" s="118"/>
      <c r="C101" s="118"/>
      <c r="D101" s="118"/>
      <c r="E101" s="118"/>
      <c r="F101" s="118"/>
      <c r="G101" s="118"/>
      <c r="H101" s="100"/>
      <c r="I101" s="100"/>
      <c r="J101" s="118"/>
      <c r="K101" s="118"/>
      <c r="L101" s="118"/>
      <c r="M101" s="118"/>
      <c r="N101" s="164"/>
      <c r="O101" s="161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</row>
    <row r="102">
      <c r="A102" s="118"/>
      <c r="B102" s="118"/>
      <c r="C102" s="118"/>
      <c r="D102" s="118"/>
      <c r="E102" s="118"/>
      <c r="F102" s="118"/>
      <c r="G102" s="118"/>
      <c r="H102" s="100"/>
      <c r="I102" s="100"/>
      <c r="J102" s="118"/>
      <c r="K102" s="118"/>
      <c r="L102" s="118"/>
      <c r="M102" s="118"/>
      <c r="N102" s="164"/>
      <c r="O102" s="161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</row>
    <row r="103">
      <c r="A103" s="118"/>
      <c r="B103" s="118"/>
      <c r="C103" s="118"/>
      <c r="D103" s="118"/>
      <c r="E103" s="118"/>
      <c r="F103" s="118"/>
      <c r="G103" s="118"/>
      <c r="H103" s="100"/>
      <c r="I103" s="100"/>
      <c r="J103" s="118"/>
      <c r="K103" s="118"/>
      <c r="L103" s="118"/>
      <c r="M103" s="118"/>
      <c r="N103" s="164"/>
      <c r="O103" s="161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</row>
    <row r="104">
      <c r="A104" s="118"/>
      <c r="B104" s="118"/>
      <c r="C104" s="118"/>
      <c r="D104" s="118"/>
      <c r="E104" s="118"/>
      <c r="F104" s="118"/>
      <c r="G104" s="118"/>
      <c r="H104" s="100"/>
      <c r="I104" s="100"/>
      <c r="J104" s="118"/>
      <c r="K104" s="118"/>
      <c r="L104" s="118"/>
      <c r="M104" s="118"/>
      <c r="N104" s="164"/>
      <c r="O104" s="161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</row>
    <row r="105">
      <c r="A105" s="118"/>
      <c r="B105" s="118"/>
      <c r="C105" s="118"/>
      <c r="D105" s="118"/>
      <c r="E105" s="118"/>
      <c r="F105" s="118"/>
      <c r="G105" s="118"/>
      <c r="H105" s="100"/>
      <c r="I105" s="100"/>
      <c r="J105" s="118"/>
      <c r="K105" s="118"/>
      <c r="L105" s="118"/>
      <c r="M105" s="118"/>
      <c r="N105" s="164"/>
      <c r="O105" s="161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</row>
    <row r="106">
      <c r="A106" s="118"/>
      <c r="B106" s="118"/>
      <c r="C106" s="118"/>
      <c r="D106" s="118"/>
      <c r="E106" s="118"/>
      <c r="F106" s="118"/>
      <c r="G106" s="118"/>
      <c r="H106" s="100"/>
      <c r="I106" s="100"/>
      <c r="J106" s="118"/>
      <c r="K106" s="118"/>
      <c r="L106" s="118"/>
      <c r="M106" s="118"/>
      <c r="N106" s="164"/>
      <c r="O106" s="161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</row>
    <row r="107">
      <c r="A107" s="118"/>
      <c r="B107" s="118"/>
      <c r="C107" s="118"/>
      <c r="D107" s="118"/>
      <c r="E107" s="118"/>
      <c r="F107" s="118"/>
      <c r="G107" s="118"/>
      <c r="H107" s="100"/>
      <c r="I107" s="100"/>
      <c r="J107" s="118"/>
      <c r="K107" s="118"/>
      <c r="L107" s="118"/>
      <c r="M107" s="118"/>
      <c r="N107" s="164"/>
      <c r="O107" s="161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</row>
    <row r="108">
      <c r="A108" s="118"/>
      <c r="B108" s="118"/>
      <c r="C108" s="118"/>
      <c r="D108" s="118"/>
      <c r="E108" s="118"/>
      <c r="F108" s="118"/>
      <c r="G108" s="118"/>
      <c r="H108" s="100"/>
      <c r="I108" s="100"/>
      <c r="J108" s="118"/>
      <c r="K108" s="118"/>
      <c r="L108" s="118"/>
      <c r="M108" s="118"/>
      <c r="N108" s="164"/>
      <c r="O108" s="161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</row>
    <row r="109">
      <c r="A109" s="118"/>
      <c r="B109" s="118"/>
      <c r="C109" s="118"/>
      <c r="D109" s="118"/>
      <c r="E109" s="118"/>
      <c r="F109" s="118"/>
      <c r="G109" s="118"/>
      <c r="H109" s="100"/>
      <c r="I109" s="100"/>
      <c r="J109" s="118"/>
      <c r="K109" s="118"/>
      <c r="L109" s="118"/>
      <c r="M109" s="118"/>
      <c r="N109" s="164"/>
      <c r="O109" s="161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</row>
    <row r="110">
      <c r="A110" s="118"/>
      <c r="B110" s="118"/>
      <c r="C110" s="118"/>
      <c r="D110" s="118"/>
      <c r="E110" s="118"/>
      <c r="F110" s="118"/>
      <c r="G110" s="118"/>
      <c r="H110" s="100"/>
      <c r="I110" s="100"/>
      <c r="J110" s="118"/>
      <c r="K110" s="118"/>
      <c r="L110" s="118"/>
      <c r="M110" s="118"/>
      <c r="N110" s="164"/>
      <c r="O110" s="161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</row>
    <row r="111">
      <c r="A111" s="118"/>
      <c r="B111" s="118"/>
      <c r="C111" s="118"/>
      <c r="D111" s="118"/>
      <c r="E111" s="118"/>
      <c r="F111" s="118"/>
      <c r="G111" s="118"/>
      <c r="H111" s="100"/>
      <c r="I111" s="100"/>
      <c r="J111" s="118"/>
      <c r="K111" s="118"/>
      <c r="L111" s="118"/>
      <c r="M111" s="118"/>
      <c r="N111" s="164"/>
      <c r="O111" s="161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</row>
    <row r="112">
      <c r="A112" s="118"/>
      <c r="B112" s="118"/>
      <c r="C112" s="118"/>
      <c r="D112" s="118"/>
      <c r="E112" s="118"/>
      <c r="F112" s="118"/>
      <c r="G112" s="118"/>
      <c r="H112" s="100"/>
      <c r="I112" s="100"/>
      <c r="J112" s="118"/>
      <c r="K112" s="118"/>
      <c r="L112" s="118"/>
      <c r="M112" s="118"/>
      <c r="N112" s="164"/>
      <c r="O112" s="161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</row>
    <row r="113">
      <c r="A113" s="118"/>
      <c r="B113" s="118"/>
      <c r="C113" s="118"/>
      <c r="D113" s="118"/>
      <c r="E113" s="118"/>
      <c r="F113" s="118"/>
      <c r="G113" s="118"/>
      <c r="H113" s="100"/>
      <c r="I113" s="100"/>
      <c r="J113" s="118"/>
      <c r="K113" s="118"/>
      <c r="L113" s="118"/>
      <c r="M113" s="118"/>
      <c r="N113" s="164"/>
      <c r="O113" s="161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</row>
    <row r="114">
      <c r="A114" s="118"/>
      <c r="B114" s="118"/>
      <c r="C114" s="118"/>
      <c r="D114" s="118"/>
      <c r="E114" s="118"/>
      <c r="F114" s="118"/>
      <c r="G114" s="118"/>
      <c r="H114" s="100"/>
      <c r="I114" s="100"/>
      <c r="J114" s="118"/>
      <c r="K114" s="118"/>
      <c r="L114" s="118"/>
      <c r="M114" s="118"/>
      <c r="N114" s="164"/>
      <c r="O114" s="161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</row>
    <row r="115">
      <c r="A115" s="118"/>
      <c r="B115" s="118"/>
      <c r="C115" s="118"/>
      <c r="D115" s="118"/>
      <c r="E115" s="118"/>
      <c r="F115" s="118"/>
      <c r="G115" s="118"/>
      <c r="H115" s="100"/>
      <c r="I115" s="100"/>
      <c r="J115" s="118"/>
      <c r="K115" s="118"/>
      <c r="L115" s="118"/>
      <c r="M115" s="118"/>
      <c r="N115" s="164"/>
      <c r="O115" s="161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</row>
    <row r="116">
      <c r="A116" s="118"/>
      <c r="B116" s="118"/>
      <c r="C116" s="118"/>
      <c r="D116" s="118"/>
      <c r="E116" s="118"/>
      <c r="F116" s="118"/>
      <c r="G116" s="118"/>
      <c r="H116" s="100"/>
      <c r="I116" s="100"/>
      <c r="J116" s="118"/>
      <c r="K116" s="118"/>
      <c r="L116" s="118"/>
      <c r="M116" s="118"/>
      <c r="N116" s="164"/>
      <c r="O116" s="161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</row>
    <row r="117">
      <c r="A117" s="118"/>
      <c r="B117" s="118"/>
      <c r="C117" s="118"/>
      <c r="D117" s="118"/>
      <c r="E117" s="118"/>
      <c r="F117" s="118"/>
      <c r="G117" s="118"/>
      <c r="H117" s="100"/>
      <c r="I117" s="100"/>
      <c r="J117" s="118"/>
      <c r="K117" s="118"/>
      <c r="L117" s="118"/>
      <c r="M117" s="118"/>
      <c r="N117" s="164"/>
      <c r="O117" s="161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</row>
    <row r="118">
      <c r="A118" s="118"/>
      <c r="B118" s="118"/>
      <c r="C118" s="118"/>
      <c r="D118" s="118"/>
      <c r="E118" s="118"/>
      <c r="F118" s="118"/>
      <c r="G118" s="118"/>
      <c r="H118" s="100"/>
      <c r="I118" s="100"/>
      <c r="J118" s="118"/>
      <c r="K118" s="118"/>
      <c r="L118" s="118"/>
      <c r="M118" s="118"/>
      <c r="N118" s="164"/>
      <c r="O118" s="161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</row>
    <row r="119">
      <c r="A119" s="118"/>
      <c r="B119" s="118"/>
      <c r="C119" s="118"/>
      <c r="D119" s="118"/>
      <c r="E119" s="118"/>
      <c r="F119" s="118"/>
      <c r="G119" s="118"/>
      <c r="H119" s="100"/>
      <c r="I119" s="100"/>
      <c r="J119" s="118"/>
      <c r="K119" s="118"/>
      <c r="L119" s="118"/>
      <c r="M119" s="118"/>
      <c r="N119" s="164"/>
      <c r="O119" s="161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</row>
    <row r="120">
      <c r="A120" s="118"/>
      <c r="B120" s="118"/>
      <c r="C120" s="118"/>
      <c r="D120" s="118"/>
      <c r="E120" s="118"/>
      <c r="F120" s="118"/>
      <c r="G120" s="118"/>
      <c r="H120" s="100"/>
      <c r="I120" s="100"/>
      <c r="J120" s="118"/>
      <c r="K120" s="118"/>
      <c r="L120" s="118"/>
      <c r="M120" s="118"/>
      <c r="N120" s="164"/>
      <c r="O120" s="161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</row>
    <row r="121">
      <c r="A121" s="118"/>
      <c r="B121" s="118"/>
      <c r="C121" s="118"/>
      <c r="D121" s="118"/>
      <c r="E121" s="118"/>
      <c r="F121" s="118"/>
      <c r="G121" s="118"/>
      <c r="H121" s="100"/>
      <c r="I121" s="100"/>
      <c r="J121" s="118"/>
      <c r="K121" s="118"/>
      <c r="L121" s="118"/>
      <c r="M121" s="118"/>
      <c r="N121" s="164"/>
      <c r="O121" s="161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</row>
    <row r="122">
      <c r="A122" s="118"/>
      <c r="B122" s="118"/>
      <c r="C122" s="118"/>
      <c r="D122" s="118"/>
      <c r="E122" s="118"/>
      <c r="F122" s="118"/>
      <c r="G122" s="118"/>
      <c r="H122" s="100"/>
      <c r="I122" s="100"/>
      <c r="J122" s="118"/>
      <c r="K122" s="118"/>
      <c r="L122" s="118"/>
      <c r="M122" s="118"/>
      <c r="N122" s="164"/>
      <c r="O122" s="161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</row>
    <row r="123">
      <c r="A123" s="118"/>
      <c r="B123" s="118"/>
      <c r="C123" s="118"/>
      <c r="D123" s="118"/>
      <c r="E123" s="118"/>
      <c r="F123" s="118"/>
      <c r="G123" s="118"/>
      <c r="H123" s="100"/>
      <c r="I123" s="100"/>
      <c r="J123" s="118"/>
      <c r="K123" s="118"/>
      <c r="L123" s="118"/>
      <c r="M123" s="118"/>
      <c r="N123" s="164"/>
      <c r="O123" s="161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</row>
    <row r="124">
      <c r="A124" s="118"/>
      <c r="B124" s="118"/>
      <c r="C124" s="118"/>
      <c r="D124" s="118"/>
      <c r="E124" s="118"/>
      <c r="F124" s="118"/>
      <c r="G124" s="118"/>
      <c r="H124" s="100"/>
      <c r="I124" s="100"/>
      <c r="J124" s="118"/>
      <c r="K124" s="118"/>
      <c r="L124" s="118"/>
      <c r="M124" s="118"/>
      <c r="N124" s="164"/>
      <c r="O124" s="161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</row>
    <row r="125">
      <c r="A125" s="118"/>
      <c r="B125" s="118"/>
      <c r="C125" s="118"/>
      <c r="D125" s="118"/>
      <c r="E125" s="118"/>
      <c r="F125" s="118"/>
      <c r="G125" s="118"/>
      <c r="H125" s="100"/>
      <c r="I125" s="100"/>
      <c r="J125" s="118"/>
      <c r="K125" s="118"/>
      <c r="L125" s="118"/>
      <c r="M125" s="118"/>
      <c r="N125" s="164"/>
      <c r="O125" s="161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</row>
    <row r="126">
      <c r="A126" s="118"/>
      <c r="B126" s="118"/>
      <c r="C126" s="118"/>
      <c r="D126" s="118"/>
      <c r="E126" s="118"/>
      <c r="F126" s="118"/>
      <c r="G126" s="118"/>
      <c r="H126" s="100"/>
      <c r="I126" s="100"/>
      <c r="J126" s="118"/>
      <c r="K126" s="118"/>
      <c r="L126" s="118"/>
      <c r="M126" s="118"/>
      <c r="N126" s="164"/>
      <c r="O126" s="161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</row>
    <row r="127">
      <c r="A127" s="118"/>
      <c r="B127" s="118"/>
      <c r="C127" s="118"/>
      <c r="D127" s="118"/>
      <c r="E127" s="118"/>
      <c r="F127" s="118"/>
      <c r="G127" s="118"/>
      <c r="H127" s="100"/>
      <c r="I127" s="100"/>
      <c r="J127" s="118"/>
      <c r="K127" s="118"/>
      <c r="L127" s="118"/>
      <c r="M127" s="118"/>
      <c r="N127" s="164"/>
      <c r="O127" s="161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</row>
    <row r="128">
      <c r="A128" s="118"/>
      <c r="B128" s="118"/>
      <c r="C128" s="118"/>
      <c r="D128" s="118"/>
      <c r="E128" s="118"/>
      <c r="F128" s="118"/>
      <c r="G128" s="118"/>
      <c r="H128" s="100"/>
      <c r="I128" s="100"/>
      <c r="J128" s="118"/>
      <c r="K128" s="118"/>
      <c r="L128" s="118"/>
      <c r="M128" s="118"/>
      <c r="N128" s="164"/>
      <c r="O128" s="161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</row>
    <row r="129">
      <c r="A129" s="118"/>
      <c r="B129" s="118"/>
      <c r="C129" s="118"/>
      <c r="D129" s="118"/>
      <c r="E129" s="118"/>
      <c r="F129" s="118"/>
      <c r="G129" s="118"/>
      <c r="H129" s="100"/>
      <c r="I129" s="100"/>
      <c r="J129" s="118"/>
      <c r="K129" s="118"/>
      <c r="L129" s="118"/>
      <c r="M129" s="118"/>
      <c r="N129" s="164"/>
      <c r="O129" s="161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</row>
    <row r="130">
      <c r="A130" s="118"/>
      <c r="B130" s="118"/>
      <c r="C130" s="118"/>
      <c r="D130" s="118"/>
      <c r="E130" s="118"/>
      <c r="F130" s="118"/>
      <c r="G130" s="118"/>
      <c r="H130" s="100"/>
      <c r="I130" s="100"/>
      <c r="J130" s="118"/>
      <c r="K130" s="118"/>
      <c r="L130" s="118"/>
      <c r="M130" s="118"/>
      <c r="N130" s="164"/>
      <c r="O130" s="161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</row>
    <row r="131">
      <c r="A131" s="118"/>
      <c r="B131" s="118"/>
      <c r="C131" s="118"/>
      <c r="D131" s="118"/>
      <c r="E131" s="118"/>
      <c r="F131" s="118"/>
      <c r="G131" s="118"/>
      <c r="H131" s="100"/>
      <c r="I131" s="100"/>
      <c r="J131" s="118"/>
      <c r="K131" s="118"/>
      <c r="L131" s="118"/>
      <c r="M131" s="118"/>
      <c r="N131" s="164"/>
      <c r="O131" s="161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</row>
    <row r="132">
      <c r="A132" s="118"/>
      <c r="B132" s="118"/>
      <c r="C132" s="118"/>
      <c r="D132" s="118"/>
      <c r="E132" s="118"/>
      <c r="F132" s="118"/>
      <c r="G132" s="118"/>
      <c r="H132" s="100"/>
      <c r="I132" s="100"/>
      <c r="J132" s="118"/>
      <c r="K132" s="118"/>
      <c r="L132" s="118"/>
      <c r="M132" s="118"/>
      <c r="N132" s="164"/>
      <c r="O132" s="161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</row>
    <row r="133">
      <c r="A133" s="118"/>
      <c r="B133" s="118"/>
      <c r="C133" s="118"/>
      <c r="D133" s="118"/>
      <c r="E133" s="118"/>
      <c r="F133" s="118"/>
      <c r="G133" s="118"/>
      <c r="H133" s="100"/>
      <c r="I133" s="100"/>
      <c r="J133" s="118"/>
      <c r="K133" s="118"/>
      <c r="L133" s="118"/>
      <c r="M133" s="118"/>
      <c r="N133" s="164"/>
      <c r="O133" s="161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</row>
    <row r="134">
      <c r="A134" s="118"/>
      <c r="B134" s="118"/>
      <c r="C134" s="118"/>
      <c r="D134" s="118"/>
      <c r="E134" s="118"/>
      <c r="F134" s="118"/>
      <c r="G134" s="118"/>
      <c r="H134" s="100"/>
      <c r="I134" s="100"/>
      <c r="J134" s="118"/>
      <c r="K134" s="118"/>
      <c r="L134" s="118"/>
      <c r="M134" s="118"/>
      <c r="N134" s="164"/>
      <c r="O134" s="161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</row>
    <row r="135">
      <c r="A135" s="118"/>
      <c r="B135" s="118"/>
      <c r="C135" s="118"/>
      <c r="D135" s="118"/>
      <c r="E135" s="118"/>
      <c r="F135" s="118"/>
      <c r="G135" s="118"/>
      <c r="H135" s="100"/>
      <c r="I135" s="100"/>
      <c r="J135" s="118"/>
      <c r="K135" s="118"/>
      <c r="L135" s="118"/>
      <c r="M135" s="118"/>
      <c r="N135" s="164"/>
      <c r="O135" s="161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</row>
    <row r="136">
      <c r="A136" s="118"/>
      <c r="B136" s="118"/>
      <c r="C136" s="118"/>
      <c r="D136" s="118"/>
      <c r="E136" s="118"/>
      <c r="F136" s="118"/>
      <c r="G136" s="118"/>
      <c r="H136" s="100"/>
      <c r="I136" s="100"/>
      <c r="J136" s="118"/>
      <c r="K136" s="118"/>
      <c r="L136" s="118"/>
      <c r="M136" s="118"/>
      <c r="N136" s="164"/>
      <c r="O136" s="161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</row>
    <row r="137">
      <c r="A137" s="118"/>
      <c r="B137" s="118"/>
      <c r="C137" s="118"/>
      <c r="D137" s="118"/>
      <c r="E137" s="118"/>
      <c r="F137" s="118"/>
      <c r="G137" s="118"/>
      <c r="H137" s="100"/>
      <c r="I137" s="100"/>
      <c r="J137" s="118"/>
      <c r="K137" s="118"/>
      <c r="L137" s="118"/>
      <c r="M137" s="118"/>
      <c r="N137" s="164"/>
      <c r="O137" s="161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</row>
    <row r="138">
      <c r="A138" s="118"/>
      <c r="B138" s="118"/>
      <c r="C138" s="118"/>
      <c r="D138" s="118"/>
      <c r="E138" s="118"/>
      <c r="F138" s="118"/>
      <c r="G138" s="118"/>
      <c r="H138" s="100"/>
      <c r="I138" s="100"/>
      <c r="J138" s="118"/>
      <c r="K138" s="118"/>
      <c r="L138" s="118"/>
      <c r="M138" s="118"/>
      <c r="N138" s="164"/>
      <c r="O138" s="161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</row>
    <row r="139">
      <c r="A139" s="118"/>
      <c r="B139" s="118"/>
      <c r="C139" s="118"/>
      <c r="D139" s="118"/>
      <c r="E139" s="118"/>
      <c r="F139" s="118"/>
      <c r="G139" s="118"/>
      <c r="H139" s="100"/>
      <c r="I139" s="100"/>
      <c r="J139" s="118"/>
      <c r="K139" s="118"/>
      <c r="L139" s="118"/>
      <c r="M139" s="118"/>
      <c r="N139" s="164"/>
      <c r="O139" s="161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</row>
    <row r="140">
      <c r="A140" s="118"/>
      <c r="B140" s="118"/>
      <c r="C140" s="118"/>
      <c r="D140" s="118"/>
      <c r="E140" s="118"/>
      <c r="F140" s="118"/>
      <c r="G140" s="118"/>
      <c r="H140" s="100"/>
      <c r="I140" s="100"/>
      <c r="J140" s="118"/>
      <c r="K140" s="118"/>
      <c r="L140" s="118"/>
      <c r="M140" s="118"/>
      <c r="N140" s="164"/>
      <c r="O140" s="161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</row>
    <row r="141">
      <c r="A141" s="118"/>
      <c r="B141" s="118"/>
      <c r="C141" s="118"/>
      <c r="D141" s="118"/>
      <c r="E141" s="118"/>
      <c r="F141" s="118"/>
      <c r="G141" s="118"/>
      <c r="H141" s="100"/>
      <c r="I141" s="100"/>
      <c r="J141" s="118"/>
      <c r="K141" s="118"/>
      <c r="L141" s="118"/>
      <c r="M141" s="118"/>
      <c r="N141" s="164"/>
      <c r="O141" s="161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</row>
    <row r="142">
      <c r="A142" s="118"/>
      <c r="B142" s="118"/>
      <c r="C142" s="118"/>
      <c r="D142" s="118"/>
      <c r="E142" s="118"/>
      <c r="F142" s="118"/>
      <c r="G142" s="118"/>
      <c r="H142" s="100"/>
      <c r="I142" s="100"/>
      <c r="J142" s="118"/>
      <c r="K142" s="118"/>
      <c r="L142" s="118"/>
      <c r="M142" s="118"/>
      <c r="N142" s="164"/>
      <c r="O142" s="161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</row>
    <row r="143">
      <c r="A143" s="118"/>
      <c r="B143" s="118"/>
      <c r="C143" s="118"/>
      <c r="D143" s="118"/>
      <c r="E143" s="118"/>
      <c r="F143" s="118"/>
      <c r="G143" s="118"/>
      <c r="H143" s="100"/>
      <c r="I143" s="100"/>
      <c r="J143" s="118"/>
      <c r="K143" s="118"/>
      <c r="L143" s="118"/>
      <c r="M143" s="118"/>
      <c r="N143" s="164"/>
      <c r="O143" s="161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</row>
    <row r="144">
      <c r="A144" s="118"/>
      <c r="B144" s="118"/>
      <c r="C144" s="118"/>
      <c r="D144" s="118"/>
      <c r="E144" s="118"/>
      <c r="F144" s="118"/>
      <c r="G144" s="118"/>
      <c r="H144" s="100"/>
      <c r="I144" s="100"/>
      <c r="J144" s="118"/>
      <c r="K144" s="118"/>
      <c r="L144" s="118"/>
      <c r="M144" s="118"/>
      <c r="N144" s="164"/>
      <c r="O144" s="161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</row>
    <row r="145">
      <c r="A145" s="118"/>
      <c r="B145" s="118"/>
      <c r="C145" s="118"/>
      <c r="D145" s="118"/>
      <c r="E145" s="118"/>
      <c r="F145" s="118"/>
      <c r="G145" s="118"/>
      <c r="H145" s="100"/>
      <c r="I145" s="100"/>
      <c r="J145" s="118"/>
      <c r="K145" s="118"/>
      <c r="L145" s="118"/>
      <c r="M145" s="118"/>
      <c r="N145" s="164"/>
      <c r="O145" s="161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</row>
    <row r="146">
      <c r="A146" s="118"/>
      <c r="B146" s="118"/>
      <c r="C146" s="118"/>
      <c r="D146" s="118"/>
      <c r="E146" s="118"/>
      <c r="F146" s="118"/>
      <c r="G146" s="118"/>
      <c r="H146" s="100"/>
      <c r="I146" s="100"/>
      <c r="J146" s="118"/>
      <c r="K146" s="118"/>
      <c r="L146" s="118"/>
      <c r="M146" s="118"/>
      <c r="N146" s="164"/>
      <c r="O146" s="161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</row>
    <row r="147">
      <c r="A147" s="118"/>
      <c r="B147" s="118"/>
      <c r="C147" s="118"/>
      <c r="D147" s="118"/>
      <c r="E147" s="118"/>
      <c r="F147" s="118"/>
      <c r="G147" s="118"/>
      <c r="H147" s="100"/>
      <c r="I147" s="100"/>
      <c r="J147" s="118"/>
      <c r="K147" s="118"/>
      <c r="L147" s="118"/>
      <c r="M147" s="118"/>
      <c r="N147" s="164"/>
      <c r="O147" s="161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</row>
    <row r="148">
      <c r="A148" s="118"/>
      <c r="B148" s="118"/>
      <c r="C148" s="118"/>
      <c r="D148" s="118"/>
      <c r="E148" s="118"/>
      <c r="F148" s="118"/>
      <c r="G148" s="118"/>
      <c r="H148" s="100"/>
      <c r="I148" s="100"/>
      <c r="J148" s="118"/>
      <c r="K148" s="118"/>
      <c r="L148" s="118"/>
      <c r="M148" s="118"/>
      <c r="N148" s="164"/>
      <c r="O148" s="161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</row>
    <row r="149">
      <c r="A149" s="118"/>
      <c r="B149" s="118"/>
      <c r="C149" s="118"/>
      <c r="D149" s="118"/>
      <c r="E149" s="118"/>
      <c r="F149" s="118"/>
      <c r="G149" s="118"/>
      <c r="H149" s="100"/>
      <c r="I149" s="100"/>
      <c r="J149" s="118"/>
      <c r="K149" s="118"/>
      <c r="L149" s="118"/>
      <c r="M149" s="118"/>
      <c r="N149" s="164"/>
      <c r="O149" s="161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</row>
    <row r="150">
      <c r="A150" s="118"/>
      <c r="B150" s="118"/>
      <c r="C150" s="118"/>
      <c r="D150" s="118"/>
      <c r="E150" s="118"/>
      <c r="F150" s="118"/>
      <c r="G150" s="118"/>
      <c r="H150" s="100"/>
      <c r="I150" s="100"/>
      <c r="J150" s="118"/>
      <c r="K150" s="118"/>
      <c r="L150" s="118"/>
      <c r="M150" s="118"/>
      <c r="N150" s="164"/>
      <c r="O150" s="161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</row>
    <row r="151">
      <c r="A151" s="118"/>
      <c r="B151" s="118"/>
      <c r="C151" s="118"/>
      <c r="D151" s="118"/>
      <c r="E151" s="118"/>
      <c r="F151" s="118"/>
      <c r="G151" s="118"/>
      <c r="H151" s="100"/>
      <c r="I151" s="100"/>
      <c r="J151" s="118"/>
      <c r="K151" s="118"/>
      <c r="L151" s="118"/>
      <c r="M151" s="118"/>
      <c r="N151" s="164"/>
      <c r="O151" s="161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</row>
    <row r="152">
      <c r="A152" s="118"/>
      <c r="B152" s="118"/>
      <c r="C152" s="118"/>
      <c r="D152" s="118"/>
      <c r="E152" s="118"/>
      <c r="F152" s="118"/>
      <c r="G152" s="118"/>
      <c r="H152" s="100"/>
      <c r="I152" s="100"/>
      <c r="J152" s="118"/>
      <c r="K152" s="118"/>
      <c r="L152" s="118"/>
      <c r="M152" s="118"/>
      <c r="N152" s="164"/>
      <c r="O152" s="161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</row>
    <row r="153">
      <c r="A153" s="118"/>
      <c r="B153" s="118"/>
      <c r="C153" s="118"/>
      <c r="D153" s="118"/>
      <c r="E153" s="118"/>
      <c r="F153" s="118"/>
      <c r="G153" s="118"/>
      <c r="H153" s="100"/>
      <c r="I153" s="100"/>
      <c r="J153" s="118"/>
      <c r="K153" s="118"/>
      <c r="L153" s="118"/>
      <c r="M153" s="118"/>
      <c r="N153" s="164"/>
      <c r="O153" s="161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</row>
    <row r="154">
      <c r="A154" s="118"/>
      <c r="B154" s="118"/>
      <c r="C154" s="118"/>
      <c r="D154" s="118"/>
      <c r="E154" s="118"/>
      <c r="F154" s="118"/>
      <c r="G154" s="118"/>
      <c r="H154" s="100"/>
      <c r="I154" s="100"/>
      <c r="J154" s="118"/>
      <c r="K154" s="118"/>
      <c r="L154" s="118"/>
      <c r="M154" s="118"/>
      <c r="N154" s="164"/>
      <c r="O154" s="161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</row>
    <row r="155">
      <c r="A155" s="118"/>
      <c r="B155" s="118"/>
      <c r="C155" s="118"/>
      <c r="D155" s="118"/>
      <c r="E155" s="118"/>
      <c r="F155" s="118"/>
      <c r="G155" s="118"/>
      <c r="H155" s="100"/>
      <c r="I155" s="100"/>
      <c r="J155" s="118"/>
      <c r="K155" s="118"/>
      <c r="L155" s="118"/>
      <c r="M155" s="118"/>
      <c r="N155" s="164"/>
      <c r="O155" s="161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</row>
    <row r="156">
      <c r="A156" s="118"/>
      <c r="B156" s="118"/>
      <c r="C156" s="118"/>
      <c r="D156" s="118"/>
      <c r="E156" s="118"/>
      <c r="F156" s="118"/>
      <c r="G156" s="118"/>
      <c r="H156" s="100"/>
      <c r="I156" s="100"/>
      <c r="J156" s="118"/>
      <c r="K156" s="118"/>
      <c r="L156" s="118"/>
      <c r="M156" s="118"/>
      <c r="N156" s="164"/>
      <c r="O156" s="161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</row>
    <row r="157">
      <c r="A157" s="118"/>
      <c r="B157" s="118"/>
      <c r="C157" s="118"/>
      <c r="D157" s="118"/>
      <c r="E157" s="118"/>
      <c r="F157" s="118"/>
      <c r="G157" s="118"/>
      <c r="H157" s="100"/>
      <c r="I157" s="100"/>
      <c r="J157" s="118"/>
      <c r="K157" s="118"/>
      <c r="L157" s="118"/>
      <c r="M157" s="118"/>
      <c r="N157" s="164"/>
      <c r="O157" s="161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</row>
    <row r="158">
      <c r="A158" s="118"/>
      <c r="B158" s="118"/>
      <c r="C158" s="118"/>
      <c r="D158" s="118"/>
      <c r="E158" s="118"/>
      <c r="F158" s="118"/>
      <c r="G158" s="118"/>
      <c r="H158" s="100"/>
      <c r="I158" s="100"/>
      <c r="J158" s="118"/>
      <c r="K158" s="118"/>
      <c r="L158" s="118"/>
      <c r="M158" s="118"/>
      <c r="N158" s="164"/>
      <c r="O158" s="161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</row>
    <row r="159">
      <c r="A159" s="118"/>
      <c r="B159" s="118"/>
      <c r="C159" s="118"/>
      <c r="D159" s="118"/>
      <c r="E159" s="118"/>
      <c r="F159" s="118"/>
      <c r="G159" s="118"/>
      <c r="H159" s="100"/>
      <c r="I159" s="100"/>
      <c r="J159" s="118"/>
      <c r="K159" s="118"/>
      <c r="L159" s="118"/>
      <c r="M159" s="118"/>
      <c r="N159" s="164"/>
      <c r="O159" s="161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</row>
    <row r="160">
      <c r="A160" s="118"/>
      <c r="B160" s="118"/>
      <c r="C160" s="118"/>
      <c r="D160" s="118"/>
      <c r="E160" s="118"/>
      <c r="F160" s="118"/>
      <c r="G160" s="118"/>
      <c r="H160" s="100"/>
      <c r="I160" s="100"/>
      <c r="J160" s="118"/>
      <c r="K160" s="118"/>
      <c r="L160" s="118"/>
      <c r="M160" s="118"/>
      <c r="N160" s="164"/>
      <c r="O160" s="161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</row>
    <row r="161">
      <c r="A161" s="118"/>
      <c r="B161" s="118"/>
      <c r="C161" s="118"/>
      <c r="D161" s="118"/>
      <c r="E161" s="118"/>
      <c r="F161" s="118"/>
      <c r="G161" s="118"/>
      <c r="H161" s="100"/>
      <c r="I161" s="100"/>
      <c r="J161" s="118"/>
      <c r="K161" s="118"/>
      <c r="L161" s="118"/>
      <c r="M161" s="118"/>
      <c r="N161" s="164"/>
      <c r="O161" s="161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</row>
    <row r="162">
      <c r="A162" s="118"/>
      <c r="B162" s="118"/>
      <c r="C162" s="118"/>
      <c r="D162" s="118"/>
      <c r="E162" s="118"/>
      <c r="F162" s="118"/>
      <c r="G162" s="118"/>
      <c r="H162" s="100"/>
      <c r="I162" s="100"/>
      <c r="J162" s="118"/>
      <c r="K162" s="118"/>
      <c r="L162" s="118"/>
      <c r="M162" s="118"/>
      <c r="N162" s="164"/>
      <c r="O162" s="161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</row>
    <row r="163">
      <c r="A163" s="118"/>
      <c r="B163" s="118"/>
      <c r="C163" s="118"/>
      <c r="D163" s="118"/>
      <c r="E163" s="118"/>
      <c r="F163" s="118"/>
      <c r="G163" s="118"/>
      <c r="H163" s="100"/>
      <c r="I163" s="100"/>
      <c r="J163" s="118"/>
      <c r="K163" s="118"/>
      <c r="L163" s="118"/>
      <c r="M163" s="118"/>
      <c r="N163" s="164"/>
      <c r="O163" s="161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</row>
    <row r="164">
      <c r="A164" s="118"/>
      <c r="B164" s="118"/>
      <c r="C164" s="118"/>
      <c r="D164" s="118"/>
      <c r="E164" s="118"/>
      <c r="F164" s="118"/>
      <c r="G164" s="118"/>
      <c r="H164" s="100"/>
      <c r="I164" s="100"/>
      <c r="J164" s="118"/>
      <c r="K164" s="118"/>
      <c r="L164" s="118"/>
      <c r="M164" s="118"/>
      <c r="N164" s="164"/>
      <c r="O164" s="161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</row>
    <row r="165">
      <c r="A165" s="118"/>
      <c r="B165" s="118"/>
      <c r="C165" s="118"/>
      <c r="D165" s="118"/>
      <c r="E165" s="118"/>
      <c r="F165" s="118"/>
      <c r="G165" s="118"/>
      <c r="H165" s="100"/>
      <c r="I165" s="100"/>
      <c r="J165" s="118"/>
      <c r="K165" s="118"/>
      <c r="L165" s="118"/>
      <c r="M165" s="118"/>
      <c r="N165" s="164"/>
      <c r="O165" s="161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</row>
    <row r="166">
      <c r="A166" s="118"/>
      <c r="B166" s="118"/>
      <c r="C166" s="118"/>
      <c r="D166" s="118"/>
      <c r="E166" s="118"/>
      <c r="F166" s="118"/>
      <c r="G166" s="118"/>
      <c r="H166" s="100"/>
      <c r="I166" s="100"/>
      <c r="J166" s="118"/>
      <c r="K166" s="118"/>
      <c r="L166" s="118"/>
      <c r="M166" s="118"/>
      <c r="N166" s="164"/>
      <c r="O166" s="161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</row>
    <row r="167">
      <c r="A167" s="118"/>
      <c r="B167" s="118"/>
      <c r="C167" s="118"/>
      <c r="D167" s="118"/>
      <c r="E167" s="118"/>
      <c r="F167" s="118"/>
      <c r="G167" s="118"/>
      <c r="H167" s="100"/>
      <c r="I167" s="100"/>
      <c r="J167" s="118"/>
      <c r="K167" s="118"/>
      <c r="L167" s="118"/>
      <c r="M167" s="118"/>
      <c r="N167" s="164"/>
      <c r="O167" s="161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</row>
    <row r="168">
      <c r="A168" s="118"/>
      <c r="B168" s="118"/>
      <c r="C168" s="118"/>
      <c r="D168" s="118"/>
      <c r="E168" s="118"/>
      <c r="F168" s="118"/>
      <c r="G168" s="118"/>
      <c r="H168" s="100"/>
      <c r="I168" s="100"/>
      <c r="J168" s="118"/>
      <c r="K168" s="118"/>
      <c r="L168" s="118"/>
      <c r="M168" s="118"/>
      <c r="N168" s="164"/>
      <c r="O168" s="161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</row>
    <row r="169">
      <c r="A169" s="118"/>
      <c r="B169" s="118"/>
      <c r="C169" s="118"/>
      <c r="D169" s="118"/>
      <c r="E169" s="118"/>
      <c r="F169" s="118"/>
      <c r="G169" s="118"/>
      <c r="H169" s="100"/>
      <c r="I169" s="100"/>
      <c r="J169" s="118"/>
      <c r="K169" s="118"/>
      <c r="L169" s="118"/>
      <c r="M169" s="118"/>
      <c r="N169" s="164"/>
      <c r="O169" s="161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</row>
    <row r="170">
      <c r="A170" s="118"/>
      <c r="B170" s="118"/>
      <c r="C170" s="118"/>
      <c r="D170" s="118"/>
      <c r="E170" s="118"/>
      <c r="F170" s="118"/>
      <c r="G170" s="118"/>
      <c r="H170" s="100"/>
      <c r="I170" s="100"/>
      <c r="J170" s="118"/>
      <c r="K170" s="118"/>
      <c r="L170" s="118"/>
      <c r="M170" s="118"/>
      <c r="N170" s="164"/>
      <c r="O170" s="161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</row>
    <row r="171">
      <c r="A171" s="118"/>
      <c r="B171" s="118"/>
      <c r="C171" s="118"/>
      <c r="D171" s="118"/>
      <c r="E171" s="118"/>
      <c r="F171" s="118"/>
      <c r="G171" s="118"/>
      <c r="H171" s="100"/>
      <c r="I171" s="100"/>
      <c r="J171" s="118"/>
      <c r="K171" s="118"/>
      <c r="L171" s="118"/>
      <c r="M171" s="118"/>
      <c r="N171" s="164"/>
      <c r="O171" s="161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</row>
    <row r="172">
      <c r="A172" s="118"/>
      <c r="B172" s="118"/>
      <c r="C172" s="118"/>
      <c r="D172" s="118"/>
      <c r="E172" s="118"/>
      <c r="F172" s="118"/>
      <c r="G172" s="118"/>
      <c r="H172" s="100"/>
      <c r="I172" s="100"/>
      <c r="J172" s="118"/>
      <c r="K172" s="118"/>
      <c r="L172" s="118"/>
      <c r="M172" s="118"/>
      <c r="N172" s="164"/>
      <c r="O172" s="161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</row>
    <row r="173">
      <c r="A173" s="118"/>
      <c r="B173" s="118"/>
      <c r="C173" s="118"/>
      <c r="D173" s="118"/>
      <c r="E173" s="118"/>
      <c r="F173" s="118"/>
      <c r="G173" s="118"/>
      <c r="H173" s="100"/>
      <c r="I173" s="100"/>
      <c r="J173" s="118"/>
      <c r="K173" s="118"/>
      <c r="L173" s="118"/>
      <c r="M173" s="118"/>
      <c r="N173" s="164"/>
      <c r="O173" s="161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</row>
    <row r="174">
      <c r="A174" s="118"/>
      <c r="B174" s="118"/>
      <c r="C174" s="118"/>
      <c r="D174" s="118"/>
      <c r="E174" s="118"/>
      <c r="F174" s="118"/>
      <c r="G174" s="118"/>
      <c r="H174" s="100"/>
      <c r="I174" s="100"/>
      <c r="J174" s="118"/>
      <c r="K174" s="118"/>
      <c r="L174" s="118"/>
      <c r="M174" s="118"/>
      <c r="N174" s="164"/>
      <c r="O174" s="161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</row>
    <row r="175">
      <c r="A175" s="118"/>
      <c r="B175" s="118"/>
      <c r="C175" s="118"/>
      <c r="D175" s="118"/>
      <c r="E175" s="118"/>
      <c r="F175" s="118"/>
      <c r="G175" s="118"/>
      <c r="H175" s="100"/>
      <c r="I175" s="100"/>
      <c r="J175" s="118"/>
      <c r="K175" s="118"/>
      <c r="L175" s="118"/>
      <c r="M175" s="118"/>
      <c r="N175" s="164"/>
      <c r="O175" s="161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</row>
    <row r="176">
      <c r="A176" s="118"/>
      <c r="B176" s="118"/>
      <c r="C176" s="118"/>
      <c r="D176" s="118"/>
      <c r="E176" s="118"/>
      <c r="F176" s="118"/>
      <c r="G176" s="118"/>
      <c r="H176" s="100"/>
      <c r="I176" s="100"/>
      <c r="J176" s="118"/>
      <c r="K176" s="118"/>
      <c r="L176" s="118"/>
      <c r="M176" s="118"/>
      <c r="N176" s="164"/>
      <c r="O176" s="161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</row>
    <row r="177">
      <c r="A177" s="118"/>
      <c r="B177" s="118"/>
      <c r="C177" s="118"/>
      <c r="D177" s="118"/>
      <c r="E177" s="118"/>
      <c r="F177" s="118"/>
      <c r="G177" s="118"/>
      <c r="H177" s="100"/>
      <c r="I177" s="100"/>
      <c r="J177" s="118"/>
      <c r="K177" s="118"/>
      <c r="L177" s="118"/>
      <c r="M177" s="118"/>
      <c r="N177" s="164"/>
      <c r="O177" s="161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</row>
    <row r="178">
      <c r="A178" s="118"/>
      <c r="B178" s="118"/>
      <c r="C178" s="118"/>
      <c r="D178" s="118"/>
      <c r="E178" s="118"/>
      <c r="F178" s="118"/>
      <c r="G178" s="118"/>
      <c r="H178" s="100"/>
      <c r="I178" s="100"/>
      <c r="J178" s="118"/>
      <c r="K178" s="118"/>
      <c r="L178" s="118"/>
      <c r="M178" s="118"/>
      <c r="N178" s="164"/>
      <c r="O178" s="161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</row>
    <row r="179">
      <c r="A179" s="118"/>
      <c r="B179" s="118"/>
      <c r="C179" s="118"/>
      <c r="D179" s="118"/>
      <c r="E179" s="118"/>
      <c r="F179" s="118"/>
      <c r="G179" s="118"/>
      <c r="H179" s="100"/>
      <c r="I179" s="100"/>
      <c r="J179" s="118"/>
      <c r="K179" s="118"/>
      <c r="L179" s="118"/>
      <c r="M179" s="118"/>
      <c r="N179" s="164"/>
      <c r="O179" s="161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</row>
    <row r="180">
      <c r="A180" s="118"/>
      <c r="B180" s="118"/>
      <c r="C180" s="118"/>
      <c r="D180" s="118"/>
      <c r="E180" s="118"/>
      <c r="F180" s="118"/>
      <c r="G180" s="118"/>
      <c r="H180" s="100"/>
      <c r="I180" s="100"/>
      <c r="J180" s="118"/>
      <c r="K180" s="118"/>
      <c r="L180" s="118"/>
      <c r="M180" s="118"/>
      <c r="N180" s="164"/>
      <c r="O180" s="161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</row>
    <row r="181">
      <c r="A181" s="118"/>
      <c r="B181" s="118"/>
      <c r="C181" s="118"/>
      <c r="D181" s="118"/>
      <c r="E181" s="118"/>
      <c r="F181" s="118"/>
      <c r="G181" s="118"/>
      <c r="H181" s="100"/>
      <c r="I181" s="100"/>
      <c r="J181" s="118"/>
      <c r="K181" s="118"/>
      <c r="L181" s="118"/>
      <c r="M181" s="118"/>
      <c r="N181" s="164"/>
      <c r="O181" s="161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</row>
    <row r="182">
      <c r="A182" s="118"/>
      <c r="B182" s="118"/>
      <c r="C182" s="118"/>
      <c r="D182" s="118"/>
      <c r="E182" s="118"/>
      <c r="F182" s="118"/>
      <c r="G182" s="118"/>
      <c r="H182" s="100"/>
      <c r="I182" s="100"/>
      <c r="J182" s="118"/>
      <c r="K182" s="118"/>
      <c r="L182" s="118"/>
      <c r="M182" s="118"/>
      <c r="N182" s="164"/>
      <c r="O182" s="161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</row>
    <row r="183">
      <c r="A183" s="118"/>
      <c r="B183" s="118"/>
      <c r="C183" s="118"/>
      <c r="D183" s="118"/>
      <c r="E183" s="118"/>
      <c r="F183" s="118"/>
      <c r="G183" s="118"/>
      <c r="H183" s="100"/>
      <c r="I183" s="100"/>
      <c r="J183" s="118"/>
      <c r="K183" s="118"/>
      <c r="L183" s="118"/>
      <c r="M183" s="118"/>
      <c r="N183" s="164"/>
      <c r="O183" s="161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>
      <c r="A184" s="118"/>
      <c r="B184" s="118"/>
      <c r="C184" s="118"/>
      <c r="D184" s="118"/>
      <c r="E184" s="118"/>
      <c r="F184" s="118"/>
      <c r="G184" s="118"/>
      <c r="H184" s="100"/>
      <c r="I184" s="100"/>
      <c r="J184" s="118"/>
      <c r="K184" s="118"/>
      <c r="L184" s="118"/>
      <c r="M184" s="118"/>
      <c r="N184" s="164"/>
      <c r="O184" s="161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>
      <c r="A185" s="118"/>
      <c r="B185" s="118"/>
      <c r="C185" s="118"/>
      <c r="D185" s="118"/>
      <c r="E185" s="118"/>
      <c r="F185" s="118"/>
      <c r="G185" s="118"/>
      <c r="H185" s="100"/>
      <c r="I185" s="100"/>
      <c r="J185" s="118"/>
      <c r="K185" s="118"/>
      <c r="L185" s="118"/>
      <c r="M185" s="118"/>
      <c r="N185" s="164"/>
      <c r="O185" s="161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>
      <c r="A186" s="118"/>
      <c r="B186" s="118"/>
      <c r="C186" s="118"/>
      <c r="D186" s="118"/>
      <c r="E186" s="118"/>
      <c r="F186" s="118"/>
      <c r="G186" s="118"/>
      <c r="H186" s="100"/>
      <c r="I186" s="100"/>
      <c r="J186" s="118"/>
      <c r="K186" s="118"/>
      <c r="L186" s="118"/>
      <c r="M186" s="118"/>
      <c r="N186" s="164"/>
      <c r="O186" s="161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>
      <c r="A187" s="118"/>
      <c r="B187" s="118"/>
      <c r="C187" s="118"/>
      <c r="D187" s="118"/>
      <c r="E187" s="118"/>
      <c r="F187" s="118"/>
      <c r="G187" s="118"/>
      <c r="H187" s="100"/>
      <c r="I187" s="100"/>
      <c r="J187" s="118"/>
      <c r="K187" s="118"/>
      <c r="L187" s="118"/>
      <c r="M187" s="118"/>
      <c r="N187" s="164"/>
      <c r="O187" s="161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>
      <c r="A188" s="118"/>
      <c r="B188" s="118"/>
      <c r="C188" s="118"/>
      <c r="D188" s="118"/>
      <c r="E188" s="118"/>
      <c r="F188" s="118"/>
      <c r="G188" s="118"/>
      <c r="H188" s="100"/>
      <c r="I188" s="100"/>
      <c r="J188" s="118"/>
      <c r="K188" s="118"/>
      <c r="L188" s="118"/>
      <c r="M188" s="118"/>
      <c r="N188" s="164"/>
      <c r="O188" s="161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>
      <c r="A189" s="118"/>
      <c r="B189" s="118"/>
      <c r="C189" s="118"/>
      <c r="D189" s="118"/>
      <c r="E189" s="118"/>
      <c r="F189" s="118"/>
      <c r="G189" s="118"/>
      <c r="H189" s="100"/>
      <c r="I189" s="100"/>
      <c r="J189" s="118"/>
      <c r="K189" s="118"/>
      <c r="L189" s="118"/>
      <c r="M189" s="118"/>
      <c r="N189" s="164"/>
      <c r="O189" s="161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</row>
    <row r="190">
      <c r="A190" s="118"/>
      <c r="B190" s="118"/>
      <c r="C190" s="118"/>
      <c r="D190" s="118"/>
      <c r="E190" s="118"/>
      <c r="F190" s="118"/>
      <c r="G190" s="118"/>
      <c r="H190" s="100"/>
      <c r="I190" s="100"/>
      <c r="J190" s="118"/>
      <c r="K190" s="118"/>
      <c r="L190" s="118"/>
      <c r="M190" s="118"/>
      <c r="N190" s="164"/>
      <c r="O190" s="161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</row>
    <row r="191">
      <c r="A191" s="118"/>
      <c r="B191" s="118"/>
      <c r="C191" s="118"/>
      <c r="D191" s="118"/>
      <c r="E191" s="118"/>
      <c r="F191" s="118"/>
      <c r="G191" s="118"/>
      <c r="H191" s="100"/>
      <c r="I191" s="100"/>
      <c r="J191" s="118"/>
      <c r="K191" s="118"/>
      <c r="L191" s="118"/>
      <c r="M191" s="118"/>
      <c r="N191" s="164"/>
      <c r="O191" s="161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</row>
    <row r="192">
      <c r="A192" s="118"/>
      <c r="B192" s="118"/>
      <c r="C192" s="118"/>
      <c r="D192" s="118"/>
      <c r="E192" s="118"/>
      <c r="F192" s="118"/>
      <c r="G192" s="118"/>
      <c r="H192" s="100"/>
      <c r="I192" s="100"/>
      <c r="J192" s="118"/>
      <c r="K192" s="118"/>
      <c r="L192" s="118"/>
      <c r="M192" s="118"/>
      <c r="N192" s="164"/>
      <c r="O192" s="161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</row>
    <row r="193">
      <c r="A193" s="118"/>
      <c r="B193" s="118"/>
      <c r="C193" s="118"/>
      <c r="D193" s="118"/>
      <c r="E193" s="118"/>
      <c r="F193" s="118"/>
      <c r="G193" s="118"/>
      <c r="H193" s="100"/>
      <c r="I193" s="100"/>
      <c r="J193" s="118"/>
      <c r="K193" s="118"/>
      <c r="L193" s="118"/>
      <c r="M193" s="118"/>
      <c r="N193" s="164"/>
      <c r="O193" s="161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</row>
    <row r="194">
      <c r="A194" s="118"/>
      <c r="B194" s="118"/>
      <c r="C194" s="118"/>
      <c r="D194" s="118"/>
      <c r="E194" s="118"/>
      <c r="F194" s="118"/>
      <c r="G194" s="118"/>
      <c r="H194" s="100"/>
      <c r="I194" s="100"/>
      <c r="J194" s="118"/>
      <c r="K194" s="118"/>
      <c r="L194" s="118"/>
      <c r="M194" s="118"/>
      <c r="N194" s="164"/>
      <c r="O194" s="161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</row>
    <row r="195">
      <c r="A195" s="118"/>
      <c r="B195" s="118"/>
      <c r="C195" s="118"/>
      <c r="D195" s="118"/>
      <c r="E195" s="118"/>
      <c r="F195" s="118"/>
      <c r="G195" s="118"/>
      <c r="H195" s="100"/>
      <c r="I195" s="100"/>
      <c r="J195" s="118"/>
      <c r="K195" s="118"/>
      <c r="L195" s="118"/>
      <c r="M195" s="118"/>
      <c r="N195" s="164"/>
      <c r="O195" s="161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</row>
    <row r="196">
      <c r="A196" s="118"/>
      <c r="B196" s="118"/>
      <c r="C196" s="118"/>
      <c r="D196" s="118"/>
      <c r="E196" s="118"/>
      <c r="F196" s="118"/>
      <c r="G196" s="118"/>
      <c r="H196" s="100"/>
      <c r="I196" s="100"/>
      <c r="J196" s="118"/>
      <c r="K196" s="118"/>
      <c r="L196" s="118"/>
      <c r="M196" s="118"/>
      <c r="N196" s="164"/>
      <c r="O196" s="161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</row>
    <row r="197">
      <c r="A197" s="118"/>
      <c r="B197" s="118"/>
      <c r="C197" s="118"/>
      <c r="D197" s="118"/>
      <c r="E197" s="118"/>
      <c r="F197" s="118"/>
      <c r="G197" s="118"/>
      <c r="H197" s="100"/>
      <c r="I197" s="100"/>
      <c r="J197" s="118"/>
      <c r="K197" s="118"/>
      <c r="L197" s="118"/>
      <c r="M197" s="118"/>
      <c r="N197" s="164"/>
      <c r="O197" s="161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</row>
    <row r="198">
      <c r="A198" s="118"/>
      <c r="B198" s="118"/>
      <c r="C198" s="118"/>
      <c r="D198" s="118"/>
      <c r="E198" s="118"/>
      <c r="F198" s="118"/>
      <c r="G198" s="118"/>
      <c r="H198" s="100"/>
      <c r="I198" s="100"/>
      <c r="J198" s="118"/>
      <c r="K198" s="118"/>
      <c r="L198" s="118"/>
      <c r="M198" s="118"/>
      <c r="N198" s="164"/>
      <c r="O198" s="161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</row>
    <row r="199">
      <c r="A199" s="118"/>
      <c r="B199" s="118"/>
      <c r="C199" s="118"/>
      <c r="D199" s="118"/>
      <c r="E199" s="118"/>
      <c r="F199" s="118"/>
      <c r="G199" s="118"/>
      <c r="H199" s="100"/>
      <c r="I199" s="100"/>
      <c r="J199" s="118"/>
      <c r="K199" s="118"/>
      <c r="L199" s="118"/>
      <c r="M199" s="118"/>
      <c r="N199" s="164"/>
      <c r="O199" s="161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</row>
    <row r="200">
      <c r="A200" s="118"/>
      <c r="B200" s="118"/>
      <c r="C200" s="118"/>
      <c r="D200" s="118"/>
      <c r="E200" s="118"/>
      <c r="F200" s="118"/>
      <c r="G200" s="118"/>
      <c r="H200" s="100"/>
      <c r="I200" s="100"/>
      <c r="J200" s="118"/>
      <c r="K200" s="118"/>
      <c r="L200" s="118"/>
      <c r="M200" s="118"/>
      <c r="N200" s="164"/>
      <c r="O200" s="161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</row>
    <row r="201">
      <c r="A201" s="118"/>
      <c r="B201" s="118"/>
      <c r="C201" s="118"/>
      <c r="D201" s="118"/>
      <c r="E201" s="118"/>
      <c r="F201" s="118"/>
      <c r="G201" s="118"/>
      <c r="H201" s="100"/>
      <c r="I201" s="100"/>
      <c r="J201" s="118"/>
      <c r="K201" s="118"/>
      <c r="L201" s="118"/>
      <c r="M201" s="118"/>
      <c r="N201" s="164"/>
      <c r="O201" s="161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</row>
    <row r="202">
      <c r="A202" s="118"/>
      <c r="B202" s="118"/>
      <c r="C202" s="118"/>
      <c r="D202" s="118"/>
      <c r="E202" s="118"/>
      <c r="F202" s="118"/>
      <c r="G202" s="118"/>
      <c r="H202" s="100"/>
      <c r="I202" s="100"/>
      <c r="J202" s="118"/>
      <c r="K202" s="118"/>
      <c r="L202" s="118"/>
      <c r="M202" s="118"/>
      <c r="N202" s="164"/>
      <c r="O202" s="161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</row>
    <row r="203">
      <c r="A203" s="118"/>
      <c r="B203" s="118"/>
      <c r="C203" s="118"/>
      <c r="D203" s="118"/>
      <c r="E203" s="118"/>
      <c r="F203" s="118"/>
      <c r="G203" s="118"/>
      <c r="H203" s="100"/>
      <c r="I203" s="100"/>
      <c r="J203" s="118"/>
      <c r="K203" s="118"/>
      <c r="L203" s="118"/>
      <c r="M203" s="118"/>
      <c r="N203" s="164"/>
      <c r="O203" s="161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</row>
    <row r="204">
      <c r="A204" s="118"/>
      <c r="B204" s="118"/>
      <c r="C204" s="118"/>
      <c r="D204" s="118"/>
      <c r="E204" s="118"/>
      <c r="F204" s="118"/>
      <c r="G204" s="118"/>
      <c r="H204" s="100"/>
      <c r="I204" s="100"/>
      <c r="J204" s="118"/>
      <c r="K204" s="118"/>
      <c r="L204" s="118"/>
      <c r="M204" s="118"/>
      <c r="N204" s="164"/>
      <c r="O204" s="161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</row>
    <row r="205">
      <c r="A205" s="118"/>
      <c r="B205" s="118"/>
      <c r="C205" s="118"/>
      <c r="D205" s="118"/>
      <c r="E205" s="118"/>
      <c r="F205" s="118"/>
      <c r="G205" s="118"/>
      <c r="H205" s="100"/>
      <c r="I205" s="100"/>
      <c r="J205" s="118"/>
      <c r="K205" s="118"/>
      <c r="L205" s="118"/>
      <c r="M205" s="118"/>
      <c r="N205" s="164"/>
      <c r="O205" s="161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</row>
    <row r="206">
      <c r="A206" s="118"/>
      <c r="B206" s="118"/>
      <c r="C206" s="118"/>
      <c r="D206" s="118"/>
      <c r="E206" s="118"/>
      <c r="F206" s="118"/>
      <c r="G206" s="118"/>
      <c r="H206" s="100"/>
      <c r="I206" s="100"/>
      <c r="J206" s="118"/>
      <c r="K206" s="118"/>
      <c r="L206" s="118"/>
      <c r="M206" s="118"/>
      <c r="N206" s="164"/>
      <c r="O206" s="161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</row>
    <row r="207">
      <c r="A207" s="118"/>
      <c r="B207" s="118"/>
      <c r="C207" s="118"/>
      <c r="D207" s="118"/>
      <c r="E207" s="118"/>
      <c r="F207" s="118"/>
      <c r="G207" s="118"/>
      <c r="H207" s="100"/>
      <c r="I207" s="100"/>
      <c r="J207" s="118"/>
      <c r="K207" s="118"/>
      <c r="L207" s="118"/>
      <c r="M207" s="118"/>
      <c r="N207" s="164"/>
      <c r="O207" s="161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</row>
    <row r="208">
      <c r="A208" s="118"/>
      <c r="B208" s="118"/>
      <c r="C208" s="118"/>
      <c r="D208" s="118"/>
      <c r="E208" s="118"/>
      <c r="F208" s="118"/>
      <c r="G208" s="118"/>
      <c r="H208" s="100"/>
      <c r="I208" s="100"/>
      <c r="J208" s="118"/>
      <c r="K208" s="118"/>
      <c r="L208" s="118"/>
      <c r="M208" s="118"/>
      <c r="N208" s="164"/>
      <c r="O208" s="161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</row>
    <row r="209">
      <c r="A209" s="118"/>
      <c r="B209" s="118"/>
      <c r="C209" s="118"/>
      <c r="D209" s="118"/>
      <c r="E209" s="118"/>
      <c r="F209" s="118"/>
      <c r="G209" s="118"/>
      <c r="H209" s="100"/>
      <c r="I209" s="100"/>
      <c r="J209" s="118"/>
      <c r="K209" s="118"/>
      <c r="L209" s="118"/>
      <c r="M209" s="118"/>
      <c r="N209" s="164"/>
      <c r="O209" s="161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</row>
    <row r="210">
      <c r="A210" s="118"/>
      <c r="B210" s="118"/>
      <c r="C210" s="118"/>
      <c r="D210" s="118"/>
      <c r="E210" s="118"/>
      <c r="F210" s="118"/>
      <c r="G210" s="118"/>
      <c r="H210" s="100"/>
      <c r="I210" s="100"/>
      <c r="J210" s="118"/>
      <c r="K210" s="118"/>
      <c r="L210" s="118"/>
      <c r="M210" s="118"/>
      <c r="N210" s="164"/>
      <c r="O210" s="161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</row>
    <row r="211">
      <c r="A211" s="118"/>
      <c r="B211" s="118"/>
      <c r="C211" s="118"/>
      <c r="D211" s="118"/>
      <c r="E211" s="118"/>
      <c r="F211" s="118"/>
      <c r="G211" s="118"/>
      <c r="H211" s="100"/>
      <c r="I211" s="100"/>
      <c r="J211" s="118"/>
      <c r="K211" s="118"/>
      <c r="L211" s="118"/>
      <c r="M211" s="118"/>
      <c r="N211" s="164"/>
      <c r="O211" s="161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</row>
    <row r="212">
      <c r="A212" s="118"/>
      <c r="B212" s="118"/>
      <c r="C212" s="118"/>
      <c r="D212" s="118"/>
      <c r="E212" s="118"/>
      <c r="F212" s="118"/>
      <c r="G212" s="118"/>
      <c r="H212" s="100"/>
      <c r="I212" s="100"/>
      <c r="J212" s="118"/>
      <c r="K212" s="118"/>
      <c r="L212" s="118"/>
      <c r="M212" s="118"/>
      <c r="N212" s="164"/>
      <c r="O212" s="161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</row>
    <row r="213">
      <c r="A213" s="118"/>
      <c r="B213" s="118"/>
      <c r="C213" s="118"/>
      <c r="D213" s="118"/>
      <c r="E213" s="118"/>
      <c r="F213" s="118"/>
      <c r="G213" s="118"/>
      <c r="H213" s="100"/>
      <c r="I213" s="100"/>
      <c r="J213" s="118"/>
      <c r="K213" s="118"/>
      <c r="L213" s="118"/>
      <c r="M213" s="118"/>
      <c r="N213" s="164"/>
      <c r="O213" s="161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</row>
    <row r="214">
      <c r="A214" s="118"/>
      <c r="B214" s="118"/>
      <c r="C214" s="118"/>
      <c r="D214" s="118"/>
      <c r="E214" s="118"/>
      <c r="F214" s="118"/>
      <c r="G214" s="118"/>
      <c r="H214" s="100"/>
      <c r="I214" s="100"/>
      <c r="J214" s="118"/>
      <c r="K214" s="118"/>
      <c r="L214" s="118"/>
      <c r="M214" s="118"/>
      <c r="N214" s="164"/>
      <c r="O214" s="161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</row>
    <row r="215">
      <c r="A215" s="118"/>
      <c r="B215" s="118"/>
      <c r="C215" s="118"/>
      <c r="D215" s="118"/>
      <c r="E215" s="118"/>
      <c r="F215" s="118"/>
      <c r="G215" s="118"/>
      <c r="H215" s="100"/>
      <c r="I215" s="100"/>
      <c r="J215" s="118"/>
      <c r="K215" s="118"/>
      <c r="L215" s="118"/>
      <c r="M215" s="118"/>
      <c r="N215" s="164"/>
      <c r="O215" s="161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</row>
    <row r="216">
      <c r="A216" s="118"/>
      <c r="B216" s="118"/>
      <c r="C216" s="118"/>
      <c r="D216" s="118"/>
      <c r="E216" s="118"/>
      <c r="F216" s="118"/>
      <c r="G216" s="118"/>
      <c r="H216" s="100"/>
      <c r="I216" s="100"/>
      <c r="J216" s="118"/>
      <c r="K216" s="118"/>
      <c r="L216" s="118"/>
      <c r="M216" s="118"/>
      <c r="N216" s="164"/>
      <c r="O216" s="161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</row>
    <row r="217">
      <c r="A217" s="118"/>
      <c r="B217" s="118"/>
      <c r="C217" s="118"/>
      <c r="D217" s="118"/>
      <c r="E217" s="118"/>
      <c r="F217" s="118"/>
      <c r="G217" s="118"/>
      <c r="H217" s="100"/>
      <c r="I217" s="100"/>
      <c r="J217" s="118"/>
      <c r="K217" s="118"/>
      <c r="L217" s="118"/>
      <c r="M217" s="118"/>
      <c r="N217" s="164"/>
      <c r="O217" s="161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</row>
    <row r="218">
      <c r="A218" s="118"/>
      <c r="B218" s="118"/>
      <c r="C218" s="118"/>
      <c r="D218" s="118"/>
      <c r="E218" s="118"/>
      <c r="F218" s="118"/>
      <c r="G218" s="118"/>
      <c r="H218" s="100"/>
      <c r="I218" s="100"/>
      <c r="J218" s="118"/>
      <c r="K218" s="118"/>
      <c r="L218" s="118"/>
      <c r="M218" s="118"/>
      <c r="N218" s="164"/>
      <c r="O218" s="161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</row>
    <row r="219">
      <c r="A219" s="118"/>
      <c r="B219" s="118"/>
      <c r="C219" s="118"/>
      <c r="D219" s="118"/>
      <c r="E219" s="118"/>
      <c r="F219" s="118"/>
      <c r="G219" s="118"/>
      <c r="H219" s="100"/>
      <c r="I219" s="100"/>
      <c r="J219" s="118"/>
      <c r="K219" s="118"/>
      <c r="L219" s="118"/>
      <c r="M219" s="118"/>
      <c r="N219" s="164"/>
      <c r="O219" s="161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</row>
    <row r="220">
      <c r="A220" s="118"/>
      <c r="B220" s="118"/>
      <c r="C220" s="118"/>
      <c r="D220" s="118"/>
      <c r="E220" s="118"/>
      <c r="F220" s="118"/>
      <c r="G220" s="118"/>
      <c r="H220" s="100"/>
      <c r="I220" s="100"/>
      <c r="J220" s="118"/>
      <c r="K220" s="118"/>
      <c r="L220" s="118"/>
      <c r="M220" s="118"/>
      <c r="N220" s="164"/>
      <c r="O220" s="161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</row>
    <row r="221">
      <c r="A221" s="118"/>
      <c r="B221" s="118"/>
      <c r="C221" s="118"/>
      <c r="D221" s="118"/>
      <c r="E221" s="118"/>
      <c r="F221" s="118"/>
      <c r="G221" s="118"/>
      <c r="H221" s="100"/>
      <c r="I221" s="100"/>
      <c r="J221" s="118"/>
      <c r="K221" s="118"/>
      <c r="L221" s="118"/>
      <c r="M221" s="118"/>
      <c r="N221" s="164"/>
      <c r="O221" s="161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</row>
    <row r="222">
      <c r="A222" s="118"/>
      <c r="B222" s="118"/>
      <c r="C222" s="118"/>
      <c r="D222" s="118"/>
      <c r="E222" s="118"/>
      <c r="F222" s="118"/>
      <c r="G222" s="118"/>
      <c r="H222" s="100"/>
      <c r="I222" s="100"/>
      <c r="J222" s="118"/>
      <c r="K222" s="118"/>
      <c r="L222" s="118"/>
      <c r="M222" s="118"/>
      <c r="N222" s="164"/>
      <c r="O222" s="161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</row>
    <row r="223">
      <c r="A223" s="118"/>
      <c r="B223" s="118"/>
      <c r="C223" s="118"/>
      <c r="D223" s="118"/>
      <c r="E223" s="118"/>
      <c r="F223" s="118"/>
      <c r="G223" s="118"/>
      <c r="H223" s="100"/>
      <c r="I223" s="100"/>
      <c r="J223" s="118"/>
      <c r="K223" s="118"/>
      <c r="L223" s="118"/>
      <c r="M223" s="118"/>
      <c r="N223" s="164"/>
      <c r="O223" s="161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</row>
    <row r="224">
      <c r="A224" s="118"/>
      <c r="B224" s="118"/>
      <c r="C224" s="118"/>
      <c r="D224" s="118"/>
      <c r="E224" s="118"/>
      <c r="F224" s="118"/>
      <c r="G224" s="118"/>
      <c r="H224" s="100"/>
      <c r="I224" s="100"/>
      <c r="J224" s="118"/>
      <c r="K224" s="118"/>
      <c r="L224" s="118"/>
      <c r="M224" s="118"/>
      <c r="N224" s="164"/>
      <c r="O224" s="161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</row>
    <row r="225">
      <c r="A225" s="118"/>
      <c r="B225" s="118"/>
      <c r="C225" s="118"/>
      <c r="D225" s="118"/>
      <c r="E225" s="118"/>
      <c r="F225" s="118"/>
      <c r="G225" s="118"/>
      <c r="H225" s="100"/>
      <c r="I225" s="100"/>
      <c r="J225" s="118"/>
      <c r="K225" s="118"/>
      <c r="L225" s="118"/>
      <c r="M225" s="118"/>
      <c r="N225" s="164"/>
      <c r="O225" s="161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</row>
    <row r="226">
      <c r="A226" s="118"/>
      <c r="B226" s="118"/>
      <c r="C226" s="118"/>
      <c r="D226" s="118"/>
      <c r="E226" s="118"/>
      <c r="F226" s="118"/>
      <c r="G226" s="118"/>
      <c r="H226" s="100"/>
      <c r="I226" s="100"/>
      <c r="J226" s="118"/>
      <c r="K226" s="118"/>
      <c r="L226" s="118"/>
      <c r="M226" s="118"/>
      <c r="N226" s="164"/>
      <c r="O226" s="161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</row>
    <row r="227">
      <c r="A227" s="118"/>
      <c r="B227" s="118"/>
      <c r="C227" s="118"/>
      <c r="D227" s="118"/>
      <c r="E227" s="118"/>
      <c r="F227" s="118"/>
      <c r="G227" s="118"/>
      <c r="H227" s="100"/>
      <c r="I227" s="100"/>
      <c r="J227" s="118"/>
      <c r="K227" s="118"/>
      <c r="L227" s="118"/>
      <c r="M227" s="118"/>
      <c r="N227" s="164"/>
      <c r="O227" s="161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</row>
    <row r="228">
      <c r="A228" s="118"/>
      <c r="B228" s="118"/>
      <c r="C228" s="118"/>
      <c r="D228" s="118"/>
      <c r="E228" s="118"/>
      <c r="F228" s="118"/>
      <c r="G228" s="118"/>
      <c r="H228" s="100"/>
      <c r="I228" s="100"/>
      <c r="J228" s="118"/>
      <c r="K228" s="118"/>
      <c r="L228" s="118"/>
      <c r="M228" s="118"/>
      <c r="N228" s="164"/>
      <c r="O228" s="161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</row>
    <row r="229">
      <c r="A229" s="118"/>
      <c r="B229" s="118"/>
      <c r="C229" s="118"/>
      <c r="D229" s="118"/>
      <c r="E229" s="118"/>
      <c r="F229" s="118"/>
      <c r="G229" s="118"/>
      <c r="H229" s="100"/>
      <c r="I229" s="100"/>
      <c r="J229" s="118"/>
      <c r="K229" s="118"/>
      <c r="L229" s="118"/>
      <c r="M229" s="118"/>
      <c r="N229" s="164"/>
      <c r="O229" s="161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</row>
    <row r="230">
      <c r="A230" s="118"/>
      <c r="B230" s="118"/>
      <c r="C230" s="118"/>
      <c r="D230" s="118"/>
      <c r="E230" s="118"/>
      <c r="F230" s="118"/>
      <c r="G230" s="118"/>
      <c r="H230" s="100"/>
      <c r="I230" s="100"/>
      <c r="J230" s="118"/>
      <c r="K230" s="118"/>
      <c r="L230" s="118"/>
      <c r="M230" s="118"/>
      <c r="N230" s="164"/>
      <c r="O230" s="161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</row>
    <row r="231">
      <c r="A231" s="118"/>
      <c r="B231" s="118"/>
      <c r="C231" s="118"/>
      <c r="D231" s="118"/>
      <c r="E231" s="118"/>
      <c r="F231" s="118"/>
      <c r="G231" s="118"/>
      <c r="H231" s="100"/>
      <c r="I231" s="100"/>
      <c r="J231" s="118"/>
      <c r="K231" s="118"/>
      <c r="L231" s="118"/>
      <c r="M231" s="118"/>
      <c r="N231" s="164"/>
      <c r="O231" s="161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</row>
    <row r="232">
      <c r="A232" s="118"/>
      <c r="B232" s="118"/>
      <c r="C232" s="118"/>
      <c r="D232" s="118"/>
      <c r="E232" s="118"/>
      <c r="F232" s="118"/>
      <c r="G232" s="118"/>
      <c r="H232" s="100"/>
      <c r="I232" s="100"/>
      <c r="J232" s="118"/>
      <c r="K232" s="118"/>
      <c r="L232" s="118"/>
      <c r="M232" s="118"/>
      <c r="N232" s="164"/>
      <c r="O232" s="161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</row>
    <row r="233">
      <c r="A233" s="118"/>
      <c r="B233" s="118"/>
      <c r="C233" s="118"/>
      <c r="D233" s="118"/>
      <c r="E233" s="118"/>
      <c r="F233" s="118"/>
      <c r="G233" s="118"/>
      <c r="H233" s="100"/>
      <c r="I233" s="100"/>
      <c r="J233" s="118"/>
      <c r="K233" s="118"/>
      <c r="L233" s="118"/>
      <c r="M233" s="118"/>
      <c r="N233" s="164"/>
      <c r="O233" s="161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</row>
    <row r="234">
      <c r="A234" s="118"/>
      <c r="B234" s="118"/>
      <c r="C234" s="118"/>
      <c r="D234" s="118"/>
      <c r="E234" s="118"/>
      <c r="F234" s="118"/>
      <c r="G234" s="118"/>
      <c r="H234" s="100"/>
      <c r="I234" s="100"/>
      <c r="J234" s="118"/>
      <c r="K234" s="118"/>
      <c r="L234" s="118"/>
      <c r="M234" s="118"/>
      <c r="N234" s="164"/>
      <c r="O234" s="161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</row>
    <row r="235">
      <c r="A235" s="118"/>
      <c r="B235" s="118"/>
      <c r="C235" s="118"/>
      <c r="D235" s="118"/>
      <c r="E235" s="118"/>
      <c r="F235" s="118"/>
      <c r="G235" s="118"/>
      <c r="H235" s="100"/>
      <c r="I235" s="100"/>
      <c r="J235" s="118"/>
      <c r="K235" s="118"/>
      <c r="L235" s="118"/>
      <c r="M235" s="118"/>
      <c r="N235" s="164"/>
      <c r="O235" s="161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</row>
    <row r="236">
      <c r="A236" s="118"/>
      <c r="B236" s="118"/>
      <c r="C236" s="118"/>
      <c r="D236" s="118"/>
      <c r="E236" s="118"/>
      <c r="F236" s="118"/>
      <c r="G236" s="118"/>
      <c r="H236" s="100"/>
      <c r="I236" s="100"/>
      <c r="J236" s="118"/>
      <c r="K236" s="118"/>
      <c r="L236" s="118"/>
      <c r="M236" s="118"/>
      <c r="N236" s="164"/>
      <c r="O236" s="161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</row>
    <row r="237">
      <c r="A237" s="118"/>
      <c r="B237" s="118"/>
      <c r="C237" s="118"/>
      <c r="D237" s="118"/>
      <c r="E237" s="118"/>
      <c r="F237" s="118"/>
      <c r="G237" s="118"/>
      <c r="H237" s="100"/>
      <c r="I237" s="100"/>
      <c r="J237" s="118"/>
      <c r="K237" s="118"/>
      <c r="L237" s="118"/>
      <c r="M237" s="118"/>
      <c r="N237" s="164"/>
      <c r="O237" s="161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</row>
    <row r="238">
      <c r="A238" s="118"/>
      <c r="B238" s="118"/>
      <c r="C238" s="118"/>
      <c r="D238" s="118"/>
      <c r="E238" s="118"/>
      <c r="F238" s="118"/>
      <c r="G238" s="118"/>
      <c r="H238" s="100"/>
      <c r="I238" s="100"/>
      <c r="J238" s="118"/>
      <c r="K238" s="118"/>
      <c r="L238" s="118"/>
      <c r="M238" s="118"/>
      <c r="N238" s="164"/>
      <c r="O238" s="161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</row>
    <row r="239">
      <c r="A239" s="118"/>
      <c r="B239" s="118"/>
      <c r="C239" s="118"/>
      <c r="D239" s="118"/>
      <c r="E239" s="118"/>
      <c r="F239" s="118"/>
      <c r="G239" s="118"/>
      <c r="H239" s="100"/>
      <c r="I239" s="100"/>
      <c r="J239" s="118"/>
      <c r="K239" s="118"/>
      <c r="L239" s="118"/>
      <c r="M239" s="118"/>
      <c r="N239" s="164"/>
      <c r="O239" s="161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</row>
    <row r="240">
      <c r="A240" s="118"/>
      <c r="B240" s="118"/>
      <c r="C240" s="118"/>
      <c r="D240" s="118"/>
      <c r="E240" s="118"/>
      <c r="F240" s="118"/>
      <c r="G240" s="118"/>
      <c r="H240" s="100"/>
      <c r="I240" s="100"/>
      <c r="J240" s="118"/>
      <c r="K240" s="118"/>
      <c r="L240" s="118"/>
      <c r="M240" s="118"/>
      <c r="N240" s="164"/>
      <c r="O240" s="161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</row>
    <row r="241">
      <c r="A241" s="118"/>
      <c r="B241" s="118"/>
      <c r="C241" s="118"/>
      <c r="D241" s="118"/>
      <c r="E241" s="118"/>
      <c r="F241" s="118"/>
      <c r="G241" s="118"/>
      <c r="H241" s="100"/>
      <c r="I241" s="100"/>
      <c r="J241" s="118"/>
      <c r="K241" s="118"/>
      <c r="L241" s="118"/>
      <c r="M241" s="118"/>
      <c r="N241" s="164"/>
      <c r="O241" s="161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</row>
    <row r="242">
      <c r="A242" s="118"/>
      <c r="B242" s="118"/>
      <c r="C242" s="118"/>
      <c r="D242" s="118"/>
      <c r="E242" s="118"/>
      <c r="F242" s="118"/>
      <c r="G242" s="118"/>
      <c r="H242" s="100"/>
      <c r="I242" s="100"/>
      <c r="J242" s="118"/>
      <c r="K242" s="118"/>
      <c r="L242" s="118"/>
      <c r="M242" s="118"/>
      <c r="N242" s="164"/>
      <c r="O242" s="161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</row>
    <row r="243">
      <c r="A243" s="118"/>
      <c r="B243" s="118"/>
      <c r="C243" s="118"/>
      <c r="D243" s="118"/>
      <c r="E243" s="118"/>
      <c r="F243" s="118"/>
      <c r="G243" s="118"/>
      <c r="H243" s="100"/>
      <c r="I243" s="100"/>
      <c r="J243" s="118"/>
      <c r="K243" s="118"/>
      <c r="L243" s="118"/>
      <c r="M243" s="118"/>
      <c r="N243" s="164"/>
      <c r="O243" s="161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</row>
    <row r="244">
      <c r="A244" s="118"/>
      <c r="B244" s="118"/>
      <c r="C244" s="118"/>
      <c r="D244" s="118"/>
      <c r="E244" s="118"/>
      <c r="F244" s="118"/>
      <c r="G244" s="118"/>
      <c r="H244" s="100"/>
      <c r="I244" s="100"/>
      <c r="J244" s="118"/>
      <c r="K244" s="118"/>
      <c r="L244" s="118"/>
      <c r="M244" s="118"/>
      <c r="N244" s="164"/>
      <c r="O244" s="161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</row>
    <row r="245">
      <c r="A245" s="118"/>
      <c r="B245" s="118"/>
      <c r="C245" s="118"/>
      <c r="D245" s="118"/>
      <c r="E245" s="118"/>
      <c r="F245" s="118"/>
      <c r="G245" s="118"/>
      <c r="H245" s="100"/>
      <c r="I245" s="100"/>
      <c r="J245" s="118"/>
      <c r="K245" s="118"/>
      <c r="L245" s="118"/>
      <c r="M245" s="118"/>
      <c r="N245" s="164"/>
      <c r="O245" s="161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/>
      <c r="AR245" s="118"/>
      <c r="AS245" s="118"/>
    </row>
    <row r="246">
      <c r="A246" s="118"/>
      <c r="B246" s="118"/>
      <c r="C246" s="118"/>
      <c r="D246" s="118"/>
      <c r="E246" s="118"/>
      <c r="F246" s="118"/>
      <c r="G246" s="118"/>
      <c r="H246" s="100"/>
      <c r="I246" s="100"/>
      <c r="J246" s="118"/>
      <c r="K246" s="118"/>
      <c r="L246" s="118"/>
      <c r="M246" s="118"/>
      <c r="N246" s="164"/>
      <c r="O246" s="161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</row>
    <row r="247">
      <c r="A247" s="118"/>
      <c r="B247" s="118"/>
      <c r="C247" s="118"/>
      <c r="D247" s="118"/>
      <c r="E247" s="118"/>
      <c r="F247" s="118"/>
      <c r="G247" s="118"/>
      <c r="H247" s="100"/>
      <c r="I247" s="100"/>
      <c r="J247" s="118"/>
      <c r="K247" s="118"/>
      <c r="L247" s="118"/>
      <c r="M247" s="118"/>
      <c r="N247" s="164"/>
      <c r="O247" s="161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</row>
    <row r="248">
      <c r="A248" s="118"/>
      <c r="B248" s="118"/>
      <c r="C248" s="118"/>
      <c r="D248" s="118"/>
      <c r="E248" s="118"/>
      <c r="F248" s="118"/>
      <c r="G248" s="118"/>
      <c r="H248" s="100"/>
      <c r="I248" s="100"/>
      <c r="J248" s="118"/>
      <c r="K248" s="118"/>
      <c r="L248" s="118"/>
      <c r="M248" s="118"/>
      <c r="N248" s="164"/>
      <c r="O248" s="161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</row>
    <row r="249">
      <c r="A249" s="118"/>
      <c r="B249" s="118"/>
      <c r="C249" s="118"/>
      <c r="D249" s="118"/>
      <c r="E249" s="118"/>
      <c r="F249" s="118"/>
      <c r="G249" s="118"/>
      <c r="H249" s="100"/>
      <c r="I249" s="100"/>
      <c r="J249" s="118"/>
      <c r="K249" s="118"/>
      <c r="L249" s="118"/>
      <c r="M249" s="118"/>
      <c r="N249" s="164"/>
      <c r="O249" s="161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AQ249" s="118"/>
      <c r="AR249" s="118"/>
      <c r="AS249" s="118"/>
    </row>
    <row r="250">
      <c r="A250" s="118"/>
      <c r="B250" s="118"/>
      <c r="C250" s="118"/>
      <c r="D250" s="118"/>
      <c r="E250" s="118"/>
      <c r="F250" s="118"/>
      <c r="G250" s="118"/>
      <c r="H250" s="100"/>
      <c r="I250" s="100"/>
      <c r="J250" s="118"/>
      <c r="K250" s="118"/>
      <c r="L250" s="118"/>
      <c r="M250" s="118"/>
      <c r="N250" s="164"/>
      <c r="O250" s="161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</row>
    <row r="251">
      <c r="A251" s="118"/>
      <c r="B251" s="118"/>
      <c r="C251" s="118"/>
      <c r="D251" s="118"/>
      <c r="E251" s="118"/>
      <c r="F251" s="118"/>
      <c r="G251" s="118"/>
      <c r="H251" s="100"/>
      <c r="I251" s="100"/>
      <c r="J251" s="118"/>
      <c r="K251" s="118"/>
      <c r="L251" s="118"/>
      <c r="M251" s="118"/>
      <c r="N251" s="164"/>
      <c r="O251" s="161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/>
      <c r="AS251" s="118"/>
    </row>
    <row r="252">
      <c r="A252" s="118"/>
      <c r="B252" s="118"/>
      <c r="C252" s="118"/>
      <c r="D252" s="118"/>
      <c r="E252" s="118"/>
      <c r="F252" s="118"/>
      <c r="G252" s="118"/>
      <c r="H252" s="100"/>
      <c r="I252" s="100"/>
      <c r="J252" s="118"/>
      <c r="K252" s="118"/>
      <c r="L252" s="118"/>
      <c r="M252" s="118"/>
      <c r="N252" s="164"/>
      <c r="O252" s="161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AQ252" s="118"/>
      <c r="AR252" s="118"/>
      <c r="AS252" s="118"/>
    </row>
    <row r="253">
      <c r="A253" s="118"/>
      <c r="B253" s="118"/>
      <c r="C253" s="118"/>
      <c r="D253" s="118"/>
      <c r="E253" s="118"/>
      <c r="F253" s="118"/>
      <c r="G253" s="118"/>
      <c r="H253" s="100"/>
      <c r="I253" s="100"/>
      <c r="J253" s="118"/>
      <c r="K253" s="118"/>
      <c r="L253" s="118"/>
      <c r="M253" s="118"/>
      <c r="N253" s="164"/>
      <c r="O253" s="161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</row>
    <row r="254">
      <c r="A254" s="118"/>
      <c r="B254" s="118"/>
      <c r="C254" s="118"/>
      <c r="D254" s="118"/>
      <c r="E254" s="118"/>
      <c r="F254" s="118"/>
      <c r="G254" s="118"/>
      <c r="H254" s="100"/>
      <c r="I254" s="100"/>
      <c r="J254" s="118"/>
      <c r="K254" s="118"/>
      <c r="L254" s="118"/>
      <c r="M254" s="118"/>
      <c r="N254" s="164"/>
      <c r="O254" s="161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</row>
    <row r="255">
      <c r="A255" s="118"/>
      <c r="B255" s="118"/>
      <c r="C255" s="118"/>
      <c r="D255" s="118"/>
      <c r="E255" s="118"/>
      <c r="F255" s="118"/>
      <c r="G255" s="118"/>
      <c r="H255" s="100"/>
      <c r="I255" s="100"/>
      <c r="J255" s="118"/>
      <c r="K255" s="118"/>
      <c r="L255" s="118"/>
      <c r="M255" s="118"/>
      <c r="N255" s="164"/>
      <c r="O255" s="161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</row>
    <row r="256">
      <c r="A256" s="118"/>
      <c r="B256" s="118"/>
      <c r="C256" s="118"/>
      <c r="D256" s="118"/>
      <c r="E256" s="118"/>
      <c r="F256" s="118"/>
      <c r="G256" s="118"/>
      <c r="H256" s="100"/>
      <c r="I256" s="100"/>
      <c r="J256" s="118"/>
      <c r="K256" s="118"/>
      <c r="L256" s="118"/>
      <c r="M256" s="118"/>
      <c r="N256" s="164"/>
      <c r="O256" s="161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</row>
    <row r="257">
      <c r="A257" s="118"/>
      <c r="B257" s="118"/>
      <c r="C257" s="118"/>
      <c r="D257" s="118"/>
      <c r="E257" s="118"/>
      <c r="F257" s="118"/>
      <c r="G257" s="118"/>
      <c r="H257" s="100"/>
      <c r="I257" s="100"/>
      <c r="J257" s="118"/>
      <c r="K257" s="118"/>
      <c r="L257" s="118"/>
      <c r="M257" s="118"/>
      <c r="N257" s="164"/>
      <c r="O257" s="161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</row>
    <row r="258">
      <c r="A258" s="118"/>
      <c r="B258" s="118"/>
      <c r="C258" s="118"/>
      <c r="D258" s="118"/>
      <c r="E258" s="118"/>
      <c r="F258" s="118"/>
      <c r="G258" s="118"/>
      <c r="H258" s="100"/>
      <c r="I258" s="100"/>
      <c r="J258" s="118"/>
      <c r="K258" s="118"/>
      <c r="L258" s="118"/>
      <c r="M258" s="118"/>
      <c r="N258" s="164"/>
      <c r="O258" s="161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</row>
    <row r="259">
      <c r="A259" s="118"/>
      <c r="B259" s="118"/>
      <c r="C259" s="118"/>
      <c r="D259" s="118"/>
      <c r="E259" s="118"/>
      <c r="F259" s="118"/>
      <c r="G259" s="118"/>
      <c r="H259" s="100"/>
      <c r="I259" s="100"/>
      <c r="J259" s="118"/>
      <c r="K259" s="118"/>
      <c r="L259" s="118"/>
      <c r="M259" s="118"/>
      <c r="N259" s="164"/>
      <c r="O259" s="161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/>
      <c r="AR259" s="118"/>
      <c r="AS259" s="118"/>
    </row>
    <row r="260">
      <c r="A260" s="118"/>
      <c r="B260" s="118"/>
      <c r="C260" s="118"/>
      <c r="D260" s="118"/>
      <c r="E260" s="118"/>
      <c r="F260" s="118"/>
      <c r="G260" s="118"/>
      <c r="H260" s="100"/>
      <c r="I260" s="100"/>
      <c r="J260" s="118"/>
      <c r="K260" s="118"/>
      <c r="L260" s="118"/>
      <c r="M260" s="118"/>
      <c r="N260" s="164"/>
      <c r="O260" s="161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</row>
    <row r="261">
      <c r="A261" s="118"/>
      <c r="B261" s="118"/>
      <c r="C261" s="118"/>
      <c r="D261" s="118"/>
      <c r="E261" s="118"/>
      <c r="F261" s="118"/>
      <c r="G261" s="118"/>
      <c r="H261" s="100"/>
      <c r="I261" s="100"/>
      <c r="J261" s="118"/>
      <c r="K261" s="118"/>
      <c r="L261" s="118"/>
      <c r="M261" s="118"/>
      <c r="N261" s="164"/>
      <c r="O261" s="161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AQ261" s="118"/>
      <c r="AR261" s="118"/>
      <c r="AS261" s="118"/>
    </row>
    <row r="262">
      <c r="A262" s="118"/>
      <c r="B262" s="118"/>
      <c r="C262" s="118"/>
      <c r="D262" s="118"/>
      <c r="E262" s="118"/>
      <c r="F262" s="118"/>
      <c r="G262" s="118"/>
      <c r="H262" s="100"/>
      <c r="I262" s="100"/>
      <c r="J262" s="118"/>
      <c r="K262" s="118"/>
      <c r="L262" s="118"/>
      <c r="M262" s="118"/>
      <c r="N262" s="164"/>
      <c r="O262" s="161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118"/>
      <c r="AQ262" s="118"/>
      <c r="AR262" s="118"/>
      <c r="AS262" s="118"/>
    </row>
    <row r="263">
      <c r="A263" s="118"/>
      <c r="B263" s="118"/>
      <c r="C263" s="118"/>
      <c r="D263" s="118"/>
      <c r="E263" s="118"/>
      <c r="F263" s="118"/>
      <c r="G263" s="118"/>
      <c r="H263" s="100"/>
      <c r="I263" s="100"/>
      <c r="J263" s="118"/>
      <c r="K263" s="118"/>
      <c r="L263" s="118"/>
      <c r="M263" s="118"/>
      <c r="N263" s="164"/>
      <c r="O263" s="161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  <c r="AL263" s="118"/>
      <c r="AM263" s="118"/>
      <c r="AN263" s="118"/>
      <c r="AO263" s="118"/>
      <c r="AP263" s="118"/>
      <c r="AQ263" s="118"/>
      <c r="AR263" s="118"/>
      <c r="AS263" s="118"/>
    </row>
    <row r="264">
      <c r="A264" s="118"/>
      <c r="B264" s="118"/>
      <c r="C264" s="118"/>
      <c r="D264" s="118"/>
      <c r="E264" s="118"/>
      <c r="F264" s="118"/>
      <c r="G264" s="118"/>
      <c r="H264" s="100"/>
      <c r="I264" s="100"/>
      <c r="J264" s="118"/>
      <c r="K264" s="118"/>
      <c r="L264" s="118"/>
      <c r="M264" s="118"/>
      <c r="N264" s="164"/>
      <c r="O264" s="161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AQ264" s="118"/>
      <c r="AR264" s="118"/>
      <c r="AS264" s="118"/>
    </row>
    <row r="265">
      <c r="A265" s="118"/>
      <c r="B265" s="118"/>
      <c r="C265" s="118"/>
      <c r="D265" s="118"/>
      <c r="E265" s="118"/>
      <c r="F265" s="118"/>
      <c r="G265" s="118"/>
      <c r="H265" s="100"/>
      <c r="I265" s="100"/>
      <c r="J265" s="118"/>
      <c r="K265" s="118"/>
      <c r="L265" s="118"/>
      <c r="M265" s="118"/>
      <c r="N265" s="164"/>
      <c r="O265" s="161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AQ265" s="118"/>
      <c r="AR265" s="118"/>
      <c r="AS265" s="118"/>
    </row>
    <row r="266">
      <c r="A266" s="118"/>
      <c r="B266" s="118"/>
      <c r="C266" s="118"/>
      <c r="D266" s="118"/>
      <c r="E266" s="118"/>
      <c r="F266" s="118"/>
      <c r="G266" s="118"/>
      <c r="H266" s="100"/>
      <c r="I266" s="100"/>
      <c r="J266" s="118"/>
      <c r="K266" s="118"/>
      <c r="L266" s="118"/>
      <c r="M266" s="118"/>
      <c r="N266" s="164"/>
      <c r="O266" s="161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AQ266" s="118"/>
      <c r="AR266" s="118"/>
      <c r="AS266" s="118"/>
    </row>
    <row r="267">
      <c r="A267" s="118"/>
      <c r="B267" s="118"/>
      <c r="C267" s="118"/>
      <c r="D267" s="118"/>
      <c r="E267" s="118"/>
      <c r="F267" s="118"/>
      <c r="G267" s="118"/>
      <c r="H267" s="100"/>
      <c r="I267" s="100"/>
      <c r="J267" s="118"/>
      <c r="K267" s="118"/>
      <c r="L267" s="118"/>
      <c r="M267" s="118"/>
      <c r="N267" s="164"/>
      <c r="O267" s="161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AQ267" s="118"/>
      <c r="AR267" s="118"/>
      <c r="AS267" s="118"/>
    </row>
    <row r="268">
      <c r="A268" s="118"/>
      <c r="B268" s="118"/>
      <c r="C268" s="118"/>
      <c r="D268" s="118"/>
      <c r="E268" s="118"/>
      <c r="F268" s="118"/>
      <c r="G268" s="118"/>
      <c r="H268" s="100"/>
      <c r="I268" s="100"/>
      <c r="J268" s="118"/>
      <c r="K268" s="118"/>
      <c r="L268" s="118"/>
      <c r="M268" s="118"/>
      <c r="N268" s="164"/>
      <c r="O268" s="161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AQ268" s="118"/>
      <c r="AR268" s="118"/>
      <c r="AS268" s="118"/>
    </row>
    <row r="269">
      <c r="A269" s="118"/>
      <c r="B269" s="118"/>
      <c r="C269" s="118"/>
      <c r="D269" s="118"/>
      <c r="E269" s="118"/>
      <c r="F269" s="118"/>
      <c r="G269" s="118"/>
      <c r="H269" s="100"/>
      <c r="I269" s="100"/>
      <c r="J269" s="118"/>
      <c r="K269" s="118"/>
      <c r="L269" s="118"/>
      <c r="M269" s="118"/>
      <c r="N269" s="164"/>
      <c r="O269" s="161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AQ269" s="118"/>
      <c r="AR269" s="118"/>
      <c r="AS269" s="118"/>
    </row>
    <row r="270">
      <c r="A270" s="118"/>
      <c r="B270" s="118"/>
      <c r="C270" s="118"/>
      <c r="D270" s="118"/>
      <c r="E270" s="118"/>
      <c r="F270" s="118"/>
      <c r="G270" s="118"/>
      <c r="H270" s="100"/>
      <c r="I270" s="100"/>
      <c r="J270" s="118"/>
      <c r="K270" s="118"/>
      <c r="L270" s="118"/>
      <c r="M270" s="118"/>
      <c r="N270" s="164"/>
      <c r="O270" s="161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AQ270" s="118"/>
      <c r="AR270" s="118"/>
      <c r="AS270" s="118"/>
    </row>
    <row r="271">
      <c r="A271" s="118"/>
      <c r="B271" s="118"/>
      <c r="C271" s="118"/>
      <c r="D271" s="118"/>
      <c r="E271" s="118"/>
      <c r="F271" s="118"/>
      <c r="G271" s="118"/>
      <c r="H271" s="100"/>
      <c r="I271" s="100"/>
      <c r="J271" s="118"/>
      <c r="K271" s="118"/>
      <c r="L271" s="118"/>
      <c r="M271" s="118"/>
      <c r="N271" s="164"/>
      <c r="O271" s="161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</row>
    <row r="272">
      <c r="A272" s="118"/>
      <c r="B272" s="118"/>
      <c r="C272" s="118"/>
      <c r="D272" s="118"/>
      <c r="E272" s="118"/>
      <c r="F272" s="118"/>
      <c r="G272" s="118"/>
      <c r="H272" s="100"/>
      <c r="I272" s="100"/>
      <c r="J272" s="118"/>
      <c r="K272" s="118"/>
      <c r="L272" s="118"/>
      <c r="M272" s="118"/>
      <c r="N272" s="164"/>
      <c r="O272" s="161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H272" s="118"/>
      <c r="AI272" s="118"/>
      <c r="AJ272" s="118"/>
      <c r="AK272" s="118"/>
      <c r="AL272" s="118"/>
      <c r="AM272" s="118"/>
      <c r="AN272" s="118"/>
      <c r="AO272" s="118"/>
      <c r="AP272" s="118"/>
      <c r="AQ272" s="118"/>
      <c r="AR272" s="118"/>
      <c r="AS272" s="118"/>
    </row>
    <row r="273">
      <c r="A273" s="118"/>
      <c r="B273" s="118"/>
      <c r="C273" s="118"/>
      <c r="D273" s="118"/>
      <c r="E273" s="118"/>
      <c r="F273" s="118"/>
      <c r="G273" s="118"/>
      <c r="H273" s="100"/>
      <c r="I273" s="100"/>
      <c r="J273" s="118"/>
      <c r="K273" s="118"/>
      <c r="L273" s="118"/>
      <c r="M273" s="118"/>
      <c r="N273" s="164"/>
      <c r="O273" s="161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8"/>
      <c r="AJ273" s="118"/>
      <c r="AK273" s="118"/>
      <c r="AL273" s="118"/>
      <c r="AM273" s="118"/>
      <c r="AN273" s="118"/>
      <c r="AO273" s="118"/>
      <c r="AP273" s="118"/>
      <c r="AQ273" s="118"/>
      <c r="AR273" s="118"/>
      <c r="AS273" s="118"/>
    </row>
    <row r="274">
      <c r="A274" s="118"/>
      <c r="B274" s="118"/>
      <c r="C274" s="118"/>
      <c r="D274" s="118"/>
      <c r="E274" s="118"/>
      <c r="F274" s="118"/>
      <c r="G274" s="118"/>
      <c r="H274" s="100"/>
      <c r="I274" s="100"/>
      <c r="J274" s="118"/>
      <c r="K274" s="118"/>
      <c r="L274" s="118"/>
      <c r="M274" s="118"/>
      <c r="N274" s="164"/>
      <c r="O274" s="161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8"/>
      <c r="AJ274" s="118"/>
      <c r="AK274" s="118"/>
      <c r="AL274" s="118"/>
      <c r="AM274" s="118"/>
      <c r="AN274" s="118"/>
      <c r="AO274" s="118"/>
      <c r="AP274" s="118"/>
      <c r="AQ274" s="118"/>
      <c r="AR274" s="118"/>
      <c r="AS274" s="118"/>
    </row>
    <row r="275">
      <c r="A275" s="118"/>
      <c r="B275" s="118"/>
      <c r="C275" s="118"/>
      <c r="D275" s="118"/>
      <c r="E275" s="118"/>
      <c r="F275" s="118"/>
      <c r="G275" s="118"/>
      <c r="H275" s="100"/>
      <c r="I275" s="100"/>
      <c r="J275" s="118"/>
      <c r="K275" s="118"/>
      <c r="L275" s="118"/>
      <c r="M275" s="118"/>
      <c r="N275" s="164"/>
      <c r="O275" s="161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8"/>
      <c r="AJ275" s="118"/>
      <c r="AK275" s="118"/>
      <c r="AL275" s="118"/>
      <c r="AM275" s="118"/>
      <c r="AN275" s="118"/>
      <c r="AO275" s="118"/>
      <c r="AP275" s="118"/>
      <c r="AQ275" s="118"/>
      <c r="AR275" s="118"/>
      <c r="AS275" s="118"/>
    </row>
    <row r="276">
      <c r="A276" s="118"/>
      <c r="B276" s="118"/>
      <c r="C276" s="118"/>
      <c r="D276" s="118"/>
      <c r="E276" s="118"/>
      <c r="F276" s="118"/>
      <c r="G276" s="118"/>
      <c r="H276" s="100"/>
      <c r="I276" s="100"/>
      <c r="J276" s="118"/>
      <c r="K276" s="118"/>
      <c r="L276" s="118"/>
      <c r="M276" s="118"/>
      <c r="N276" s="164"/>
      <c r="O276" s="161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8"/>
      <c r="AJ276" s="118"/>
      <c r="AK276" s="118"/>
      <c r="AL276" s="118"/>
      <c r="AM276" s="118"/>
      <c r="AN276" s="118"/>
      <c r="AO276" s="118"/>
      <c r="AP276" s="118"/>
      <c r="AQ276" s="118"/>
      <c r="AR276" s="118"/>
      <c r="AS276" s="118"/>
    </row>
    <row r="277">
      <c r="A277" s="118"/>
      <c r="B277" s="118"/>
      <c r="C277" s="118"/>
      <c r="D277" s="118"/>
      <c r="E277" s="118"/>
      <c r="F277" s="118"/>
      <c r="G277" s="118"/>
      <c r="H277" s="100"/>
      <c r="I277" s="100"/>
      <c r="J277" s="118"/>
      <c r="K277" s="118"/>
      <c r="L277" s="118"/>
      <c r="M277" s="118"/>
      <c r="N277" s="164"/>
      <c r="O277" s="161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8"/>
      <c r="AJ277" s="118"/>
      <c r="AK277" s="118"/>
      <c r="AL277" s="118"/>
      <c r="AM277" s="118"/>
      <c r="AN277" s="118"/>
      <c r="AO277" s="118"/>
      <c r="AP277" s="118"/>
      <c r="AQ277" s="118"/>
      <c r="AR277" s="118"/>
      <c r="AS277" s="118"/>
    </row>
    <row r="278">
      <c r="A278" s="118"/>
      <c r="B278" s="118"/>
      <c r="C278" s="118"/>
      <c r="D278" s="118"/>
      <c r="E278" s="118"/>
      <c r="F278" s="118"/>
      <c r="G278" s="118"/>
      <c r="H278" s="100"/>
      <c r="I278" s="100"/>
      <c r="J278" s="118"/>
      <c r="K278" s="118"/>
      <c r="L278" s="118"/>
      <c r="M278" s="118"/>
      <c r="N278" s="164"/>
      <c r="O278" s="161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/>
    </row>
    <row r="279">
      <c r="A279" s="118"/>
      <c r="B279" s="118"/>
      <c r="C279" s="118"/>
      <c r="D279" s="118"/>
      <c r="E279" s="118"/>
      <c r="F279" s="118"/>
      <c r="G279" s="118"/>
      <c r="H279" s="100"/>
      <c r="I279" s="100"/>
      <c r="J279" s="118"/>
      <c r="K279" s="118"/>
      <c r="L279" s="118"/>
      <c r="M279" s="118"/>
      <c r="N279" s="164"/>
      <c r="O279" s="161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</row>
    <row r="280">
      <c r="A280" s="118"/>
      <c r="B280" s="118"/>
      <c r="C280" s="118"/>
      <c r="D280" s="118"/>
      <c r="E280" s="118"/>
      <c r="F280" s="118"/>
      <c r="G280" s="118"/>
      <c r="H280" s="100"/>
      <c r="I280" s="100"/>
      <c r="J280" s="118"/>
      <c r="K280" s="118"/>
      <c r="L280" s="118"/>
      <c r="M280" s="118"/>
      <c r="N280" s="164"/>
      <c r="O280" s="161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</row>
    <row r="281">
      <c r="A281" s="118"/>
      <c r="B281" s="118"/>
      <c r="C281" s="118"/>
      <c r="D281" s="118"/>
      <c r="E281" s="118"/>
      <c r="F281" s="118"/>
      <c r="G281" s="118"/>
      <c r="H281" s="100"/>
      <c r="I281" s="100"/>
      <c r="J281" s="118"/>
      <c r="K281" s="118"/>
      <c r="L281" s="118"/>
      <c r="M281" s="118"/>
      <c r="N281" s="164"/>
      <c r="O281" s="161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</row>
    <row r="282">
      <c r="A282" s="118"/>
      <c r="B282" s="118"/>
      <c r="C282" s="118"/>
      <c r="D282" s="118"/>
      <c r="E282" s="118"/>
      <c r="F282" s="118"/>
      <c r="G282" s="118"/>
      <c r="H282" s="100"/>
      <c r="I282" s="100"/>
      <c r="J282" s="118"/>
      <c r="K282" s="118"/>
      <c r="L282" s="118"/>
      <c r="M282" s="118"/>
      <c r="N282" s="164"/>
      <c r="O282" s="161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</row>
    <row r="283">
      <c r="A283" s="118"/>
      <c r="B283" s="118"/>
      <c r="C283" s="118"/>
      <c r="D283" s="118"/>
      <c r="E283" s="118"/>
      <c r="F283" s="118"/>
      <c r="G283" s="118"/>
      <c r="H283" s="100"/>
      <c r="I283" s="100"/>
      <c r="J283" s="118"/>
      <c r="K283" s="118"/>
      <c r="L283" s="118"/>
      <c r="M283" s="118"/>
      <c r="N283" s="164"/>
      <c r="O283" s="161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</row>
    <row r="284">
      <c r="A284" s="118"/>
      <c r="B284" s="118"/>
      <c r="C284" s="118"/>
      <c r="D284" s="118"/>
      <c r="E284" s="118"/>
      <c r="F284" s="118"/>
      <c r="G284" s="118"/>
      <c r="H284" s="100"/>
      <c r="I284" s="100"/>
      <c r="J284" s="118"/>
      <c r="K284" s="118"/>
      <c r="L284" s="118"/>
      <c r="M284" s="118"/>
      <c r="N284" s="164"/>
      <c r="O284" s="161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</row>
    <row r="285">
      <c r="A285" s="118"/>
      <c r="B285" s="118"/>
      <c r="C285" s="118"/>
      <c r="D285" s="118"/>
      <c r="E285" s="118"/>
      <c r="F285" s="118"/>
      <c r="G285" s="118"/>
      <c r="H285" s="100"/>
      <c r="I285" s="100"/>
      <c r="J285" s="118"/>
      <c r="K285" s="118"/>
      <c r="L285" s="118"/>
      <c r="M285" s="118"/>
      <c r="N285" s="164"/>
      <c r="O285" s="161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</row>
    <row r="286">
      <c r="A286" s="118"/>
      <c r="B286" s="118"/>
      <c r="C286" s="118"/>
      <c r="D286" s="118"/>
      <c r="E286" s="118"/>
      <c r="F286" s="118"/>
      <c r="G286" s="118"/>
      <c r="H286" s="100"/>
      <c r="I286" s="100"/>
      <c r="J286" s="118"/>
      <c r="K286" s="118"/>
      <c r="L286" s="118"/>
      <c r="M286" s="118"/>
      <c r="N286" s="164"/>
      <c r="O286" s="161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</row>
    <row r="287">
      <c r="A287" s="118"/>
      <c r="B287" s="118"/>
      <c r="C287" s="118"/>
      <c r="D287" s="118"/>
      <c r="E287" s="118"/>
      <c r="F287" s="118"/>
      <c r="G287" s="118"/>
      <c r="H287" s="100"/>
      <c r="I287" s="100"/>
      <c r="J287" s="118"/>
      <c r="K287" s="118"/>
      <c r="L287" s="118"/>
      <c r="M287" s="118"/>
      <c r="N287" s="164"/>
      <c r="O287" s="161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</row>
    <row r="288">
      <c r="A288" s="118"/>
      <c r="B288" s="118"/>
      <c r="C288" s="118"/>
      <c r="D288" s="118"/>
      <c r="E288" s="118"/>
      <c r="F288" s="118"/>
      <c r="G288" s="118"/>
      <c r="H288" s="100"/>
      <c r="I288" s="100"/>
      <c r="J288" s="118"/>
      <c r="K288" s="118"/>
      <c r="L288" s="118"/>
      <c r="M288" s="118"/>
      <c r="N288" s="164"/>
      <c r="O288" s="161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</row>
    <row r="289">
      <c r="A289" s="118"/>
      <c r="B289" s="118"/>
      <c r="C289" s="118"/>
      <c r="D289" s="118"/>
      <c r="E289" s="118"/>
      <c r="F289" s="118"/>
      <c r="G289" s="118"/>
      <c r="H289" s="100"/>
      <c r="I289" s="100"/>
      <c r="J289" s="118"/>
      <c r="K289" s="118"/>
      <c r="L289" s="118"/>
      <c r="M289" s="118"/>
      <c r="N289" s="164"/>
      <c r="O289" s="161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</row>
    <row r="290">
      <c r="A290" s="118"/>
      <c r="B290" s="118"/>
      <c r="C290" s="118"/>
      <c r="D290" s="118"/>
      <c r="E290" s="118"/>
      <c r="F290" s="118"/>
      <c r="G290" s="118"/>
      <c r="H290" s="100"/>
      <c r="I290" s="100"/>
      <c r="J290" s="118"/>
      <c r="K290" s="118"/>
      <c r="L290" s="118"/>
      <c r="M290" s="118"/>
      <c r="N290" s="164"/>
      <c r="O290" s="161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</row>
    <row r="291">
      <c r="A291" s="118"/>
      <c r="B291" s="118"/>
      <c r="C291" s="118"/>
      <c r="D291" s="118"/>
      <c r="E291" s="118"/>
      <c r="F291" s="118"/>
      <c r="G291" s="118"/>
      <c r="H291" s="100"/>
      <c r="I291" s="100"/>
      <c r="J291" s="118"/>
      <c r="K291" s="118"/>
      <c r="L291" s="118"/>
      <c r="M291" s="118"/>
      <c r="N291" s="164"/>
      <c r="O291" s="161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</row>
    <row r="292">
      <c r="A292" s="118"/>
      <c r="B292" s="118"/>
      <c r="C292" s="118"/>
      <c r="D292" s="118"/>
      <c r="E292" s="118"/>
      <c r="F292" s="118"/>
      <c r="G292" s="118"/>
      <c r="H292" s="100"/>
      <c r="I292" s="100"/>
      <c r="J292" s="118"/>
      <c r="K292" s="118"/>
      <c r="L292" s="118"/>
      <c r="M292" s="118"/>
      <c r="N292" s="164"/>
      <c r="O292" s="161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</row>
    <row r="293">
      <c r="A293" s="118"/>
      <c r="B293" s="118"/>
      <c r="C293" s="118"/>
      <c r="D293" s="118"/>
      <c r="E293" s="118"/>
      <c r="F293" s="118"/>
      <c r="G293" s="118"/>
      <c r="H293" s="100"/>
      <c r="I293" s="100"/>
      <c r="J293" s="118"/>
      <c r="K293" s="118"/>
      <c r="L293" s="118"/>
      <c r="M293" s="118"/>
      <c r="N293" s="164"/>
      <c r="O293" s="161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</row>
    <row r="294">
      <c r="A294" s="118"/>
      <c r="B294" s="118"/>
      <c r="C294" s="118"/>
      <c r="D294" s="118"/>
      <c r="E294" s="118"/>
      <c r="F294" s="118"/>
      <c r="G294" s="118"/>
      <c r="H294" s="100"/>
      <c r="I294" s="100"/>
      <c r="J294" s="118"/>
      <c r="K294" s="118"/>
      <c r="L294" s="118"/>
      <c r="M294" s="118"/>
      <c r="N294" s="164"/>
      <c r="O294" s="161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</row>
    <row r="295">
      <c r="A295" s="118"/>
      <c r="B295" s="118"/>
      <c r="C295" s="118"/>
      <c r="D295" s="118"/>
      <c r="E295" s="118"/>
      <c r="F295" s="118"/>
      <c r="G295" s="118"/>
      <c r="H295" s="100"/>
      <c r="I295" s="100"/>
      <c r="J295" s="118"/>
      <c r="K295" s="118"/>
      <c r="L295" s="118"/>
      <c r="M295" s="118"/>
      <c r="N295" s="164"/>
      <c r="O295" s="161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</row>
    <row r="296">
      <c r="A296" s="118"/>
      <c r="B296" s="118"/>
      <c r="C296" s="118"/>
      <c r="D296" s="118"/>
      <c r="E296" s="118"/>
      <c r="F296" s="118"/>
      <c r="G296" s="118"/>
      <c r="H296" s="100"/>
      <c r="I296" s="100"/>
      <c r="J296" s="118"/>
      <c r="K296" s="118"/>
      <c r="L296" s="118"/>
      <c r="M296" s="118"/>
      <c r="N296" s="164"/>
      <c r="O296" s="161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</row>
    <row r="297">
      <c r="A297" s="118"/>
      <c r="B297" s="118"/>
      <c r="C297" s="118"/>
      <c r="D297" s="118"/>
      <c r="E297" s="118"/>
      <c r="F297" s="118"/>
      <c r="G297" s="118"/>
      <c r="H297" s="100"/>
      <c r="I297" s="100"/>
      <c r="J297" s="118"/>
      <c r="K297" s="118"/>
      <c r="L297" s="118"/>
      <c r="M297" s="118"/>
      <c r="N297" s="164"/>
      <c r="O297" s="161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</row>
    <row r="298">
      <c r="A298" s="118"/>
      <c r="B298" s="118"/>
      <c r="C298" s="118"/>
      <c r="D298" s="118"/>
      <c r="E298" s="118"/>
      <c r="F298" s="118"/>
      <c r="G298" s="118"/>
      <c r="H298" s="100"/>
      <c r="I298" s="100"/>
      <c r="J298" s="118"/>
      <c r="K298" s="118"/>
      <c r="L298" s="118"/>
      <c r="M298" s="118"/>
      <c r="N298" s="164"/>
      <c r="O298" s="161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  <c r="AL298" s="118"/>
      <c r="AM298" s="118"/>
      <c r="AN298" s="118"/>
      <c r="AO298" s="118"/>
      <c r="AP298" s="118"/>
      <c r="AQ298" s="118"/>
      <c r="AR298" s="118"/>
      <c r="AS298" s="118"/>
    </row>
    <row r="299">
      <c r="A299" s="118"/>
      <c r="B299" s="118"/>
      <c r="C299" s="118"/>
      <c r="D299" s="118"/>
      <c r="E299" s="118"/>
      <c r="F299" s="118"/>
      <c r="G299" s="118"/>
      <c r="H299" s="100"/>
      <c r="I299" s="100"/>
      <c r="J299" s="118"/>
      <c r="K299" s="118"/>
      <c r="L299" s="118"/>
      <c r="M299" s="118"/>
      <c r="N299" s="164"/>
      <c r="O299" s="161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  <c r="AL299" s="118"/>
      <c r="AM299" s="118"/>
      <c r="AN299" s="118"/>
      <c r="AO299" s="118"/>
      <c r="AP299" s="118"/>
      <c r="AQ299" s="118"/>
      <c r="AR299" s="118"/>
      <c r="AS299" s="118"/>
    </row>
    <row r="300">
      <c r="A300" s="118"/>
      <c r="B300" s="118"/>
      <c r="C300" s="118"/>
      <c r="D300" s="118"/>
      <c r="E300" s="118"/>
      <c r="F300" s="118"/>
      <c r="G300" s="118"/>
      <c r="H300" s="100"/>
      <c r="I300" s="100"/>
      <c r="J300" s="118"/>
      <c r="K300" s="118"/>
      <c r="L300" s="118"/>
      <c r="M300" s="118"/>
      <c r="N300" s="164"/>
      <c r="O300" s="161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  <c r="AL300" s="118"/>
      <c r="AM300" s="118"/>
      <c r="AN300" s="118"/>
      <c r="AO300" s="118"/>
      <c r="AP300" s="118"/>
      <c r="AQ300" s="118"/>
      <c r="AR300" s="118"/>
      <c r="AS300" s="118"/>
    </row>
    <row r="301">
      <c r="A301" s="118"/>
      <c r="B301" s="118"/>
      <c r="C301" s="118"/>
      <c r="D301" s="118"/>
      <c r="E301" s="118"/>
      <c r="F301" s="118"/>
      <c r="G301" s="118"/>
      <c r="H301" s="100"/>
      <c r="I301" s="100"/>
      <c r="J301" s="118"/>
      <c r="K301" s="118"/>
      <c r="L301" s="118"/>
      <c r="M301" s="118"/>
      <c r="N301" s="164"/>
      <c r="O301" s="161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/>
      <c r="AO301" s="118"/>
      <c r="AP301" s="118"/>
      <c r="AQ301" s="118"/>
      <c r="AR301" s="118"/>
      <c r="AS301" s="118"/>
    </row>
    <row r="302">
      <c r="A302" s="118"/>
      <c r="B302" s="118"/>
      <c r="C302" s="118"/>
      <c r="D302" s="118"/>
      <c r="E302" s="118"/>
      <c r="F302" s="118"/>
      <c r="G302" s="118"/>
      <c r="H302" s="100"/>
      <c r="I302" s="100"/>
      <c r="J302" s="118"/>
      <c r="K302" s="118"/>
      <c r="L302" s="118"/>
      <c r="M302" s="118"/>
      <c r="N302" s="164"/>
      <c r="O302" s="161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  <c r="AL302" s="118"/>
      <c r="AM302" s="118"/>
      <c r="AN302" s="118"/>
      <c r="AO302" s="118"/>
      <c r="AP302" s="118"/>
      <c r="AQ302" s="118"/>
      <c r="AR302" s="118"/>
      <c r="AS302" s="118"/>
    </row>
    <row r="303">
      <c r="A303" s="118"/>
      <c r="B303" s="118"/>
      <c r="C303" s="118"/>
      <c r="D303" s="118"/>
      <c r="E303" s="118"/>
      <c r="F303" s="118"/>
      <c r="G303" s="118"/>
      <c r="H303" s="100"/>
      <c r="I303" s="100"/>
      <c r="J303" s="118"/>
      <c r="K303" s="118"/>
      <c r="L303" s="118"/>
      <c r="M303" s="118"/>
      <c r="N303" s="164"/>
      <c r="O303" s="161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</row>
    <row r="304">
      <c r="A304" s="118"/>
      <c r="B304" s="118"/>
      <c r="C304" s="118"/>
      <c r="D304" s="118"/>
      <c r="E304" s="118"/>
      <c r="F304" s="118"/>
      <c r="G304" s="118"/>
      <c r="H304" s="100"/>
      <c r="I304" s="100"/>
      <c r="J304" s="118"/>
      <c r="K304" s="118"/>
      <c r="L304" s="118"/>
      <c r="M304" s="118"/>
      <c r="N304" s="164"/>
      <c r="O304" s="161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  <c r="AO304" s="118"/>
      <c r="AP304" s="118"/>
      <c r="AQ304" s="118"/>
      <c r="AR304" s="118"/>
      <c r="AS304" s="118"/>
    </row>
    <row r="305">
      <c r="A305" s="118"/>
      <c r="B305" s="118"/>
      <c r="C305" s="118"/>
      <c r="D305" s="118"/>
      <c r="E305" s="118"/>
      <c r="F305" s="118"/>
      <c r="G305" s="118"/>
      <c r="H305" s="100"/>
      <c r="I305" s="100"/>
      <c r="J305" s="118"/>
      <c r="K305" s="118"/>
      <c r="L305" s="118"/>
      <c r="M305" s="118"/>
      <c r="N305" s="164"/>
      <c r="O305" s="161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</row>
    <row r="306">
      <c r="A306" s="118"/>
      <c r="B306" s="118"/>
      <c r="C306" s="118"/>
      <c r="D306" s="118"/>
      <c r="E306" s="118"/>
      <c r="F306" s="118"/>
      <c r="G306" s="118"/>
      <c r="H306" s="100"/>
      <c r="I306" s="100"/>
      <c r="J306" s="118"/>
      <c r="K306" s="118"/>
      <c r="L306" s="118"/>
      <c r="M306" s="118"/>
      <c r="N306" s="164"/>
      <c r="O306" s="161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</row>
    <row r="307">
      <c r="A307" s="118"/>
      <c r="B307" s="118"/>
      <c r="C307" s="118"/>
      <c r="D307" s="118"/>
      <c r="E307" s="118"/>
      <c r="F307" s="118"/>
      <c r="G307" s="118"/>
      <c r="H307" s="100"/>
      <c r="I307" s="100"/>
      <c r="J307" s="118"/>
      <c r="K307" s="118"/>
      <c r="L307" s="118"/>
      <c r="M307" s="118"/>
      <c r="N307" s="164"/>
      <c r="O307" s="161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</row>
    <row r="308">
      <c r="A308" s="118"/>
      <c r="B308" s="118"/>
      <c r="C308" s="118"/>
      <c r="D308" s="118"/>
      <c r="E308" s="118"/>
      <c r="F308" s="118"/>
      <c r="G308" s="118"/>
      <c r="H308" s="100"/>
      <c r="I308" s="100"/>
      <c r="J308" s="118"/>
      <c r="K308" s="118"/>
      <c r="L308" s="118"/>
      <c r="M308" s="118"/>
      <c r="N308" s="164"/>
      <c r="O308" s="161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</row>
    <row r="309">
      <c r="A309" s="118"/>
      <c r="B309" s="118"/>
      <c r="C309" s="118"/>
      <c r="D309" s="118"/>
      <c r="E309" s="118"/>
      <c r="F309" s="118"/>
      <c r="G309" s="118"/>
      <c r="H309" s="100"/>
      <c r="I309" s="100"/>
      <c r="J309" s="118"/>
      <c r="K309" s="118"/>
      <c r="L309" s="118"/>
      <c r="M309" s="118"/>
      <c r="N309" s="164"/>
      <c r="O309" s="161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</row>
    <row r="310">
      <c r="A310" s="118"/>
      <c r="B310" s="118"/>
      <c r="C310" s="118"/>
      <c r="D310" s="118"/>
      <c r="E310" s="118"/>
      <c r="F310" s="118"/>
      <c r="G310" s="118"/>
      <c r="H310" s="100"/>
      <c r="I310" s="100"/>
      <c r="J310" s="118"/>
      <c r="K310" s="118"/>
      <c r="L310" s="118"/>
      <c r="M310" s="118"/>
      <c r="N310" s="164"/>
      <c r="O310" s="161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</row>
    <row r="311">
      <c r="A311" s="118"/>
      <c r="B311" s="118"/>
      <c r="C311" s="118"/>
      <c r="D311" s="118"/>
      <c r="E311" s="118"/>
      <c r="F311" s="118"/>
      <c r="G311" s="118"/>
      <c r="H311" s="100"/>
      <c r="I311" s="100"/>
      <c r="J311" s="118"/>
      <c r="K311" s="118"/>
      <c r="L311" s="118"/>
      <c r="M311" s="118"/>
      <c r="N311" s="164"/>
      <c r="O311" s="161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</row>
    <row r="312">
      <c r="A312" s="118"/>
      <c r="B312" s="118"/>
      <c r="C312" s="118"/>
      <c r="D312" s="118"/>
      <c r="E312" s="118"/>
      <c r="F312" s="118"/>
      <c r="G312" s="118"/>
      <c r="H312" s="100"/>
      <c r="I312" s="100"/>
      <c r="J312" s="118"/>
      <c r="K312" s="118"/>
      <c r="L312" s="118"/>
      <c r="M312" s="118"/>
      <c r="N312" s="164"/>
      <c r="O312" s="161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</row>
    <row r="313">
      <c r="A313" s="118"/>
      <c r="B313" s="118"/>
      <c r="C313" s="118"/>
      <c r="D313" s="118"/>
      <c r="E313" s="118"/>
      <c r="F313" s="118"/>
      <c r="G313" s="118"/>
      <c r="H313" s="100"/>
      <c r="I313" s="100"/>
      <c r="J313" s="118"/>
      <c r="K313" s="118"/>
      <c r="L313" s="118"/>
      <c r="M313" s="118"/>
      <c r="N313" s="164"/>
      <c r="O313" s="161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</row>
    <row r="314">
      <c r="A314" s="118"/>
      <c r="B314" s="118"/>
      <c r="C314" s="118"/>
      <c r="D314" s="118"/>
      <c r="E314" s="118"/>
      <c r="F314" s="118"/>
      <c r="G314" s="118"/>
      <c r="H314" s="100"/>
      <c r="I314" s="100"/>
      <c r="J314" s="118"/>
      <c r="K314" s="118"/>
      <c r="L314" s="118"/>
      <c r="M314" s="118"/>
      <c r="N314" s="164"/>
      <c r="O314" s="161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</row>
    <row r="315">
      <c r="A315" s="118"/>
      <c r="B315" s="118"/>
      <c r="C315" s="118"/>
      <c r="D315" s="118"/>
      <c r="E315" s="118"/>
      <c r="F315" s="118"/>
      <c r="G315" s="118"/>
      <c r="H315" s="100"/>
      <c r="I315" s="100"/>
      <c r="J315" s="118"/>
      <c r="K315" s="118"/>
      <c r="L315" s="118"/>
      <c r="M315" s="118"/>
      <c r="N315" s="164"/>
      <c r="O315" s="161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</row>
    <row r="316">
      <c r="A316" s="118"/>
      <c r="B316" s="118"/>
      <c r="C316" s="118"/>
      <c r="D316" s="118"/>
      <c r="E316" s="118"/>
      <c r="F316" s="118"/>
      <c r="G316" s="118"/>
      <c r="H316" s="100"/>
      <c r="I316" s="100"/>
      <c r="J316" s="118"/>
      <c r="K316" s="118"/>
      <c r="L316" s="118"/>
      <c r="M316" s="118"/>
      <c r="N316" s="164"/>
      <c r="O316" s="161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</row>
    <row r="317">
      <c r="A317" s="118"/>
      <c r="B317" s="118"/>
      <c r="C317" s="118"/>
      <c r="D317" s="118"/>
      <c r="E317" s="118"/>
      <c r="F317" s="118"/>
      <c r="G317" s="118"/>
      <c r="H317" s="100"/>
      <c r="I317" s="100"/>
      <c r="J317" s="118"/>
      <c r="K317" s="118"/>
      <c r="L317" s="118"/>
      <c r="M317" s="118"/>
      <c r="N317" s="164"/>
      <c r="O317" s="161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</row>
    <row r="318">
      <c r="A318" s="118"/>
      <c r="B318" s="118"/>
      <c r="C318" s="118"/>
      <c r="D318" s="118"/>
      <c r="E318" s="118"/>
      <c r="F318" s="118"/>
      <c r="G318" s="118"/>
      <c r="H318" s="100"/>
      <c r="I318" s="100"/>
      <c r="J318" s="118"/>
      <c r="K318" s="118"/>
      <c r="L318" s="118"/>
      <c r="M318" s="118"/>
      <c r="N318" s="164"/>
      <c r="O318" s="161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</row>
    <row r="319">
      <c r="A319" s="118"/>
      <c r="B319" s="118"/>
      <c r="C319" s="118"/>
      <c r="D319" s="118"/>
      <c r="E319" s="118"/>
      <c r="F319" s="118"/>
      <c r="G319" s="118"/>
      <c r="H319" s="100"/>
      <c r="I319" s="100"/>
      <c r="J319" s="118"/>
      <c r="K319" s="118"/>
      <c r="L319" s="118"/>
      <c r="M319" s="118"/>
      <c r="N319" s="164"/>
      <c r="O319" s="161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</row>
    <row r="320">
      <c r="A320" s="118"/>
      <c r="B320" s="118"/>
      <c r="C320" s="118"/>
      <c r="D320" s="118"/>
      <c r="E320" s="118"/>
      <c r="F320" s="118"/>
      <c r="G320" s="118"/>
      <c r="H320" s="100"/>
      <c r="I320" s="100"/>
      <c r="J320" s="118"/>
      <c r="K320" s="118"/>
      <c r="L320" s="118"/>
      <c r="M320" s="118"/>
      <c r="N320" s="164"/>
      <c r="O320" s="161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</row>
    <row r="321">
      <c r="A321" s="118"/>
      <c r="B321" s="118"/>
      <c r="C321" s="118"/>
      <c r="D321" s="118"/>
      <c r="E321" s="118"/>
      <c r="F321" s="118"/>
      <c r="G321" s="118"/>
      <c r="H321" s="100"/>
      <c r="I321" s="100"/>
      <c r="J321" s="118"/>
      <c r="K321" s="118"/>
      <c r="L321" s="118"/>
      <c r="M321" s="118"/>
      <c r="N321" s="164"/>
      <c r="O321" s="161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8"/>
      <c r="AJ321" s="118"/>
      <c r="AK321" s="118"/>
      <c r="AL321" s="118"/>
      <c r="AM321" s="118"/>
      <c r="AN321" s="118"/>
      <c r="AO321" s="118"/>
      <c r="AP321" s="118"/>
      <c r="AQ321" s="118"/>
      <c r="AR321" s="118"/>
      <c r="AS321" s="118"/>
    </row>
    <row r="322">
      <c r="A322" s="118"/>
      <c r="B322" s="118"/>
      <c r="C322" s="118"/>
      <c r="D322" s="118"/>
      <c r="E322" s="118"/>
      <c r="F322" s="118"/>
      <c r="G322" s="118"/>
      <c r="H322" s="100"/>
      <c r="I322" s="100"/>
      <c r="J322" s="118"/>
      <c r="K322" s="118"/>
      <c r="L322" s="118"/>
      <c r="M322" s="118"/>
      <c r="N322" s="164"/>
      <c r="O322" s="161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8"/>
      <c r="AJ322" s="118"/>
      <c r="AK322" s="118"/>
      <c r="AL322" s="118"/>
      <c r="AM322" s="118"/>
      <c r="AN322" s="118"/>
      <c r="AO322" s="118"/>
      <c r="AP322" s="118"/>
      <c r="AQ322" s="118"/>
      <c r="AR322" s="118"/>
      <c r="AS322" s="118"/>
    </row>
    <row r="323">
      <c r="A323" s="118"/>
      <c r="B323" s="118"/>
      <c r="C323" s="118"/>
      <c r="D323" s="118"/>
      <c r="E323" s="118"/>
      <c r="F323" s="118"/>
      <c r="G323" s="118"/>
      <c r="H323" s="100"/>
      <c r="I323" s="100"/>
      <c r="J323" s="118"/>
      <c r="K323" s="118"/>
      <c r="L323" s="118"/>
      <c r="M323" s="118"/>
      <c r="N323" s="164"/>
      <c r="O323" s="161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8"/>
      <c r="AJ323" s="118"/>
      <c r="AK323" s="118"/>
      <c r="AL323" s="118"/>
      <c r="AM323" s="118"/>
      <c r="AN323" s="118"/>
      <c r="AO323" s="118"/>
      <c r="AP323" s="118"/>
      <c r="AQ323" s="118"/>
      <c r="AR323" s="118"/>
      <c r="AS323" s="118"/>
    </row>
    <row r="324">
      <c r="A324" s="118"/>
      <c r="B324" s="118"/>
      <c r="C324" s="118"/>
      <c r="D324" s="118"/>
      <c r="E324" s="118"/>
      <c r="F324" s="118"/>
      <c r="G324" s="118"/>
      <c r="H324" s="100"/>
      <c r="I324" s="100"/>
      <c r="J324" s="118"/>
      <c r="K324" s="118"/>
      <c r="L324" s="118"/>
      <c r="M324" s="118"/>
      <c r="N324" s="164"/>
      <c r="O324" s="161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</row>
    <row r="325">
      <c r="A325" s="118"/>
      <c r="B325" s="118"/>
      <c r="C325" s="118"/>
      <c r="D325" s="118"/>
      <c r="E325" s="118"/>
      <c r="F325" s="118"/>
      <c r="G325" s="118"/>
      <c r="H325" s="100"/>
      <c r="I325" s="100"/>
      <c r="J325" s="118"/>
      <c r="K325" s="118"/>
      <c r="L325" s="118"/>
      <c r="M325" s="118"/>
      <c r="N325" s="164"/>
      <c r="O325" s="161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</row>
    <row r="326">
      <c r="A326" s="118"/>
      <c r="B326" s="118"/>
      <c r="C326" s="118"/>
      <c r="D326" s="118"/>
      <c r="E326" s="118"/>
      <c r="F326" s="118"/>
      <c r="G326" s="118"/>
      <c r="H326" s="100"/>
      <c r="I326" s="100"/>
      <c r="J326" s="118"/>
      <c r="K326" s="118"/>
      <c r="L326" s="118"/>
      <c r="M326" s="118"/>
      <c r="N326" s="164"/>
      <c r="O326" s="161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</row>
    <row r="327">
      <c r="A327" s="118"/>
      <c r="B327" s="118"/>
      <c r="C327" s="118"/>
      <c r="D327" s="118"/>
      <c r="E327" s="118"/>
      <c r="F327" s="118"/>
      <c r="G327" s="118"/>
      <c r="H327" s="100"/>
      <c r="I327" s="100"/>
      <c r="J327" s="118"/>
      <c r="K327" s="118"/>
      <c r="L327" s="118"/>
      <c r="M327" s="118"/>
      <c r="N327" s="164"/>
      <c r="O327" s="161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8"/>
      <c r="AJ327" s="118"/>
      <c r="AK327" s="118"/>
      <c r="AL327" s="118"/>
      <c r="AM327" s="118"/>
      <c r="AN327" s="118"/>
      <c r="AO327" s="118"/>
      <c r="AP327" s="118"/>
      <c r="AQ327" s="118"/>
      <c r="AR327" s="118"/>
      <c r="AS327" s="118"/>
    </row>
    <row r="328">
      <c r="A328" s="118"/>
      <c r="B328" s="118"/>
      <c r="C328" s="118"/>
      <c r="D328" s="118"/>
      <c r="E328" s="118"/>
      <c r="F328" s="118"/>
      <c r="G328" s="118"/>
      <c r="H328" s="100"/>
      <c r="I328" s="100"/>
      <c r="J328" s="118"/>
      <c r="K328" s="118"/>
      <c r="L328" s="118"/>
      <c r="M328" s="118"/>
      <c r="N328" s="164"/>
      <c r="O328" s="161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8"/>
      <c r="AN328" s="118"/>
      <c r="AO328" s="118"/>
      <c r="AP328" s="118"/>
      <c r="AQ328" s="118"/>
      <c r="AR328" s="118"/>
      <c r="AS328" s="118"/>
    </row>
    <row r="329">
      <c r="A329" s="118"/>
      <c r="B329" s="118"/>
      <c r="C329" s="118"/>
      <c r="D329" s="118"/>
      <c r="E329" s="118"/>
      <c r="F329" s="118"/>
      <c r="G329" s="118"/>
      <c r="H329" s="100"/>
      <c r="I329" s="100"/>
      <c r="J329" s="118"/>
      <c r="K329" s="118"/>
      <c r="L329" s="118"/>
      <c r="M329" s="118"/>
      <c r="N329" s="164"/>
      <c r="O329" s="161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</row>
    <row r="330">
      <c r="A330" s="118"/>
      <c r="B330" s="118"/>
      <c r="C330" s="118"/>
      <c r="D330" s="118"/>
      <c r="E330" s="118"/>
      <c r="F330" s="118"/>
      <c r="G330" s="118"/>
      <c r="H330" s="100"/>
      <c r="I330" s="100"/>
      <c r="J330" s="118"/>
      <c r="K330" s="118"/>
      <c r="L330" s="118"/>
      <c r="M330" s="118"/>
      <c r="N330" s="164"/>
      <c r="O330" s="161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  <c r="AG330" s="118"/>
      <c r="AH330" s="118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</row>
    <row r="331">
      <c r="A331" s="118"/>
      <c r="B331" s="118"/>
      <c r="C331" s="118"/>
      <c r="D331" s="118"/>
      <c r="E331" s="118"/>
      <c r="F331" s="118"/>
      <c r="G331" s="118"/>
      <c r="H331" s="100"/>
      <c r="I331" s="100"/>
      <c r="J331" s="118"/>
      <c r="K331" s="118"/>
      <c r="L331" s="118"/>
      <c r="M331" s="118"/>
      <c r="N331" s="164"/>
      <c r="O331" s="161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</row>
    <row r="332">
      <c r="A332" s="118"/>
      <c r="B332" s="118"/>
      <c r="C332" s="118"/>
      <c r="D332" s="118"/>
      <c r="E332" s="118"/>
      <c r="F332" s="118"/>
      <c r="G332" s="118"/>
      <c r="H332" s="100"/>
      <c r="I332" s="100"/>
      <c r="J332" s="118"/>
      <c r="K332" s="118"/>
      <c r="L332" s="118"/>
      <c r="M332" s="118"/>
      <c r="N332" s="164"/>
      <c r="O332" s="161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  <c r="AL332" s="118"/>
      <c r="AM332" s="118"/>
      <c r="AN332" s="118"/>
      <c r="AO332" s="118"/>
      <c r="AP332" s="118"/>
      <c r="AQ332" s="118"/>
      <c r="AR332" s="118"/>
      <c r="AS332" s="118"/>
    </row>
    <row r="333">
      <c r="A333" s="118"/>
      <c r="B333" s="118"/>
      <c r="C333" s="118"/>
      <c r="D333" s="118"/>
      <c r="E333" s="118"/>
      <c r="F333" s="118"/>
      <c r="G333" s="118"/>
      <c r="H333" s="100"/>
      <c r="I333" s="100"/>
      <c r="J333" s="118"/>
      <c r="K333" s="118"/>
      <c r="L333" s="118"/>
      <c r="M333" s="118"/>
      <c r="N333" s="164"/>
      <c r="O333" s="161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  <c r="AL333" s="118"/>
      <c r="AM333" s="118"/>
      <c r="AN333" s="118"/>
      <c r="AO333" s="118"/>
      <c r="AP333" s="118"/>
      <c r="AQ333" s="118"/>
      <c r="AR333" s="118"/>
      <c r="AS333" s="118"/>
    </row>
    <row r="334">
      <c r="A334" s="118"/>
      <c r="B334" s="118"/>
      <c r="C334" s="118"/>
      <c r="D334" s="118"/>
      <c r="E334" s="118"/>
      <c r="F334" s="118"/>
      <c r="G334" s="118"/>
      <c r="H334" s="100"/>
      <c r="I334" s="100"/>
      <c r="J334" s="118"/>
      <c r="K334" s="118"/>
      <c r="L334" s="118"/>
      <c r="M334" s="118"/>
      <c r="N334" s="164"/>
      <c r="O334" s="161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8"/>
      <c r="AJ334" s="118"/>
      <c r="AK334" s="118"/>
      <c r="AL334" s="118"/>
      <c r="AM334" s="118"/>
      <c r="AN334" s="118"/>
      <c r="AO334" s="118"/>
      <c r="AP334" s="118"/>
      <c r="AQ334" s="118"/>
      <c r="AR334" s="118"/>
      <c r="AS334" s="118"/>
    </row>
    <row r="335">
      <c r="A335" s="118"/>
      <c r="B335" s="118"/>
      <c r="C335" s="118"/>
      <c r="D335" s="118"/>
      <c r="E335" s="118"/>
      <c r="F335" s="118"/>
      <c r="G335" s="118"/>
      <c r="H335" s="100"/>
      <c r="I335" s="100"/>
      <c r="J335" s="118"/>
      <c r="K335" s="118"/>
      <c r="L335" s="118"/>
      <c r="M335" s="118"/>
      <c r="N335" s="164"/>
      <c r="O335" s="161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8"/>
      <c r="AJ335" s="118"/>
      <c r="AK335" s="118"/>
      <c r="AL335" s="118"/>
      <c r="AM335" s="118"/>
      <c r="AN335" s="118"/>
      <c r="AO335" s="118"/>
      <c r="AP335" s="118"/>
      <c r="AQ335" s="118"/>
      <c r="AR335" s="118"/>
      <c r="AS335" s="118"/>
    </row>
    <row r="336">
      <c r="A336" s="118"/>
      <c r="B336" s="118"/>
      <c r="C336" s="118"/>
      <c r="D336" s="118"/>
      <c r="E336" s="118"/>
      <c r="F336" s="118"/>
      <c r="G336" s="118"/>
      <c r="H336" s="100"/>
      <c r="I336" s="100"/>
      <c r="J336" s="118"/>
      <c r="K336" s="118"/>
      <c r="L336" s="118"/>
      <c r="M336" s="118"/>
      <c r="N336" s="164"/>
      <c r="O336" s="161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8"/>
      <c r="AJ336" s="118"/>
      <c r="AK336" s="118"/>
      <c r="AL336" s="118"/>
      <c r="AM336" s="118"/>
      <c r="AN336" s="118"/>
      <c r="AO336" s="118"/>
      <c r="AP336" s="118"/>
      <c r="AQ336" s="118"/>
      <c r="AR336" s="118"/>
      <c r="AS336" s="118"/>
    </row>
    <row r="337">
      <c r="A337" s="118"/>
      <c r="B337" s="118"/>
      <c r="C337" s="118"/>
      <c r="D337" s="118"/>
      <c r="E337" s="118"/>
      <c r="F337" s="118"/>
      <c r="G337" s="118"/>
      <c r="H337" s="100"/>
      <c r="I337" s="100"/>
      <c r="J337" s="118"/>
      <c r="K337" s="118"/>
      <c r="L337" s="118"/>
      <c r="M337" s="118"/>
      <c r="N337" s="164"/>
      <c r="O337" s="161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  <c r="AG337" s="118"/>
      <c r="AH337" s="118"/>
      <c r="AI337" s="118"/>
      <c r="AJ337" s="118"/>
      <c r="AK337" s="118"/>
      <c r="AL337" s="118"/>
      <c r="AM337" s="118"/>
      <c r="AN337" s="118"/>
      <c r="AO337" s="118"/>
      <c r="AP337" s="118"/>
      <c r="AQ337" s="118"/>
      <c r="AR337" s="118"/>
      <c r="AS337" s="118"/>
    </row>
    <row r="338">
      <c r="A338" s="118"/>
      <c r="B338" s="118"/>
      <c r="C338" s="118"/>
      <c r="D338" s="118"/>
      <c r="E338" s="118"/>
      <c r="F338" s="118"/>
      <c r="G338" s="118"/>
      <c r="H338" s="100"/>
      <c r="I338" s="100"/>
      <c r="J338" s="118"/>
      <c r="K338" s="118"/>
      <c r="L338" s="118"/>
      <c r="M338" s="118"/>
      <c r="N338" s="164"/>
      <c r="O338" s="161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</row>
    <row r="339">
      <c r="A339" s="118"/>
      <c r="B339" s="118"/>
      <c r="C339" s="118"/>
      <c r="D339" s="118"/>
      <c r="E339" s="118"/>
      <c r="F339" s="118"/>
      <c r="G339" s="118"/>
      <c r="H339" s="100"/>
      <c r="I339" s="100"/>
      <c r="J339" s="118"/>
      <c r="K339" s="118"/>
      <c r="L339" s="118"/>
      <c r="M339" s="118"/>
      <c r="N339" s="164"/>
      <c r="O339" s="161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</row>
    <row r="340">
      <c r="A340" s="118"/>
      <c r="B340" s="118"/>
      <c r="C340" s="118"/>
      <c r="D340" s="118"/>
      <c r="E340" s="118"/>
      <c r="F340" s="118"/>
      <c r="G340" s="118"/>
      <c r="H340" s="100"/>
      <c r="I340" s="100"/>
      <c r="J340" s="118"/>
      <c r="K340" s="118"/>
      <c r="L340" s="118"/>
      <c r="M340" s="118"/>
      <c r="N340" s="164"/>
      <c r="O340" s="161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</row>
    <row r="341">
      <c r="A341" s="118"/>
      <c r="B341" s="118"/>
      <c r="C341" s="118"/>
      <c r="D341" s="118"/>
      <c r="E341" s="118"/>
      <c r="F341" s="118"/>
      <c r="G341" s="118"/>
      <c r="H341" s="100"/>
      <c r="I341" s="100"/>
      <c r="J341" s="118"/>
      <c r="K341" s="118"/>
      <c r="L341" s="118"/>
      <c r="M341" s="118"/>
      <c r="N341" s="164"/>
      <c r="O341" s="161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18"/>
      <c r="AS341" s="118"/>
    </row>
    <row r="342">
      <c r="A342" s="118"/>
      <c r="B342" s="118"/>
      <c r="C342" s="118"/>
      <c r="D342" s="118"/>
      <c r="E342" s="118"/>
      <c r="F342" s="118"/>
      <c r="G342" s="118"/>
      <c r="H342" s="100"/>
      <c r="I342" s="100"/>
      <c r="J342" s="118"/>
      <c r="K342" s="118"/>
      <c r="L342" s="118"/>
      <c r="M342" s="118"/>
      <c r="N342" s="164"/>
      <c r="O342" s="161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18"/>
      <c r="AS342" s="118"/>
    </row>
    <row r="343">
      <c r="A343" s="118"/>
      <c r="B343" s="118"/>
      <c r="C343" s="118"/>
      <c r="D343" s="118"/>
      <c r="E343" s="118"/>
      <c r="F343" s="118"/>
      <c r="G343" s="118"/>
      <c r="H343" s="100"/>
      <c r="I343" s="100"/>
      <c r="J343" s="118"/>
      <c r="K343" s="118"/>
      <c r="L343" s="118"/>
      <c r="M343" s="118"/>
      <c r="N343" s="164"/>
      <c r="O343" s="161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18"/>
      <c r="AS343" s="118"/>
    </row>
    <row r="344">
      <c r="A344" s="118"/>
      <c r="B344" s="118"/>
      <c r="C344" s="118"/>
      <c r="D344" s="118"/>
      <c r="E344" s="118"/>
      <c r="F344" s="118"/>
      <c r="G344" s="118"/>
      <c r="H344" s="100"/>
      <c r="I344" s="100"/>
      <c r="J344" s="118"/>
      <c r="K344" s="118"/>
      <c r="L344" s="118"/>
      <c r="M344" s="118"/>
      <c r="N344" s="164"/>
      <c r="O344" s="161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18"/>
      <c r="AS344" s="118"/>
    </row>
    <row r="345">
      <c r="A345" s="118"/>
      <c r="B345" s="118"/>
      <c r="C345" s="118"/>
      <c r="D345" s="118"/>
      <c r="E345" s="118"/>
      <c r="F345" s="118"/>
      <c r="G345" s="118"/>
      <c r="H345" s="100"/>
      <c r="I345" s="100"/>
      <c r="J345" s="118"/>
      <c r="K345" s="118"/>
      <c r="L345" s="118"/>
      <c r="M345" s="118"/>
      <c r="N345" s="164"/>
      <c r="O345" s="161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</row>
    <row r="346">
      <c r="A346" s="118"/>
      <c r="B346" s="118"/>
      <c r="C346" s="118"/>
      <c r="D346" s="118"/>
      <c r="E346" s="118"/>
      <c r="F346" s="118"/>
      <c r="G346" s="118"/>
      <c r="H346" s="100"/>
      <c r="I346" s="100"/>
      <c r="J346" s="118"/>
      <c r="K346" s="118"/>
      <c r="L346" s="118"/>
      <c r="M346" s="118"/>
      <c r="N346" s="164"/>
      <c r="O346" s="161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</row>
    <row r="347">
      <c r="A347" s="118"/>
      <c r="B347" s="118"/>
      <c r="C347" s="118"/>
      <c r="D347" s="118"/>
      <c r="E347" s="118"/>
      <c r="F347" s="118"/>
      <c r="G347" s="118"/>
      <c r="H347" s="100"/>
      <c r="I347" s="100"/>
      <c r="J347" s="118"/>
      <c r="K347" s="118"/>
      <c r="L347" s="118"/>
      <c r="M347" s="118"/>
      <c r="N347" s="164"/>
      <c r="O347" s="161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</row>
    <row r="348">
      <c r="A348" s="118"/>
      <c r="B348" s="118"/>
      <c r="C348" s="118"/>
      <c r="D348" s="118"/>
      <c r="E348" s="118"/>
      <c r="F348" s="118"/>
      <c r="G348" s="118"/>
      <c r="H348" s="100"/>
      <c r="I348" s="100"/>
      <c r="J348" s="118"/>
      <c r="K348" s="118"/>
      <c r="L348" s="118"/>
      <c r="M348" s="118"/>
      <c r="N348" s="164"/>
      <c r="O348" s="161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</row>
    <row r="349">
      <c r="A349" s="118"/>
      <c r="B349" s="118"/>
      <c r="C349" s="118"/>
      <c r="D349" s="118"/>
      <c r="E349" s="118"/>
      <c r="F349" s="118"/>
      <c r="G349" s="118"/>
      <c r="H349" s="100"/>
      <c r="I349" s="100"/>
      <c r="J349" s="118"/>
      <c r="K349" s="118"/>
      <c r="L349" s="118"/>
      <c r="M349" s="118"/>
      <c r="N349" s="164"/>
      <c r="O349" s="161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</row>
    <row r="350">
      <c r="A350" s="118"/>
      <c r="B350" s="118"/>
      <c r="C350" s="118"/>
      <c r="D350" s="118"/>
      <c r="E350" s="118"/>
      <c r="F350" s="118"/>
      <c r="G350" s="118"/>
      <c r="H350" s="100"/>
      <c r="I350" s="100"/>
      <c r="J350" s="118"/>
      <c r="K350" s="118"/>
      <c r="L350" s="118"/>
      <c r="M350" s="118"/>
      <c r="N350" s="164"/>
      <c r="O350" s="161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  <c r="AL350" s="118"/>
      <c r="AM350" s="118"/>
      <c r="AN350" s="118"/>
      <c r="AO350" s="118"/>
      <c r="AP350" s="118"/>
      <c r="AQ350" s="118"/>
      <c r="AR350" s="118"/>
      <c r="AS350" s="118"/>
    </row>
    <row r="351">
      <c r="A351" s="118"/>
      <c r="B351" s="118"/>
      <c r="C351" s="118"/>
      <c r="D351" s="118"/>
      <c r="E351" s="118"/>
      <c r="F351" s="118"/>
      <c r="G351" s="118"/>
      <c r="H351" s="100"/>
      <c r="I351" s="100"/>
      <c r="J351" s="118"/>
      <c r="K351" s="118"/>
      <c r="L351" s="118"/>
      <c r="M351" s="118"/>
      <c r="N351" s="164"/>
      <c r="O351" s="161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</row>
    <row r="352">
      <c r="A352" s="118"/>
      <c r="B352" s="118"/>
      <c r="C352" s="118"/>
      <c r="D352" s="118"/>
      <c r="E352" s="118"/>
      <c r="F352" s="118"/>
      <c r="G352" s="118"/>
      <c r="H352" s="100"/>
      <c r="I352" s="100"/>
      <c r="J352" s="118"/>
      <c r="K352" s="118"/>
      <c r="L352" s="118"/>
      <c r="M352" s="118"/>
      <c r="N352" s="164"/>
      <c r="O352" s="161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</row>
    <row r="353">
      <c r="A353" s="118"/>
      <c r="B353" s="118"/>
      <c r="C353" s="118"/>
      <c r="D353" s="118"/>
      <c r="E353" s="118"/>
      <c r="F353" s="118"/>
      <c r="G353" s="118"/>
      <c r="H353" s="100"/>
      <c r="I353" s="100"/>
      <c r="J353" s="118"/>
      <c r="K353" s="118"/>
      <c r="L353" s="118"/>
      <c r="M353" s="118"/>
      <c r="N353" s="164"/>
      <c r="O353" s="161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</row>
    <row r="354">
      <c r="A354" s="118"/>
      <c r="B354" s="118"/>
      <c r="C354" s="118"/>
      <c r="D354" s="118"/>
      <c r="E354" s="118"/>
      <c r="F354" s="118"/>
      <c r="G354" s="118"/>
      <c r="H354" s="100"/>
      <c r="I354" s="100"/>
      <c r="J354" s="118"/>
      <c r="K354" s="118"/>
      <c r="L354" s="118"/>
      <c r="M354" s="118"/>
      <c r="N354" s="164"/>
      <c r="O354" s="161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</row>
    <row r="355">
      <c r="A355" s="118"/>
      <c r="B355" s="118"/>
      <c r="C355" s="118"/>
      <c r="D355" s="118"/>
      <c r="E355" s="118"/>
      <c r="F355" s="118"/>
      <c r="G355" s="118"/>
      <c r="H355" s="100"/>
      <c r="I355" s="100"/>
      <c r="J355" s="118"/>
      <c r="K355" s="118"/>
      <c r="L355" s="118"/>
      <c r="M355" s="118"/>
      <c r="N355" s="164"/>
      <c r="O355" s="161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  <c r="AL355" s="118"/>
      <c r="AM355" s="118"/>
      <c r="AN355" s="118"/>
      <c r="AO355" s="118"/>
      <c r="AP355" s="118"/>
      <c r="AQ355" s="118"/>
      <c r="AR355" s="118"/>
      <c r="AS355" s="118"/>
    </row>
    <row r="356">
      <c r="A356" s="118"/>
      <c r="B356" s="118"/>
      <c r="C356" s="118"/>
      <c r="D356" s="118"/>
      <c r="E356" s="118"/>
      <c r="F356" s="118"/>
      <c r="G356" s="118"/>
      <c r="H356" s="100"/>
      <c r="I356" s="100"/>
      <c r="J356" s="118"/>
      <c r="K356" s="118"/>
      <c r="L356" s="118"/>
      <c r="M356" s="118"/>
      <c r="N356" s="164"/>
      <c r="O356" s="161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118"/>
      <c r="AN356" s="118"/>
      <c r="AO356" s="118"/>
      <c r="AP356" s="118"/>
      <c r="AQ356" s="118"/>
      <c r="AR356" s="118"/>
      <c r="AS356" s="118"/>
    </row>
    <row r="357">
      <c r="A357" s="118"/>
      <c r="B357" s="118"/>
      <c r="C357" s="118"/>
      <c r="D357" s="118"/>
      <c r="E357" s="118"/>
      <c r="F357" s="118"/>
      <c r="G357" s="118"/>
      <c r="H357" s="100"/>
      <c r="I357" s="100"/>
      <c r="J357" s="118"/>
      <c r="K357" s="118"/>
      <c r="L357" s="118"/>
      <c r="M357" s="118"/>
      <c r="N357" s="164"/>
      <c r="O357" s="161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118"/>
      <c r="AN357" s="118"/>
      <c r="AO357" s="118"/>
      <c r="AP357" s="118"/>
      <c r="AQ357" s="118"/>
      <c r="AR357" s="118"/>
      <c r="AS357" s="118"/>
    </row>
    <row r="358">
      <c r="A358" s="118"/>
      <c r="B358" s="118"/>
      <c r="C358" s="118"/>
      <c r="D358" s="118"/>
      <c r="E358" s="118"/>
      <c r="F358" s="118"/>
      <c r="G358" s="118"/>
      <c r="H358" s="100"/>
      <c r="I358" s="100"/>
      <c r="J358" s="118"/>
      <c r="K358" s="118"/>
      <c r="L358" s="118"/>
      <c r="M358" s="118"/>
      <c r="N358" s="164"/>
      <c r="O358" s="161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</row>
    <row r="359">
      <c r="A359" s="118"/>
      <c r="B359" s="118"/>
      <c r="C359" s="118"/>
      <c r="D359" s="118"/>
      <c r="E359" s="118"/>
      <c r="F359" s="118"/>
      <c r="G359" s="118"/>
      <c r="H359" s="100"/>
      <c r="I359" s="100"/>
      <c r="J359" s="118"/>
      <c r="K359" s="118"/>
      <c r="L359" s="118"/>
      <c r="M359" s="118"/>
      <c r="N359" s="164"/>
      <c r="O359" s="161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</row>
    <row r="360">
      <c r="A360" s="118"/>
      <c r="B360" s="118"/>
      <c r="C360" s="118"/>
      <c r="D360" s="118"/>
      <c r="E360" s="118"/>
      <c r="F360" s="118"/>
      <c r="G360" s="118"/>
      <c r="H360" s="100"/>
      <c r="I360" s="100"/>
      <c r="J360" s="118"/>
      <c r="K360" s="118"/>
      <c r="L360" s="118"/>
      <c r="M360" s="118"/>
      <c r="N360" s="164"/>
      <c r="O360" s="161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</row>
    <row r="361">
      <c r="A361" s="118"/>
      <c r="B361" s="118"/>
      <c r="C361" s="118"/>
      <c r="D361" s="118"/>
      <c r="E361" s="118"/>
      <c r="F361" s="118"/>
      <c r="G361" s="118"/>
      <c r="H361" s="100"/>
      <c r="I361" s="100"/>
      <c r="J361" s="118"/>
      <c r="K361" s="118"/>
      <c r="L361" s="118"/>
      <c r="M361" s="118"/>
      <c r="N361" s="164"/>
      <c r="O361" s="161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</row>
    <row r="362">
      <c r="A362" s="118"/>
      <c r="B362" s="118"/>
      <c r="C362" s="118"/>
      <c r="D362" s="118"/>
      <c r="E362" s="118"/>
      <c r="F362" s="118"/>
      <c r="G362" s="118"/>
      <c r="H362" s="100"/>
      <c r="I362" s="100"/>
      <c r="J362" s="118"/>
      <c r="K362" s="118"/>
      <c r="L362" s="118"/>
      <c r="M362" s="118"/>
      <c r="N362" s="164"/>
      <c r="O362" s="161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</row>
    <row r="363">
      <c r="A363" s="118"/>
      <c r="B363" s="118"/>
      <c r="C363" s="118"/>
      <c r="D363" s="118"/>
      <c r="E363" s="118"/>
      <c r="F363" s="118"/>
      <c r="G363" s="118"/>
      <c r="H363" s="100"/>
      <c r="I363" s="100"/>
      <c r="J363" s="118"/>
      <c r="K363" s="118"/>
      <c r="L363" s="118"/>
      <c r="M363" s="118"/>
      <c r="N363" s="164"/>
      <c r="O363" s="161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</row>
    <row r="364">
      <c r="A364" s="118"/>
      <c r="B364" s="118"/>
      <c r="C364" s="118"/>
      <c r="D364" s="118"/>
      <c r="E364" s="118"/>
      <c r="F364" s="118"/>
      <c r="G364" s="118"/>
      <c r="H364" s="100"/>
      <c r="I364" s="100"/>
      <c r="J364" s="118"/>
      <c r="K364" s="118"/>
      <c r="L364" s="118"/>
      <c r="M364" s="118"/>
      <c r="N364" s="164"/>
      <c r="O364" s="161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</row>
    <row r="365">
      <c r="A365" s="118"/>
      <c r="B365" s="118"/>
      <c r="C365" s="118"/>
      <c r="D365" s="118"/>
      <c r="E365" s="118"/>
      <c r="F365" s="118"/>
      <c r="G365" s="118"/>
      <c r="H365" s="100"/>
      <c r="I365" s="100"/>
      <c r="J365" s="118"/>
      <c r="K365" s="118"/>
      <c r="L365" s="118"/>
      <c r="M365" s="118"/>
      <c r="N365" s="164"/>
      <c r="O365" s="161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</row>
    <row r="366">
      <c r="A366" s="118"/>
      <c r="B366" s="118"/>
      <c r="C366" s="118"/>
      <c r="D366" s="118"/>
      <c r="E366" s="118"/>
      <c r="F366" s="118"/>
      <c r="G366" s="118"/>
      <c r="H366" s="100"/>
      <c r="I366" s="100"/>
      <c r="J366" s="118"/>
      <c r="K366" s="118"/>
      <c r="L366" s="118"/>
      <c r="M366" s="118"/>
      <c r="N366" s="164"/>
      <c r="O366" s="161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</row>
    <row r="367">
      <c r="A367" s="118"/>
      <c r="B367" s="118"/>
      <c r="C367" s="118"/>
      <c r="D367" s="118"/>
      <c r="E367" s="118"/>
      <c r="F367" s="118"/>
      <c r="G367" s="118"/>
      <c r="H367" s="100"/>
      <c r="I367" s="100"/>
      <c r="J367" s="118"/>
      <c r="K367" s="118"/>
      <c r="L367" s="118"/>
      <c r="M367" s="118"/>
      <c r="N367" s="164"/>
      <c r="O367" s="161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</row>
    <row r="368">
      <c r="A368" s="118"/>
      <c r="B368" s="118"/>
      <c r="C368" s="118"/>
      <c r="D368" s="118"/>
      <c r="E368" s="118"/>
      <c r="F368" s="118"/>
      <c r="G368" s="118"/>
      <c r="H368" s="100"/>
      <c r="I368" s="100"/>
      <c r="J368" s="118"/>
      <c r="K368" s="118"/>
      <c r="L368" s="118"/>
      <c r="M368" s="118"/>
      <c r="N368" s="164"/>
      <c r="O368" s="161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</row>
    <row r="369">
      <c r="A369" s="118"/>
      <c r="B369" s="118"/>
      <c r="C369" s="118"/>
      <c r="D369" s="118"/>
      <c r="E369" s="118"/>
      <c r="F369" s="118"/>
      <c r="G369" s="118"/>
      <c r="H369" s="100"/>
      <c r="I369" s="100"/>
      <c r="J369" s="118"/>
      <c r="K369" s="118"/>
      <c r="L369" s="118"/>
      <c r="M369" s="118"/>
      <c r="N369" s="164"/>
      <c r="O369" s="161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</row>
    <row r="370">
      <c r="A370" s="118"/>
      <c r="B370" s="118"/>
      <c r="C370" s="118"/>
      <c r="D370" s="118"/>
      <c r="E370" s="118"/>
      <c r="F370" s="118"/>
      <c r="G370" s="118"/>
      <c r="H370" s="100"/>
      <c r="I370" s="100"/>
      <c r="J370" s="118"/>
      <c r="K370" s="118"/>
      <c r="L370" s="118"/>
      <c r="M370" s="118"/>
      <c r="N370" s="164"/>
      <c r="O370" s="161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</row>
    <row r="371">
      <c r="A371" s="118"/>
      <c r="B371" s="118"/>
      <c r="C371" s="118"/>
      <c r="D371" s="118"/>
      <c r="E371" s="118"/>
      <c r="F371" s="118"/>
      <c r="G371" s="118"/>
      <c r="H371" s="100"/>
      <c r="I371" s="100"/>
      <c r="J371" s="118"/>
      <c r="K371" s="118"/>
      <c r="L371" s="118"/>
      <c r="M371" s="118"/>
      <c r="N371" s="164"/>
      <c r="O371" s="161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</row>
    <row r="372">
      <c r="A372" s="118"/>
      <c r="B372" s="118"/>
      <c r="C372" s="118"/>
      <c r="D372" s="118"/>
      <c r="E372" s="118"/>
      <c r="F372" s="118"/>
      <c r="G372" s="118"/>
      <c r="H372" s="100"/>
      <c r="I372" s="100"/>
      <c r="J372" s="118"/>
      <c r="K372" s="118"/>
      <c r="L372" s="118"/>
      <c r="M372" s="118"/>
      <c r="N372" s="164"/>
      <c r="O372" s="161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</row>
    <row r="373">
      <c r="A373" s="118"/>
      <c r="B373" s="118"/>
      <c r="C373" s="118"/>
      <c r="D373" s="118"/>
      <c r="E373" s="118"/>
      <c r="F373" s="118"/>
      <c r="G373" s="118"/>
      <c r="H373" s="100"/>
      <c r="I373" s="100"/>
      <c r="J373" s="118"/>
      <c r="K373" s="118"/>
      <c r="L373" s="118"/>
      <c r="M373" s="118"/>
      <c r="N373" s="164"/>
      <c r="O373" s="161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</row>
    <row r="374">
      <c r="A374" s="118"/>
      <c r="B374" s="118"/>
      <c r="C374" s="118"/>
      <c r="D374" s="118"/>
      <c r="E374" s="118"/>
      <c r="F374" s="118"/>
      <c r="G374" s="118"/>
      <c r="H374" s="100"/>
      <c r="I374" s="100"/>
      <c r="J374" s="118"/>
      <c r="K374" s="118"/>
      <c r="L374" s="118"/>
      <c r="M374" s="118"/>
      <c r="N374" s="164"/>
      <c r="O374" s="161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</row>
    <row r="375">
      <c r="A375" s="118"/>
      <c r="B375" s="118"/>
      <c r="C375" s="118"/>
      <c r="D375" s="118"/>
      <c r="E375" s="118"/>
      <c r="F375" s="118"/>
      <c r="G375" s="118"/>
      <c r="H375" s="100"/>
      <c r="I375" s="100"/>
      <c r="J375" s="118"/>
      <c r="K375" s="118"/>
      <c r="L375" s="118"/>
      <c r="M375" s="118"/>
      <c r="N375" s="164"/>
      <c r="O375" s="161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</row>
    <row r="376">
      <c r="A376" s="118"/>
      <c r="B376" s="118"/>
      <c r="C376" s="118"/>
      <c r="D376" s="118"/>
      <c r="E376" s="118"/>
      <c r="F376" s="118"/>
      <c r="G376" s="118"/>
      <c r="H376" s="100"/>
      <c r="I376" s="100"/>
      <c r="J376" s="118"/>
      <c r="K376" s="118"/>
      <c r="L376" s="118"/>
      <c r="M376" s="118"/>
      <c r="N376" s="164"/>
      <c r="O376" s="161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</row>
    <row r="377">
      <c r="A377" s="118"/>
      <c r="B377" s="118"/>
      <c r="C377" s="118"/>
      <c r="D377" s="118"/>
      <c r="E377" s="118"/>
      <c r="F377" s="118"/>
      <c r="G377" s="118"/>
      <c r="H377" s="100"/>
      <c r="I377" s="100"/>
      <c r="J377" s="118"/>
      <c r="K377" s="118"/>
      <c r="L377" s="118"/>
      <c r="M377" s="118"/>
      <c r="N377" s="164"/>
      <c r="O377" s="161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  <c r="AI377" s="118"/>
      <c r="AJ377" s="118"/>
      <c r="AK377" s="118"/>
      <c r="AL377" s="118"/>
      <c r="AM377" s="118"/>
      <c r="AN377" s="118"/>
      <c r="AO377" s="118"/>
      <c r="AP377" s="118"/>
      <c r="AQ377" s="118"/>
      <c r="AR377" s="118"/>
      <c r="AS377" s="118"/>
    </row>
    <row r="378">
      <c r="A378" s="118"/>
      <c r="B378" s="118"/>
      <c r="C378" s="118"/>
      <c r="D378" s="118"/>
      <c r="E378" s="118"/>
      <c r="F378" s="118"/>
      <c r="G378" s="118"/>
      <c r="H378" s="100"/>
      <c r="I378" s="100"/>
      <c r="J378" s="118"/>
      <c r="K378" s="118"/>
      <c r="L378" s="118"/>
      <c r="M378" s="118"/>
      <c r="N378" s="164"/>
      <c r="O378" s="161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</row>
    <row r="379">
      <c r="A379" s="118"/>
      <c r="B379" s="118"/>
      <c r="C379" s="118"/>
      <c r="D379" s="118"/>
      <c r="E379" s="118"/>
      <c r="F379" s="118"/>
      <c r="G379" s="118"/>
      <c r="H379" s="100"/>
      <c r="I379" s="100"/>
      <c r="J379" s="118"/>
      <c r="K379" s="118"/>
      <c r="L379" s="118"/>
      <c r="M379" s="118"/>
      <c r="N379" s="164"/>
      <c r="O379" s="161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  <c r="AI379" s="118"/>
      <c r="AJ379" s="118"/>
      <c r="AK379" s="118"/>
      <c r="AL379" s="118"/>
      <c r="AM379" s="118"/>
      <c r="AN379" s="118"/>
      <c r="AO379" s="118"/>
      <c r="AP379" s="118"/>
      <c r="AQ379" s="118"/>
      <c r="AR379" s="118"/>
      <c r="AS379" s="118"/>
    </row>
    <row r="380">
      <c r="A380" s="118"/>
      <c r="B380" s="118"/>
      <c r="C380" s="118"/>
      <c r="D380" s="118"/>
      <c r="E380" s="118"/>
      <c r="F380" s="118"/>
      <c r="G380" s="118"/>
      <c r="H380" s="100"/>
      <c r="I380" s="100"/>
      <c r="J380" s="118"/>
      <c r="K380" s="118"/>
      <c r="L380" s="118"/>
      <c r="M380" s="118"/>
      <c r="N380" s="164"/>
      <c r="O380" s="161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  <c r="AI380" s="118"/>
      <c r="AJ380" s="118"/>
      <c r="AK380" s="118"/>
      <c r="AL380" s="118"/>
      <c r="AM380" s="118"/>
      <c r="AN380" s="118"/>
      <c r="AO380" s="118"/>
      <c r="AP380" s="118"/>
      <c r="AQ380" s="118"/>
      <c r="AR380" s="118"/>
      <c r="AS380" s="118"/>
    </row>
    <row r="381">
      <c r="A381" s="118"/>
      <c r="B381" s="118"/>
      <c r="C381" s="118"/>
      <c r="D381" s="118"/>
      <c r="E381" s="118"/>
      <c r="F381" s="118"/>
      <c r="G381" s="118"/>
      <c r="H381" s="100"/>
      <c r="I381" s="100"/>
      <c r="J381" s="118"/>
      <c r="K381" s="118"/>
      <c r="L381" s="118"/>
      <c r="M381" s="118"/>
      <c r="N381" s="164"/>
      <c r="O381" s="161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</row>
    <row r="382">
      <c r="A382" s="118"/>
      <c r="B382" s="118"/>
      <c r="C382" s="118"/>
      <c r="D382" s="118"/>
      <c r="E382" s="118"/>
      <c r="F382" s="118"/>
      <c r="G382" s="118"/>
      <c r="H382" s="100"/>
      <c r="I382" s="100"/>
      <c r="J382" s="118"/>
      <c r="K382" s="118"/>
      <c r="L382" s="118"/>
      <c r="M382" s="118"/>
      <c r="N382" s="164"/>
      <c r="O382" s="161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</row>
    <row r="383">
      <c r="A383" s="118"/>
      <c r="B383" s="118"/>
      <c r="C383" s="118"/>
      <c r="D383" s="118"/>
      <c r="E383" s="118"/>
      <c r="F383" s="118"/>
      <c r="G383" s="118"/>
      <c r="H383" s="100"/>
      <c r="I383" s="100"/>
      <c r="J383" s="118"/>
      <c r="K383" s="118"/>
      <c r="L383" s="118"/>
      <c r="M383" s="118"/>
      <c r="N383" s="164"/>
      <c r="O383" s="161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</row>
    <row r="384">
      <c r="A384" s="118"/>
      <c r="B384" s="118"/>
      <c r="C384" s="118"/>
      <c r="D384" s="118"/>
      <c r="E384" s="118"/>
      <c r="F384" s="118"/>
      <c r="G384" s="118"/>
      <c r="H384" s="100"/>
      <c r="I384" s="100"/>
      <c r="J384" s="118"/>
      <c r="K384" s="118"/>
      <c r="L384" s="118"/>
      <c r="M384" s="118"/>
      <c r="N384" s="164"/>
      <c r="O384" s="161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</row>
    <row r="385">
      <c r="A385" s="118"/>
      <c r="B385" s="118"/>
      <c r="C385" s="118"/>
      <c r="D385" s="118"/>
      <c r="E385" s="118"/>
      <c r="F385" s="118"/>
      <c r="G385" s="118"/>
      <c r="H385" s="100"/>
      <c r="I385" s="100"/>
      <c r="J385" s="118"/>
      <c r="K385" s="118"/>
      <c r="L385" s="118"/>
      <c r="M385" s="118"/>
      <c r="N385" s="164"/>
      <c r="O385" s="161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</row>
    <row r="386">
      <c r="A386" s="118"/>
      <c r="B386" s="118"/>
      <c r="C386" s="118"/>
      <c r="D386" s="118"/>
      <c r="E386" s="118"/>
      <c r="F386" s="118"/>
      <c r="G386" s="118"/>
      <c r="H386" s="100"/>
      <c r="I386" s="100"/>
      <c r="J386" s="118"/>
      <c r="K386" s="118"/>
      <c r="L386" s="118"/>
      <c r="M386" s="118"/>
      <c r="N386" s="164"/>
      <c r="O386" s="161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  <c r="AI386" s="118"/>
      <c r="AJ386" s="118"/>
      <c r="AK386" s="118"/>
      <c r="AL386" s="118"/>
      <c r="AM386" s="118"/>
      <c r="AN386" s="118"/>
      <c r="AO386" s="118"/>
      <c r="AP386" s="118"/>
      <c r="AQ386" s="118"/>
      <c r="AR386" s="118"/>
      <c r="AS386" s="118"/>
    </row>
    <row r="387">
      <c r="A387" s="118"/>
      <c r="B387" s="118"/>
      <c r="C387" s="118"/>
      <c r="D387" s="118"/>
      <c r="E387" s="118"/>
      <c r="F387" s="118"/>
      <c r="G387" s="118"/>
      <c r="H387" s="100"/>
      <c r="I387" s="100"/>
      <c r="J387" s="118"/>
      <c r="K387" s="118"/>
      <c r="L387" s="118"/>
      <c r="M387" s="118"/>
      <c r="N387" s="164"/>
      <c r="O387" s="161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</row>
    <row r="388">
      <c r="A388" s="118"/>
      <c r="B388" s="118"/>
      <c r="C388" s="118"/>
      <c r="D388" s="118"/>
      <c r="E388" s="118"/>
      <c r="F388" s="118"/>
      <c r="G388" s="118"/>
      <c r="H388" s="100"/>
      <c r="I388" s="100"/>
      <c r="J388" s="118"/>
      <c r="K388" s="118"/>
      <c r="L388" s="118"/>
      <c r="M388" s="118"/>
      <c r="N388" s="164"/>
      <c r="O388" s="161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  <c r="AI388" s="118"/>
      <c r="AJ388" s="118"/>
      <c r="AK388" s="118"/>
      <c r="AL388" s="118"/>
      <c r="AM388" s="118"/>
      <c r="AN388" s="118"/>
      <c r="AO388" s="118"/>
      <c r="AP388" s="118"/>
      <c r="AQ388" s="118"/>
      <c r="AR388" s="118"/>
      <c r="AS388" s="118"/>
    </row>
    <row r="389">
      <c r="A389" s="118"/>
      <c r="B389" s="118"/>
      <c r="C389" s="118"/>
      <c r="D389" s="118"/>
      <c r="E389" s="118"/>
      <c r="F389" s="118"/>
      <c r="G389" s="118"/>
      <c r="H389" s="100"/>
      <c r="I389" s="100"/>
      <c r="J389" s="118"/>
      <c r="K389" s="118"/>
      <c r="L389" s="118"/>
      <c r="M389" s="118"/>
      <c r="N389" s="164"/>
      <c r="O389" s="161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  <c r="AI389" s="118"/>
      <c r="AJ389" s="118"/>
      <c r="AK389" s="118"/>
      <c r="AL389" s="118"/>
      <c r="AM389" s="118"/>
      <c r="AN389" s="118"/>
      <c r="AO389" s="118"/>
      <c r="AP389" s="118"/>
      <c r="AQ389" s="118"/>
      <c r="AR389" s="118"/>
      <c r="AS389" s="118"/>
    </row>
    <row r="390">
      <c r="A390" s="118"/>
      <c r="B390" s="118"/>
      <c r="C390" s="118"/>
      <c r="D390" s="118"/>
      <c r="E390" s="118"/>
      <c r="F390" s="118"/>
      <c r="G390" s="118"/>
      <c r="H390" s="100"/>
      <c r="I390" s="100"/>
      <c r="J390" s="118"/>
      <c r="K390" s="118"/>
      <c r="L390" s="118"/>
      <c r="M390" s="118"/>
      <c r="N390" s="164"/>
      <c r="O390" s="161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</row>
    <row r="391">
      <c r="A391" s="118"/>
      <c r="B391" s="118"/>
      <c r="C391" s="118"/>
      <c r="D391" s="118"/>
      <c r="E391" s="118"/>
      <c r="F391" s="118"/>
      <c r="G391" s="118"/>
      <c r="H391" s="100"/>
      <c r="I391" s="100"/>
      <c r="J391" s="118"/>
      <c r="K391" s="118"/>
      <c r="L391" s="118"/>
      <c r="M391" s="118"/>
      <c r="N391" s="164"/>
      <c r="O391" s="161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</row>
    <row r="392">
      <c r="A392" s="118"/>
      <c r="B392" s="118"/>
      <c r="C392" s="118"/>
      <c r="D392" s="118"/>
      <c r="E392" s="118"/>
      <c r="F392" s="118"/>
      <c r="G392" s="118"/>
      <c r="H392" s="100"/>
      <c r="I392" s="100"/>
      <c r="J392" s="118"/>
      <c r="K392" s="118"/>
      <c r="L392" s="118"/>
      <c r="M392" s="118"/>
      <c r="N392" s="164"/>
      <c r="O392" s="161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</row>
    <row r="393">
      <c r="A393" s="118"/>
      <c r="B393" s="118"/>
      <c r="C393" s="118"/>
      <c r="D393" s="118"/>
      <c r="E393" s="118"/>
      <c r="F393" s="118"/>
      <c r="G393" s="118"/>
      <c r="H393" s="100"/>
      <c r="I393" s="100"/>
      <c r="J393" s="118"/>
      <c r="K393" s="118"/>
      <c r="L393" s="118"/>
      <c r="M393" s="118"/>
      <c r="N393" s="164"/>
      <c r="O393" s="161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</row>
    <row r="394">
      <c r="A394" s="118"/>
      <c r="B394" s="118"/>
      <c r="C394" s="118"/>
      <c r="D394" s="118"/>
      <c r="E394" s="118"/>
      <c r="F394" s="118"/>
      <c r="G394" s="118"/>
      <c r="H394" s="100"/>
      <c r="I394" s="100"/>
      <c r="J394" s="118"/>
      <c r="K394" s="118"/>
      <c r="L394" s="118"/>
      <c r="M394" s="118"/>
      <c r="N394" s="164"/>
      <c r="O394" s="161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</row>
    <row r="395">
      <c r="A395" s="118"/>
      <c r="B395" s="118"/>
      <c r="C395" s="118"/>
      <c r="D395" s="118"/>
      <c r="E395" s="118"/>
      <c r="F395" s="118"/>
      <c r="G395" s="118"/>
      <c r="H395" s="100"/>
      <c r="I395" s="100"/>
      <c r="J395" s="118"/>
      <c r="K395" s="118"/>
      <c r="L395" s="118"/>
      <c r="M395" s="118"/>
      <c r="N395" s="164"/>
      <c r="O395" s="161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</row>
    <row r="396">
      <c r="A396" s="118"/>
      <c r="B396" s="118"/>
      <c r="C396" s="118"/>
      <c r="D396" s="118"/>
      <c r="E396" s="118"/>
      <c r="F396" s="118"/>
      <c r="G396" s="118"/>
      <c r="H396" s="100"/>
      <c r="I396" s="100"/>
      <c r="J396" s="118"/>
      <c r="K396" s="118"/>
      <c r="L396" s="118"/>
      <c r="M396" s="118"/>
      <c r="N396" s="164"/>
      <c r="O396" s="161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</row>
    <row r="397">
      <c r="A397" s="118"/>
      <c r="B397" s="118"/>
      <c r="C397" s="118"/>
      <c r="D397" s="118"/>
      <c r="E397" s="118"/>
      <c r="F397" s="118"/>
      <c r="G397" s="118"/>
      <c r="H397" s="100"/>
      <c r="I397" s="100"/>
      <c r="J397" s="118"/>
      <c r="K397" s="118"/>
      <c r="L397" s="118"/>
      <c r="M397" s="118"/>
      <c r="N397" s="164"/>
      <c r="O397" s="161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</row>
    <row r="398">
      <c r="A398" s="118"/>
      <c r="B398" s="118"/>
      <c r="C398" s="118"/>
      <c r="D398" s="118"/>
      <c r="E398" s="118"/>
      <c r="F398" s="118"/>
      <c r="G398" s="118"/>
      <c r="H398" s="100"/>
      <c r="I398" s="100"/>
      <c r="J398" s="118"/>
      <c r="K398" s="118"/>
      <c r="L398" s="118"/>
      <c r="M398" s="118"/>
      <c r="N398" s="164"/>
      <c r="O398" s="161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</row>
    <row r="399">
      <c r="A399" s="118"/>
      <c r="B399" s="118"/>
      <c r="C399" s="118"/>
      <c r="D399" s="118"/>
      <c r="E399" s="118"/>
      <c r="F399" s="118"/>
      <c r="G399" s="118"/>
      <c r="H399" s="100"/>
      <c r="I399" s="100"/>
      <c r="J399" s="118"/>
      <c r="K399" s="118"/>
      <c r="L399" s="118"/>
      <c r="M399" s="118"/>
      <c r="N399" s="164"/>
      <c r="O399" s="161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</row>
    <row r="400">
      <c r="A400" s="118"/>
      <c r="B400" s="118"/>
      <c r="C400" s="118"/>
      <c r="D400" s="118"/>
      <c r="E400" s="118"/>
      <c r="F400" s="118"/>
      <c r="G400" s="118"/>
      <c r="H400" s="100"/>
      <c r="I400" s="100"/>
      <c r="J400" s="118"/>
      <c r="K400" s="118"/>
      <c r="L400" s="118"/>
      <c r="M400" s="118"/>
      <c r="N400" s="164"/>
      <c r="O400" s="161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</row>
    <row r="401">
      <c r="A401" s="118"/>
      <c r="B401" s="118"/>
      <c r="C401" s="118"/>
      <c r="D401" s="118"/>
      <c r="E401" s="118"/>
      <c r="F401" s="118"/>
      <c r="G401" s="118"/>
      <c r="H401" s="100"/>
      <c r="I401" s="100"/>
      <c r="J401" s="118"/>
      <c r="K401" s="118"/>
      <c r="L401" s="118"/>
      <c r="M401" s="118"/>
      <c r="N401" s="164"/>
      <c r="O401" s="161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</row>
    <row r="402">
      <c r="A402" s="118"/>
      <c r="B402" s="118"/>
      <c r="C402" s="118"/>
      <c r="D402" s="118"/>
      <c r="E402" s="118"/>
      <c r="F402" s="118"/>
      <c r="G402" s="118"/>
      <c r="H402" s="100"/>
      <c r="I402" s="100"/>
      <c r="J402" s="118"/>
      <c r="K402" s="118"/>
      <c r="L402" s="118"/>
      <c r="M402" s="118"/>
      <c r="N402" s="164"/>
      <c r="O402" s="161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</row>
    <row r="403">
      <c r="A403" s="118"/>
      <c r="B403" s="118"/>
      <c r="C403" s="118"/>
      <c r="D403" s="118"/>
      <c r="E403" s="118"/>
      <c r="F403" s="118"/>
      <c r="G403" s="118"/>
      <c r="H403" s="100"/>
      <c r="I403" s="100"/>
      <c r="J403" s="118"/>
      <c r="K403" s="118"/>
      <c r="L403" s="118"/>
      <c r="M403" s="118"/>
      <c r="N403" s="164"/>
      <c r="O403" s="161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  <c r="AL403" s="118"/>
      <c r="AM403" s="118"/>
      <c r="AN403" s="118"/>
      <c r="AO403" s="118"/>
      <c r="AP403" s="118"/>
      <c r="AQ403" s="118"/>
      <c r="AR403" s="118"/>
      <c r="AS403" s="118"/>
    </row>
    <row r="404">
      <c r="A404" s="118"/>
      <c r="B404" s="118"/>
      <c r="C404" s="118"/>
      <c r="D404" s="118"/>
      <c r="E404" s="118"/>
      <c r="F404" s="118"/>
      <c r="G404" s="118"/>
      <c r="H404" s="100"/>
      <c r="I404" s="100"/>
      <c r="J404" s="118"/>
      <c r="K404" s="118"/>
      <c r="L404" s="118"/>
      <c r="M404" s="118"/>
      <c r="N404" s="164"/>
      <c r="O404" s="161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</row>
    <row r="405">
      <c r="A405" s="118"/>
      <c r="B405" s="118"/>
      <c r="C405" s="118"/>
      <c r="D405" s="118"/>
      <c r="E405" s="118"/>
      <c r="F405" s="118"/>
      <c r="G405" s="118"/>
      <c r="H405" s="100"/>
      <c r="I405" s="100"/>
      <c r="J405" s="118"/>
      <c r="K405" s="118"/>
      <c r="L405" s="118"/>
      <c r="M405" s="118"/>
      <c r="N405" s="164"/>
      <c r="O405" s="161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</row>
    <row r="406">
      <c r="A406" s="118"/>
      <c r="B406" s="118"/>
      <c r="C406" s="118"/>
      <c r="D406" s="118"/>
      <c r="E406" s="118"/>
      <c r="F406" s="118"/>
      <c r="G406" s="118"/>
      <c r="H406" s="100"/>
      <c r="I406" s="100"/>
      <c r="J406" s="118"/>
      <c r="K406" s="118"/>
      <c r="L406" s="118"/>
      <c r="M406" s="118"/>
      <c r="N406" s="164"/>
      <c r="O406" s="161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</row>
    <row r="407">
      <c r="A407" s="118"/>
      <c r="B407" s="118"/>
      <c r="C407" s="118"/>
      <c r="D407" s="118"/>
      <c r="E407" s="118"/>
      <c r="F407" s="118"/>
      <c r="G407" s="118"/>
      <c r="H407" s="100"/>
      <c r="I407" s="100"/>
      <c r="J407" s="118"/>
      <c r="K407" s="118"/>
      <c r="L407" s="118"/>
      <c r="M407" s="118"/>
      <c r="N407" s="164"/>
      <c r="O407" s="161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</row>
    <row r="408">
      <c r="A408" s="118"/>
      <c r="B408" s="118"/>
      <c r="C408" s="118"/>
      <c r="D408" s="118"/>
      <c r="E408" s="118"/>
      <c r="F408" s="118"/>
      <c r="G408" s="118"/>
      <c r="H408" s="100"/>
      <c r="I408" s="100"/>
      <c r="J408" s="118"/>
      <c r="K408" s="118"/>
      <c r="L408" s="118"/>
      <c r="M408" s="118"/>
      <c r="N408" s="164"/>
      <c r="O408" s="161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/>
      <c r="AO408" s="118"/>
      <c r="AP408" s="118"/>
      <c r="AQ408" s="118"/>
      <c r="AR408" s="118"/>
      <c r="AS408" s="118"/>
    </row>
    <row r="409">
      <c r="A409" s="118"/>
      <c r="B409" s="118"/>
      <c r="C409" s="118"/>
      <c r="D409" s="118"/>
      <c r="E409" s="118"/>
      <c r="F409" s="118"/>
      <c r="G409" s="118"/>
      <c r="H409" s="100"/>
      <c r="I409" s="100"/>
      <c r="J409" s="118"/>
      <c r="K409" s="118"/>
      <c r="L409" s="118"/>
      <c r="M409" s="118"/>
      <c r="N409" s="164"/>
      <c r="O409" s="161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/>
    </row>
    <row r="410">
      <c r="A410" s="118"/>
      <c r="B410" s="118"/>
      <c r="C410" s="118"/>
      <c r="D410" s="118"/>
      <c r="E410" s="118"/>
      <c r="F410" s="118"/>
      <c r="G410" s="118"/>
      <c r="H410" s="100"/>
      <c r="I410" s="100"/>
      <c r="J410" s="118"/>
      <c r="K410" s="118"/>
      <c r="L410" s="118"/>
      <c r="M410" s="118"/>
      <c r="N410" s="164"/>
      <c r="O410" s="161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  <c r="AL410" s="118"/>
      <c r="AM410" s="118"/>
      <c r="AN410" s="118"/>
      <c r="AO410" s="118"/>
      <c r="AP410" s="118"/>
      <c r="AQ410" s="118"/>
      <c r="AR410" s="118"/>
      <c r="AS410" s="118"/>
    </row>
    <row r="411">
      <c r="A411" s="118"/>
      <c r="B411" s="118"/>
      <c r="C411" s="118"/>
      <c r="D411" s="118"/>
      <c r="E411" s="118"/>
      <c r="F411" s="118"/>
      <c r="G411" s="118"/>
      <c r="H411" s="100"/>
      <c r="I411" s="100"/>
      <c r="J411" s="118"/>
      <c r="K411" s="118"/>
      <c r="L411" s="118"/>
      <c r="M411" s="118"/>
      <c r="N411" s="164"/>
      <c r="O411" s="161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  <c r="AL411" s="118"/>
      <c r="AM411" s="118"/>
      <c r="AN411" s="118"/>
      <c r="AO411" s="118"/>
      <c r="AP411" s="118"/>
      <c r="AQ411" s="118"/>
      <c r="AR411" s="118"/>
      <c r="AS411" s="118"/>
    </row>
    <row r="412">
      <c r="A412" s="118"/>
      <c r="B412" s="118"/>
      <c r="C412" s="118"/>
      <c r="D412" s="118"/>
      <c r="E412" s="118"/>
      <c r="F412" s="118"/>
      <c r="G412" s="118"/>
      <c r="H412" s="100"/>
      <c r="I412" s="100"/>
      <c r="J412" s="118"/>
      <c r="K412" s="118"/>
      <c r="L412" s="118"/>
      <c r="M412" s="118"/>
      <c r="N412" s="164"/>
      <c r="O412" s="161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</row>
    <row r="413">
      <c r="A413" s="118"/>
      <c r="B413" s="118"/>
      <c r="C413" s="118"/>
      <c r="D413" s="118"/>
      <c r="E413" s="118"/>
      <c r="F413" s="118"/>
      <c r="G413" s="118"/>
      <c r="H413" s="100"/>
      <c r="I413" s="100"/>
      <c r="J413" s="118"/>
      <c r="K413" s="118"/>
      <c r="L413" s="118"/>
      <c r="M413" s="118"/>
      <c r="N413" s="164"/>
      <c r="O413" s="161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</row>
    <row r="414">
      <c r="A414" s="118"/>
      <c r="B414" s="118"/>
      <c r="C414" s="118"/>
      <c r="D414" s="118"/>
      <c r="E414" s="118"/>
      <c r="F414" s="118"/>
      <c r="G414" s="118"/>
      <c r="H414" s="100"/>
      <c r="I414" s="100"/>
      <c r="J414" s="118"/>
      <c r="K414" s="118"/>
      <c r="L414" s="118"/>
      <c r="M414" s="118"/>
      <c r="N414" s="164"/>
      <c r="O414" s="161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  <c r="AL414" s="118"/>
      <c r="AM414" s="118"/>
      <c r="AN414" s="118"/>
      <c r="AO414" s="118"/>
      <c r="AP414" s="118"/>
      <c r="AQ414" s="118"/>
      <c r="AR414" s="118"/>
      <c r="AS414" s="118"/>
    </row>
    <row r="415">
      <c r="A415" s="118"/>
      <c r="B415" s="118"/>
      <c r="C415" s="118"/>
      <c r="D415" s="118"/>
      <c r="E415" s="118"/>
      <c r="F415" s="118"/>
      <c r="G415" s="118"/>
      <c r="H415" s="100"/>
      <c r="I415" s="100"/>
      <c r="J415" s="118"/>
      <c r="K415" s="118"/>
      <c r="L415" s="118"/>
      <c r="M415" s="118"/>
      <c r="N415" s="164"/>
      <c r="O415" s="161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18"/>
      <c r="AN415" s="118"/>
      <c r="AO415" s="118"/>
      <c r="AP415" s="118"/>
      <c r="AQ415" s="118"/>
      <c r="AR415" s="118"/>
      <c r="AS415" s="118"/>
    </row>
    <row r="416">
      <c r="A416" s="118"/>
      <c r="B416" s="118"/>
      <c r="C416" s="118"/>
      <c r="D416" s="118"/>
      <c r="E416" s="118"/>
      <c r="F416" s="118"/>
      <c r="G416" s="118"/>
      <c r="H416" s="100"/>
      <c r="I416" s="100"/>
      <c r="J416" s="118"/>
      <c r="K416" s="118"/>
      <c r="L416" s="118"/>
      <c r="M416" s="118"/>
      <c r="N416" s="164"/>
      <c r="O416" s="161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18"/>
      <c r="AK416" s="118"/>
      <c r="AL416" s="118"/>
      <c r="AM416" s="118"/>
      <c r="AN416" s="118"/>
      <c r="AO416" s="118"/>
      <c r="AP416" s="118"/>
      <c r="AQ416" s="118"/>
      <c r="AR416" s="118"/>
      <c r="AS416" s="118"/>
    </row>
    <row r="417">
      <c r="A417" s="118"/>
      <c r="B417" s="118"/>
      <c r="C417" s="118"/>
      <c r="D417" s="118"/>
      <c r="E417" s="118"/>
      <c r="F417" s="118"/>
      <c r="G417" s="118"/>
      <c r="H417" s="100"/>
      <c r="I417" s="100"/>
      <c r="J417" s="118"/>
      <c r="K417" s="118"/>
      <c r="L417" s="118"/>
      <c r="M417" s="118"/>
      <c r="N417" s="164"/>
      <c r="O417" s="161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  <c r="AI417" s="118"/>
      <c r="AJ417" s="118"/>
      <c r="AK417" s="118"/>
      <c r="AL417" s="118"/>
      <c r="AM417" s="118"/>
      <c r="AN417" s="118"/>
      <c r="AO417" s="118"/>
      <c r="AP417" s="118"/>
      <c r="AQ417" s="118"/>
      <c r="AR417" s="118"/>
      <c r="AS417" s="118"/>
    </row>
    <row r="418">
      <c r="A418" s="118"/>
      <c r="B418" s="118"/>
      <c r="C418" s="118"/>
      <c r="D418" s="118"/>
      <c r="E418" s="118"/>
      <c r="F418" s="118"/>
      <c r="G418" s="118"/>
      <c r="H418" s="100"/>
      <c r="I418" s="100"/>
      <c r="J418" s="118"/>
      <c r="K418" s="118"/>
      <c r="L418" s="118"/>
      <c r="M418" s="118"/>
      <c r="N418" s="164"/>
      <c r="O418" s="161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</row>
    <row r="419">
      <c r="A419" s="118"/>
      <c r="B419" s="118"/>
      <c r="C419" s="118"/>
      <c r="D419" s="118"/>
      <c r="E419" s="118"/>
      <c r="F419" s="118"/>
      <c r="G419" s="118"/>
      <c r="H419" s="100"/>
      <c r="I419" s="100"/>
      <c r="J419" s="118"/>
      <c r="K419" s="118"/>
      <c r="L419" s="118"/>
      <c r="M419" s="118"/>
      <c r="N419" s="164"/>
      <c r="O419" s="161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</row>
    <row r="420">
      <c r="A420" s="118"/>
      <c r="B420" s="118"/>
      <c r="C420" s="118"/>
      <c r="D420" s="118"/>
      <c r="E420" s="118"/>
      <c r="F420" s="118"/>
      <c r="G420" s="118"/>
      <c r="H420" s="100"/>
      <c r="I420" s="100"/>
      <c r="J420" s="118"/>
      <c r="K420" s="118"/>
      <c r="L420" s="118"/>
      <c r="M420" s="118"/>
      <c r="N420" s="164"/>
      <c r="O420" s="161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</row>
    <row r="421">
      <c r="A421" s="118"/>
      <c r="B421" s="118"/>
      <c r="C421" s="118"/>
      <c r="D421" s="118"/>
      <c r="E421" s="118"/>
      <c r="F421" s="118"/>
      <c r="G421" s="118"/>
      <c r="H421" s="100"/>
      <c r="I421" s="100"/>
      <c r="J421" s="118"/>
      <c r="K421" s="118"/>
      <c r="L421" s="118"/>
      <c r="M421" s="118"/>
      <c r="N421" s="164"/>
      <c r="O421" s="161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  <c r="AI421" s="118"/>
      <c r="AJ421" s="118"/>
      <c r="AK421" s="118"/>
      <c r="AL421" s="118"/>
      <c r="AM421" s="118"/>
      <c r="AN421" s="118"/>
      <c r="AO421" s="118"/>
      <c r="AP421" s="118"/>
      <c r="AQ421" s="118"/>
      <c r="AR421" s="118"/>
      <c r="AS421" s="118"/>
    </row>
    <row r="422">
      <c r="A422" s="118"/>
      <c r="B422" s="118"/>
      <c r="C422" s="118"/>
      <c r="D422" s="118"/>
      <c r="E422" s="118"/>
      <c r="F422" s="118"/>
      <c r="G422" s="118"/>
      <c r="H422" s="100"/>
      <c r="I422" s="100"/>
      <c r="J422" s="118"/>
      <c r="K422" s="118"/>
      <c r="L422" s="118"/>
      <c r="M422" s="118"/>
      <c r="N422" s="164"/>
      <c r="O422" s="161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  <c r="AI422" s="118"/>
      <c r="AJ422" s="118"/>
      <c r="AK422" s="118"/>
      <c r="AL422" s="118"/>
      <c r="AM422" s="118"/>
      <c r="AN422" s="118"/>
      <c r="AO422" s="118"/>
      <c r="AP422" s="118"/>
      <c r="AQ422" s="118"/>
      <c r="AR422" s="118"/>
      <c r="AS422" s="118"/>
    </row>
    <row r="423">
      <c r="A423" s="118"/>
      <c r="B423" s="118"/>
      <c r="C423" s="118"/>
      <c r="D423" s="118"/>
      <c r="E423" s="118"/>
      <c r="F423" s="118"/>
      <c r="G423" s="118"/>
      <c r="H423" s="100"/>
      <c r="I423" s="100"/>
      <c r="J423" s="118"/>
      <c r="K423" s="118"/>
      <c r="L423" s="118"/>
      <c r="M423" s="118"/>
      <c r="N423" s="164"/>
      <c r="O423" s="161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  <c r="AI423" s="118"/>
      <c r="AJ423" s="118"/>
      <c r="AK423" s="118"/>
      <c r="AL423" s="118"/>
      <c r="AM423" s="118"/>
      <c r="AN423" s="118"/>
      <c r="AO423" s="118"/>
      <c r="AP423" s="118"/>
      <c r="AQ423" s="118"/>
      <c r="AR423" s="118"/>
      <c r="AS423" s="118"/>
    </row>
    <row r="424">
      <c r="A424" s="118"/>
      <c r="B424" s="118"/>
      <c r="C424" s="118"/>
      <c r="D424" s="118"/>
      <c r="E424" s="118"/>
      <c r="F424" s="118"/>
      <c r="G424" s="118"/>
      <c r="H424" s="100"/>
      <c r="I424" s="100"/>
      <c r="J424" s="118"/>
      <c r="K424" s="118"/>
      <c r="L424" s="118"/>
      <c r="M424" s="118"/>
      <c r="N424" s="164"/>
      <c r="O424" s="161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  <c r="AI424" s="118"/>
      <c r="AJ424" s="118"/>
      <c r="AK424" s="118"/>
      <c r="AL424" s="118"/>
      <c r="AM424" s="118"/>
      <c r="AN424" s="118"/>
      <c r="AO424" s="118"/>
      <c r="AP424" s="118"/>
      <c r="AQ424" s="118"/>
      <c r="AR424" s="118"/>
      <c r="AS424" s="118"/>
    </row>
    <row r="425">
      <c r="A425" s="118"/>
      <c r="B425" s="118"/>
      <c r="C425" s="118"/>
      <c r="D425" s="118"/>
      <c r="E425" s="118"/>
      <c r="F425" s="118"/>
      <c r="G425" s="118"/>
      <c r="H425" s="100"/>
      <c r="I425" s="100"/>
      <c r="J425" s="118"/>
      <c r="K425" s="118"/>
      <c r="L425" s="118"/>
      <c r="M425" s="118"/>
      <c r="N425" s="164"/>
      <c r="O425" s="161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</row>
    <row r="426">
      <c r="A426" s="118"/>
      <c r="B426" s="118"/>
      <c r="C426" s="118"/>
      <c r="D426" s="118"/>
      <c r="E426" s="118"/>
      <c r="F426" s="118"/>
      <c r="G426" s="118"/>
      <c r="H426" s="100"/>
      <c r="I426" s="100"/>
      <c r="J426" s="118"/>
      <c r="K426" s="118"/>
      <c r="L426" s="118"/>
      <c r="M426" s="118"/>
      <c r="N426" s="164"/>
      <c r="O426" s="161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</row>
    <row r="427">
      <c r="A427" s="118"/>
      <c r="B427" s="118"/>
      <c r="C427" s="118"/>
      <c r="D427" s="118"/>
      <c r="E427" s="118"/>
      <c r="F427" s="118"/>
      <c r="G427" s="118"/>
      <c r="H427" s="100"/>
      <c r="I427" s="100"/>
      <c r="J427" s="118"/>
      <c r="K427" s="118"/>
      <c r="L427" s="118"/>
      <c r="M427" s="118"/>
      <c r="N427" s="164"/>
      <c r="O427" s="161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</row>
    <row r="428">
      <c r="A428" s="118"/>
      <c r="B428" s="118"/>
      <c r="C428" s="118"/>
      <c r="D428" s="118"/>
      <c r="E428" s="118"/>
      <c r="F428" s="118"/>
      <c r="G428" s="118"/>
      <c r="H428" s="100"/>
      <c r="I428" s="100"/>
      <c r="J428" s="118"/>
      <c r="K428" s="118"/>
      <c r="L428" s="118"/>
      <c r="M428" s="118"/>
      <c r="N428" s="164"/>
      <c r="O428" s="161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  <c r="AI428" s="118"/>
      <c r="AJ428" s="118"/>
      <c r="AK428" s="118"/>
      <c r="AL428" s="118"/>
      <c r="AM428" s="118"/>
      <c r="AN428" s="118"/>
      <c r="AO428" s="118"/>
      <c r="AP428" s="118"/>
      <c r="AQ428" s="118"/>
      <c r="AR428" s="118"/>
      <c r="AS428" s="118"/>
    </row>
    <row r="429">
      <c r="A429" s="118"/>
      <c r="B429" s="118"/>
      <c r="C429" s="118"/>
      <c r="D429" s="118"/>
      <c r="E429" s="118"/>
      <c r="F429" s="118"/>
      <c r="G429" s="118"/>
      <c r="H429" s="100"/>
      <c r="I429" s="100"/>
      <c r="J429" s="118"/>
      <c r="K429" s="118"/>
      <c r="L429" s="118"/>
      <c r="M429" s="118"/>
      <c r="N429" s="164"/>
      <c r="O429" s="161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  <c r="AI429" s="118"/>
      <c r="AJ429" s="118"/>
      <c r="AK429" s="118"/>
      <c r="AL429" s="118"/>
      <c r="AM429" s="118"/>
      <c r="AN429" s="118"/>
      <c r="AO429" s="118"/>
      <c r="AP429" s="118"/>
      <c r="AQ429" s="118"/>
      <c r="AR429" s="118"/>
      <c r="AS429" s="118"/>
    </row>
    <row r="430">
      <c r="A430" s="118"/>
      <c r="B430" s="118"/>
      <c r="C430" s="118"/>
      <c r="D430" s="118"/>
      <c r="E430" s="118"/>
      <c r="F430" s="118"/>
      <c r="G430" s="118"/>
      <c r="H430" s="100"/>
      <c r="I430" s="100"/>
      <c r="J430" s="118"/>
      <c r="K430" s="118"/>
      <c r="L430" s="118"/>
      <c r="M430" s="118"/>
      <c r="N430" s="164"/>
      <c r="O430" s="161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  <c r="AL430" s="118"/>
      <c r="AM430" s="118"/>
      <c r="AN430" s="118"/>
      <c r="AO430" s="118"/>
      <c r="AP430" s="118"/>
      <c r="AQ430" s="118"/>
      <c r="AR430" s="118"/>
      <c r="AS430" s="118"/>
    </row>
    <row r="431">
      <c r="A431" s="118"/>
      <c r="B431" s="118"/>
      <c r="C431" s="118"/>
      <c r="D431" s="118"/>
      <c r="E431" s="118"/>
      <c r="F431" s="118"/>
      <c r="G431" s="118"/>
      <c r="H431" s="100"/>
      <c r="I431" s="100"/>
      <c r="J431" s="118"/>
      <c r="K431" s="118"/>
      <c r="L431" s="118"/>
      <c r="M431" s="118"/>
      <c r="N431" s="164"/>
      <c r="O431" s="161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  <c r="AL431" s="118"/>
      <c r="AM431" s="118"/>
      <c r="AN431" s="118"/>
      <c r="AO431" s="118"/>
      <c r="AP431" s="118"/>
      <c r="AQ431" s="118"/>
      <c r="AR431" s="118"/>
      <c r="AS431" s="118"/>
    </row>
    <row r="432">
      <c r="A432" s="118"/>
      <c r="B432" s="118"/>
      <c r="C432" s="118"/>
      <c r="D432" s="118"/>
      <c r="E432" s="118"/>
      <c r="F432" s="118"/>
      <c r="G432" s="118"/>
      <c r="H432" s="100"/>
      <c r="I432" s="100"/>
      <c r="J432" s="118"/>
      <c r="K432" s="118"/>
      <c r="L432" s="118"/>
      <c r="M432" s="118"/>
      <c r="N432" s="164"/>
      <c r="O432" s="161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</row>
    <row r="433">
      <c r="A433" s="118"/>
      <c r="B433" s="118"/>
      <c r="C433" s="118"/>
      <c r="D433" s="118"/>
      <c r="E433" s="118"/>
      <c r="F433" s="118"/>
      <c r="G433" s="118"/>
      <c r="H433" s="100"/>
      <c r="I433" s="100"/>
      <c r="J433" s="118"/>
      <c r="K433" s="118"/>
      <c r="L433" s="118"/>
      <c r="M433" s="118"/>
      <c r="N433" s="164"/>
      <c r="O433" s="161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</row>
    <row r="434">
      <c r="A434" s="118"/>
      <c r="B434" s="118"/>
      <c r="C434" s="118"/>
      <c r="D434" s="118"/>
      <c r="E434" s="118"/>
      <c r="F434" s="118"/>
      <c r="G434" s="118"/>
      <c r="H434" s="100"/>
      <c r="I434" s="100"/>
      <c r="J434" s="118"/>
      <c r="K434" s="118"/>
      <c r="L434" s="118"/>
      <c r="M434" s="118"/>
      <c r="N434" s="164"/>
      <c r="O434" s="161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  <c r="AI434" s="118"/>
      <c r="AJ434" s="118"/>
      <c r="AK434" s="118"/>
      <c r="AL434" s="118"/>
      <c r="AM434" s="118"/>
      <c r="AN434" s="118"/>
      <c r="AO434" s="118"/>
      <c r="AP434" s="118"/>
      <c r="AQ434" s="118"/>
      <c r="AR434" s="118"/>
      <c r="AS434" s="118"/>
    </row>
    <row r="435">
      <c r="A435" s="118"/>
      <c r="B435" s="118"/>
      <c r="C435" s="118"/>
      <c r="D435" s="118"/>
      <c r="E435" s="118"/>
      <c r="F435" s="118"/>
      <c r="G435" s="118"/>
      <c r="H435" s="100"/>
      <c r="I435" s="100"/>
      <c r="J435" s="118"/>
      <c r="K435" s="118"/>
      <c r="L435" s="118"/>
      <c r="M435" s="118"/>
      <c r="N435" s="164"/>
      <c r="O435" s="161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  <c r="AI435" s="118"/>
      <c r="AJ435" s="118"/>
      <c r="AK435" s="118"/>
      <c r="AL435" s="118"/>
      <c r="AM435" s="118"/>
      <c r="AN435" s="118"/>
      <c r="AO435" s="118"/>
      <c r="AP435" s="118"/>
      <c r="AQ435" s="118"/>
      <c r="AR435" s="118"/>
      <c r="AS435" s="118"/>
    </row>
    <row r="436">
      <c r="A436" s="118"/>
      <c r="B436" s="118"/>
      <c r="C436" s="118"/>
      <c r="D436" s="118"/>
      <c r="E436" s="118"/>
      <c r="F436" s="118"/>
      <c r="G436" s="118"/>
      <c r="H436" s="100"/>
      <c r="I436" s="100"/>
      <c r="J436" s="118"/>
      <c r="K436" s="118"/>
      <c r="L436" s="118"/>
      <c r="M436" s="118"/>
      <c r="N436" s="164"/>
      <c r="O436" s="161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  <c r="AI436" s="118"/>
      <c r="AJ436" s="118"/>
      <c r="AK436" s="118"/>
      <c r="AL436" s="118"/>
      <c r="AM436" s="118"/>
      <c r="AN436" s="118"/>
      <c r="AO436" s="118"/>
      <c r="AP436" s="118"/>
      <c r="AQ436" s="118"/>
      <c r="AR436" s="118"/>
      <c r="AS436" s="118"/>
    </row>
    <row r="437">
      <c r="A437" s="118"/>
      <c r="B437" s="118"/>
      <c r="C437" s="118"/>
      <c r="D437" s="118"/>
      <c r="E437" s="118"/>
      <c r="F437" s="118"/>
      <c r="G437" s="118"/>
      <c r="H437" s="100"/>
      <c r="I437" s="100"/>
      <c r="J437" s="118"/>
      <c r="K437" s="118"/>
      <c r="L437" s="118"/>
      <c r="M437" s="118"/>
      <c r="N437" s="164"/>
      <c r="O437" s="161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  <c r="AI437" s="118"/>
      <c r="AJ437" s="118"/>
      <c r="AK437" s="118"/>
      <c r="AL437" s="118"/>
      <c r="AM437" s="118"/>
      <c r="AN437" s="118"/>
      <c r="AO437" s="118"/>
      <c r="AP437" s="118"/>
      <c r="AQ437" s="118"/>
      <c r="AR437" s="118"/>
      <c r="AS437" s="118"/>
    </row>
    <row r="438">
      <c r="A438" s="118"/>
      <c r="B438" s="118"/>
      <c r="C438" s="118"/>
      <c r="D438" s="118"/>
      <c r="E438" s="118"/>
      <c r="F438" s="118"/>
      <c r="G438" s="118"/>
      <c r="H438" s="100"/>
      <c r="I438" s="100"/>
      <c r="J438" s="118"/>
      <c r="K438" s="118"/>
      <c r="L438" s="118"/>
      <c r="M438" s="118"/>
      <c r="N438" s="164"/>
      <c r="O438" s="161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  <c r="AL438" s="118"/>
      <c r="AM438" s="118"/>
      <c r="AN438" s="118"/>
      <c r="AO438" s="118"/>
      <c r="AP438" s="118"/>
      <c r="AQ438" s="118"/>
      <c r="AR438" s="118"/>
      <c r="AS438" s="118"/>
    </row>
    <row r="439">
      <c r="A439" s="118"/>
      <c r="B439" s="118"/>
      <c r="C439" s="118"/>
      <c r="D439" s="118"/>
      <c r="E439" s="118"/>
      <c r="F439" s="118"/>
      <c r="G439" s="118"/>
      <c r="H439" s="100"/>
      <c r="I439" s="100"/>
      <c r="J439" s="118"/>
      <c r="K439" s="118"/>
      <c r="L439" s="118"/>
      <c r="M439" s="118"/>
      <c r="N439" s="164"/>
      <c r="O439" s="161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  <c r="AL439" s="118"/>
      <c r="AM439" s="118"/>
      <c r="AN439" s="118"/>
      <c r="AO439" s="118"/>
      <c r="AP439" s="118"/>
      <c r="AQ439" s="118"/>
      <c r="AR439" s="118"/>
      <c r="AS439" s="118"/>
    </row>
    <row r="440">
      <c r="A440" s="118"/>
      <c r="B440" s="118"/>
      <c r="C440" s="118"/>
      <c r="D440" s="118"/>
      <c r="E440" s="118"/>
      <c r="F440" s="118"/>
      <c r="G440" s="118"/>
      <c r="H440" s="100"/>
      <c r="I440" s="100"/>
      <c r="J440" s="118"/>
      <c r="K440" s="118"/>
      <c r="L440" s="118"/>
      <c r="M440" s="118"/>
      <c r="N440" s="164"/>
      <c r="O440" s="161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</row>
    <row r="441">
      <c r="A441" s="118"/>
      <c r="B441" s="118"/>
      <c r="C441" s="118"/>
      <c r="D441" s="118"/>
      <c r="E441" s="118"/>
      <c r="F441" s="118"/>
      <c r="G441" s="118"/>
      <c r="H441" s="100"/>
      <c r="I441" s="100"/>
      <c r="J441" s="118"/>
      <c r="K441" s="118"/>
      <c r="L441" s="118"/>
      <c r="M441" s="118"/>
      <c r="N441" s="164"/>
      <c r="O441" s="161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  <c r="AL441" s="118"/>
      <c r="AM441" s="118"/>
      <c r="AN441" s="118"/>
      <c r="AO441" s="118"/>
      <c r="AP441" s="118"/>
      <c r="AQ441" s="118"/>
      <c r="AR441" s="118"/>
      <c r="AS441" s="118"/>
    </row>
    <row r="442">
      <c r="A442" s="118"/>
      <c r="B442" s="118"/>
      <c r="C442" s="118"/>
      <c r="D442" s="118"/>
      <c r="E442" s="118"/>
      <c r="F442" s="118"/>
      <c r="G442" s="118"/>
      <c r="H442" s="100"/>
      <c r="I442" s="100"/>
      <c r="J442" s="118"/>
      <c r="K442" s="118"/>
      <c r="L442" s="118"/>
      <c r="M442" s="118"/>
      <c r="N442" s="164"/>
      <c r="O442" s="161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8"/>
      <c r="AN442" s="118"/>
      <c r="AO442" s="118"/>
      <c r="AP442" s="118"/>
      <c r="AQ442" s="118"/>
      <c r="AR442" s="118"/>
      <c r="AS442" s="118"/>
    </row>
    <row r="443">
      <c r="A443" s="118"/>
      <c r="B443" s="118"/>
      <c r="C443" s="118"/>
      <c r="D443" s="118"/>
      <c r="E443" s="118"/>
      <c r="F443" s="118"/>
      <c r="G443" s="118"/>
      <c r="H443" s="100"/>
      <c r="I443" s="100"/>
      <c r="J443" s="118"/>
      <c r="K443" s="118"/>
      <c r="L443" s="118"/>
      <c r="M443" s="118"/>
      <c r="N443" s="164"/>
      <c r="O443" s="161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  <c r="AL443" s="118"/>
      <c r="AM443" s="118"/>
      <c r="AN443" s="118"/>
      <c r="AO443" s="118"/>
      <c r="AP443" s="118"/>
      <c r="AQ443" s="118"/>
      <c r="AR443" s="118"/>
      <c r="AS443" s="118"/>
    </row>
    <row r="444">
      <c r="A444" s="118"/>
      <c r="B444" s="118"/>
      <c r="C444" s="118"/>
      <c r="D444" s="118"/>
      <c r="E444" s="118"/>
      <c r="F444" s="118"/>
      <c r="G444" s="118"/>
      <c r="H444" s="100"/>
      <c r="I444" s="100"/>
      <c r="J444" s="118"/>
      <c r="K444" s="118"/>
      <c r="L444" s="118"/>
      <c r="M444" s="118"/>
      <c r="N444" s="164"/>
      <c r="O444" s="161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</row>
    <row r="445">
      <c r="A445" s="118"/>
      <c r="B445" s="118"/>
      <c r="C445" s="118"/>
      <c r="D445" s="118"/>
      <c r="E445" s="118"/>
      <c r="F445" s="118"/>
      <c r="G445" s="118"/>
      <c r="H445" s="100"/>
      <c r="I445" s="100"/>
      <c r="J445" s="118"/>
      <c r="K445" s="118"/>
      <c r="L445" s="118"/>
      <c r="M445" s="118"/>
      <c r="N445" s="164"/>
      <c r="O445" s="161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</row>
    <row r="446">
      <c r="A446" s="118"/>
      <c r="B446" s="118"/>
      <c r="C446" s="118"/>
      <c r="D446" s="118"/>
      <c r="E446" s="118"/>
      <c r="F446" s="118"/>
      <c r="G446" s="118"/>
      <c r="H446" s="100"/>
      <c r="I446" s="100"/>
      <c r="J446" s="118"/>
      <c r="K446" s="118"/>
      <c r="L446" s="118"/>
      <c r="M446" s="118"/>
      <c r="N446" s="164"/>
      <c r="O446" s="161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</row>
    <row r="447">
      <c r="A447" s="118"/>
      <c r="B447" s="118"/>
      <c r="C447" s="118"/>
      <c r="D447" s="118"/>
      <c r="E447" s="118"/>
      <c r="F447" s="118"/>
      <c r="G447" s="118"/>
      <c r="H447" s="100"/>
      <c r="I447" s="100"/>
      <c r="J447" s="118"/>
      <c r="K447" s="118"/>
      <c r="L447" s="118"/>
      <c r="M447" s="118"/>
      <c r="N447" s="164"/>
      <c r="O447" s="161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  <c r="AL447" s="118"/>
      <c r="AM447" s="118"/>
      <c r="AN447" s="118"/>
      <c r="AO447" s="118"/>
      <c r="AP447" s="118"/>
      <c r="AQ447" s="118"/>
      <c r="AR447" s="118"/>
      <c r="AS447" s="118"/>
    </row>
    <row r="448">
      <c r="A448" s="118"/>
      <c r="B448" s="118"/>
      <c r="C448" s="118"/>
      <c r="D448" s="118"/>
      <c r="E448" s="118"/>
      <c r="F448" s="118"/>
      <c r="G448" s="118"/>
      <c r="H448" s="100"/>
      <c r="I448" s="100"/>
      <c r="J448" s="118"/>
      <c r="K448" s="118"/>
      <c r="L448" s="118"/>
      <c r="M448" s="118"/>
      <c r="N448" s="164"/>
      <c r="O448" s="161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  <c r="AL448" s="118"/>
      <c r="AM448" s="118"/>
      <c r="AN448" s="118"/>
      <c r="AO448" s="118"/>
      <c r="AP448" s="118"/>
      <c r="AQ448" s="118"/>
      <c r="AR448" s="118"/>
      <c r="AS448" s="118"/>
    </row>
    <row r="449">
      <c r="A449" s="118"/>
      <c r="B449" s="118"/>
      <c r="C449" s="118"/>
      <c r="D449" s="118"/>
      <c r="E449" s="118"/>
      <c r="F449" s="118"/>
      <c r="G449" s="118"/>
      <c r="H449" s="100"/>
      <c r="I449" s="100"/>
      <c r="J449" s="118"/>
      <c r="K449" s="118"/>
      <c r="L449" s="118"/>
      <c r="M449" s="118"/>
      <c r="N449" s="164"/>
      <c r="O449" s="161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</row>
    <row r="450">
      <c r="A450" s="118"/>
      <c r="B450" s="118"/>
      <c r="C450" s="118"/>
      <c r="D450" s="118"/>
      <c r="E450" s="118"/>
      <c r="F450" s="118"/>
      <c r="G450" s="118"/>
      <c r="H450" s="100"/>
      <c r="I450" s="100"/>
      <c r="J450" s="118"/>
      <c r="K450" s="118"/>
      <c r="L450" s="118"/>
      <c r="M450" s="118"/>
      <c r="N450" s="164"/>
      <c r="O450" s="161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</row>
    <row r="451">
      <c r="A451" s="118"/>
      <c r="B451" s="118"/>
      <c r="C451" s="118"/>
      <c r="D451" s="118"/>
      <c r="E451" s="118"/>
      <c r="F451" s="118"/>
      <c r="G451" s="118"/>
      <c r="H451" s="100"/>
      <c r="I451" s="100"/>
      <c r="J451" s="118"/>
      <c r="K451" s="118"/>
      <c r="L451" s="118"/>
      <c r="M451" s="118"/>
      <c r="N451" s="164"/>
      <c r="O451" s="161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</row>
    <row r="452">
      <c r="A452" s="118"/>
      <c r="B452" s="118"/>
      <c r="C452" s="118"/>
      <c r="D452" s="118"/>
      <c r="E452" s="118"/>
      <c r="F452" s="118"/>
      <c r="G452" s="118"/>
      <c r="H452" s="100"/>
      <c r="I452" s="100"/>
      <c r="J452" s="118"/>
      <c r="K452" s="118"/>
      <c r="L452" s="118"/>
      <c r="M452" s="118"/>
      <c r="N452" s="164"/>
      <c r="O452" s="161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  <c r="AL452" s="118"/>
      <c r="AM452" s="118"/>
      <c r="AN452" s="118"/>
      <c r="AO452" s="118"/>
      <c r="AP452" s="118"/>
      <c r="AQ452" s="118"/>
      <c r="AR452" s="118"/>
      <c r="AS452" s="118"/>
    </row>
    <row r="453">
      <c r="A453" s="118"/>
      <c r="B453" s="118"/>
      <c r="C453" s="118"/>
      <c r="D453" s="118"/>
      <c r="E453" s="118"/>
      <c r="F453" s="118"/>
      <c r="G453" s="118"/>
      <c r="H453" s="100"/>
      <c r="I453" s="100"/>
      <c r="J453" s="118"/>
      <c r="K453" s="118"/>
      <c r="L453" s="118"/>
      <c r="M453" s="118"/>
      <c r="N453" s="164"/>
      <c r="O453" s="161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  <c r="AL453" s="118"/>
      <c r="AM453" s="118"/>
      <c r="AN453" s="118"/>
      <c r="AO453" s="118"/>
      <c r="AP453" s="118"/>
      <c r="AQ453" s="118"/>
      <c r="AR453" s="118"/>
      <c r="AS453" s="118"/>
    </row>
    <row r="454">
      <c r="A454" s="118"/>
      <c r="B454" s="118"/>
      <c r="C454" s="118"/>
      <c r="D454" s="118"/>
      <c r="E454" s="118"/>
      <c r="F454" s="118"/>
      <c r="G454" s="118"/>
      <c r="H454" s="100"/>
      <c r="I454" s="100"/>
      <c r="J454" s="118"/>
      <c r="K454" s="118"/>
      <c r="L454" s="118"/>
      <c r="M454" s="118"/>
      <c r="N454" s="164"/>
      <c r="O454" s="161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  <c r="AL454" s="118"/>
      <c r="AM454" s="118"/>
      <c r="AN454" s="118"/>
      <c r="AO454" s="118"/>
      <c r="AP454" s="118"/>
      <c r="AQ454" s="118"/>
      <c r="AR454" s="118"/>
      <c r="AS454" s="118"/>
    </row>
    <row r="455">
      <c r="A455" s="118"/>
      <c r="B455" s="118"/>
      <c r="C455" s="118"/>
      <c r="D455" s="118"/>
      <c r="E455" s="118"/>
      <c r="F455" s="118"/>
      <c r="G455" s="118"/>
      <c r="H455" s="100"/>
      <c r="I455" s="100"/>
      <c r="J455" s="118"/>
      <c r="K455" s="118"/>
      <c r="L455" s="118"/>
      <c r="M455" s="118"/>
      <c r="N455" s="164"/>
      <c r="O455" s="161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  <c r="AL455" s="118"/>
      <c r="AM455" s="118"/>
      <c r="AN455" s="118"/>
      <c r="AO455" s="118"/>
      <c r="AP455" s="118"/>
      <c r="AQ455" s="118"/>
      <c r="AR455" s="118"/>
      <c r="AS455" s="118"/>
    </row>
    <row r="456">
      <c r="A456" s="118"/>
      <c r="B456" s="118"/>
      <c r="C456" s="118"/>
      <c r="D456" s="118"/>
      <c r="E456" s="118"/>
      <c r="F456" s="118"/>
      <c r="G456" s="118"/>
      <c r="H456" s="100"/>
      <c r="I456" s="100"/>
      <c r="J456" s="118"/>
      <c r="K456" s="118"/>
      <c r="L456" s="118"/>
      <c r="M456" s="118"/>
      <c r="N456" s="164"/>
      <c r="O456" s="161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</row>
    <row r="457">
      <c r="A457" s="118"/>
      <c r="B457" s="118"/>
      <c r="C457" s="118"/>
      <c r="D457" s="118"/>
      <c r="E457" s="118"/>
      <c r="F457" s="118"/>
      <c r="G457" s="118"/>
      <c r="H457" s="100"/>
      <c r="I457" s="100"/>
      <c r="J457" s="118"/>
      <c r="K457" s="118"/>
      <c r="L457" s="118"/>
      <c r="M457" s="118"/>
      <c r="N457" s="164"/>
      <c r="O457" s="161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</row>
    <row r="458">
      <c r="A458" s="118"/>
      <c r="B458" s="118"/>
      <c r="C458" s="118"/>
      <c r="D458" s="118"/>
      <c r="E458" s="118"/>
      <c r="F458" s="118"/>
      <c r="G458" s="118"/>
      <c r="H458" s="100"/>
      <c r="I458" s="100"/>
      <c r="J458" s="118"/>
      <c r="K458" s="118"/>
      <c r="L458" s="118"/>
      <c r="M458" s="118"/>
      <c r="N458" s="164"/>
      <c r="O458" s="161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</row>
    <row r="459">
      <c r="A459" s="118"/>
      <c r="B459" s="118"/>
      <c r="C459" s="118"/>
      <c r="D459" s="118"/>
      <c r="E459" s="118"/>
      <c r="F459" s="118"/>
      <c r="G459" s="118"/>
      <c r="H459" s="100"/>
      <c r="I459" s="100"/>
      <c r="J459" s="118"/>
      <c r="K459" s="118"/>
      <c r="L459" s="118"/>
      <c r="M459" s="118"/>
      <c r="N459" s="164"/>
      <c r="O459" s="161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  <c r="AL459" s="118"/>
      <c r="AM459" s="118"/>
      <c r="AN459" s="118"/>
      <c r="AO459" s="118"/>
      <c r="AP459" s="118"/>
      <c r="AQ459" s="118"/>
      <c r="AR459" s="118"/>
      <c r="AS459" s="118"/>
    </row>
    <row r="460">
      <c r="A460" s="118"/>
      <c r="B460" s="118"/>
      <c r="C460" s="118"/>
      <c r="D460" s="118"/>
      <c r="E460" s="118"/>
      <c r="F460" s="118"/>
      <c r="G460" s="118"/>
      <c r="H460" s="100"/>
      <c r="I460" s="100"/>
      <c r="J460" s="118"/>
      <c r="K460" s="118"/>
      <c r="L460" s="118"/>
      <c r="M460" s="118"/>
      <c r="N460" s="164"/>
      <c r="O460" s="161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  <c r="AL460" s="118"/>
      <c r="AM460" s="118"/>
      <c r="AN460" s="118"/>
      <c r="AO460" s="118"/>
      <c r="AP460" s="118"/>
      <c r="AQ460" s="118"/>
      <c r="AR460" s="118"/>
      <c r="AS460" s="118"/>
    </row>
    <row r="461">
      <c r="A461" s="118"/>
      <c r="B461" s="118"/>
      <c r="C461" s="118"/>
      <c r="D461" s="118"/>
      <c r="E461" s="118"/>
      <c r="F461" s="118"/>
      <c r="G461" s="118"/>
      <c r="H461" s="100"/>
      <c r="I461" s="100"/>
      <c r="J461" s="118"/>
      <c r="K461" s="118"/>
      <c r="L461" s="118"/>
      <c r="M461" s="118"/>
      <c r="N461" s="164"/>
      <c r="O461" s="161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  <c r="AL461" s="118"/>
      <c r="AM461" s="118"/>
      <c r="AN461" s="118"/>
      <c r="AO461" s="118"/>
      <c r="AP461" s="118"/>
      <c r="AQ461" s="118"/>
      <c r="AR461" s="118"/>
      <c r="AS461" s="118"/>
    </row>
    <row r="462">
      <c r="A462" s="118"/>
      <c r="B462" s="118"/>
      <c r="C462" s="118"/>
      <c r="D462" s="118"/>
      <c r="E462" s="118"/>
      <c r="F462" s="118"/>
      <c r="G462" s="118"/>
      <c r="H462" s="100"/>
      <c r="I462" s="100"/>
      <c r="J462" s="118"/>
      <c r="K462" s="118"/>
      <c r="L462" s="118"/>
      <c r="M462" s="118"/>
      <c r="N462" s="164"/>
      <c r="O462" s="161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  <c r="AL462" s="118"/>
      <c r="AM462" s="118"/>
      <c r="AN462" s="118"/>
      <c r="AO462" s="118"/>
      <c r="AP462" s="118"/>
      <c r="AQ462" s="118"/>
      <c r="AR462" s="118"/>
      <c r="AS462" s="118"/>
    </row>
    <row r="463">
      <c r="A463" s="118"/>
      <c r="B463" s="118"/>
      <c r="C463" s="118"/>
      <c r="D463" s="118"/>
      <c r="E463" s="118"/>
      <c r="F463" s="118"/>
      <c r="G463" s="118"/>
      <c r="H463" s="100"/>
      <c r="I463" s="100"/>
      <c r="J463" s="118"/>
      <c r="K463" s="118"/>
      <c r="L463" s="118"/>
      <c r="M463" s="118"/>
      <c r="N463" s="164"/>
      <c r="O463" s="161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</row>
    <row r="464">
      <c r="A464" s="118"/>
      <c r="B464" s="118"/>
      <c r="C464" s="118"/>
      <c r="D464" s="118"/>
      <c r="E464" s="118"/>
      <c r="F464" s="118"/>
      <c r="G464" s="118"/>
      <c r="H464" s="100"/>
      <c r="I464" s="100"/>
      <c r="J464" s="118"/>
      <c r="K464" s="118"/>
      <c r="L464" s="118"/>
      <c r="M464" s="118"/>
      <c r="N464" s="164"/>
      <c r="O464" s="161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</row>
    <row r="465">
      <c r="A465" s="118"/>
      <c r="B465" s="118"/>
      <c r="C465" s="118"/>
      <c r="D465" s="118"/>
      <c r="E465" s="118"/>
      <c r="F465" s="118"/>
      <c r="G465" s="118"/>
      <c r="H465" s="100"/>
      <c r="I465" s="100"/>
      <c r="J465" s="118"/>
      <c r="K465" s="118"/>
      <c r="L465" s="118"/>
      <c r="M465" s="118"/>
      <c r="N465" s="164"/>
      <c r="O465" s="161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  <c r="AI465" s="118"/>
      <c r="AJ465" s="118"/>
      <c r="AK465" s="118"/>
      <c r="AL465" s="118"/>
      <c r="AM465" s="118"/>
      <c r="AN465" s="118"/>
      <c r="AO465" s="118"/>
      <c r="AP465" s="118"/>
      <c r="AQ465" s="118"/>
      <c r="AR465" s="118"/>
      <c r="AS465" s="118"/>
    </row>
    <row r="466">
      <c r="A466" s="118"/>
      <c r="B466" s="118"/>
      <c r="C466" s="118"/>
      <c r="D466" s="118"/>
      <c r="E466" s="118"/>
      <c r="F466" s="118"/>
      <c r="G466" s="118"/>
      <c r="H466" s="100"/>
      <c r="I466" s="100"/>
      <c r="J466" s="118"/>
      <c r="K466" s="118"/>
      <c r="L466" s="118"/>
      <c r="M466" s="118"/>
      <c r="N466" s="164"/>
      <c r="O466" s="161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  <c r="AI466" s="118"/>
      <c r="AJ466" s="118"/>
      <c r="AK466" s="118"/>
      <c r="AL466" s="118"/>
      <c r="AM466" s="118"/>
      <c r="AN466" s="118"/>
      <c r="AO466" s="118"/>
      <c r="AP466" s="118"/>
      <c r="AQ466" s="118"/>
      <c r="AR466" s="118"/>
      <c r="AS466" s="118"/>
    </row>
    <row r="467">
      <c r="A467" s="118"/>
      <c r="B467" s="118"/>
      <c r="C467" s="118"/>
      <c r="D467" s="118"/>
      <c r="E467" s="118"/>
      <c r="F467" s="118"/>
      <c r="G467" s="118"/>
      <c r="H467" s="100"/>
      <c r="I467" s="100"/>
      <c r="J467" s="118"/>
      <c r="K467" s="118"/>
      <c r="L467" s="118"/>
      <c r="M467" s="118"/>
      <c r="N467" s="164"/>
      <c r="O467" s="161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  <c r="AI467" s="118"/>
      <c r="AJ467" s="118"/>
      <c r="AK467" s="118"/>
      <c r="AL467" s="118"/>
      <c r="AM467" s="118"/>
      <c r="AN467" s="118"/>
      <c r="AO467" s="118"/>
      <c r="AP467" s="118"/>
      <c r="AQ467" s="118"/>
      <c r="AR467" s="118"/>
      <c r="AS467" s="118"/>
    </row>
    <row r="468">
      <c r="A468" s="118"/>
      <c r="B468" s="118"/>
      <c r="C468" s="118"/>
      <c r="D468" s="118"/>
      <c r="E468" s="118"/>
      <c r="F468" s="118"/>
      <c r="G468" s="118"/>
      <c r="H468" s="100"/>
      <c r="I468" s="100"/>
      <c r="J468" s="118"/>
      <c r="K468" s="118"/>
      <c r="L468" s="118"/>
      <c r="M468" s="118"/>
      <c r="N468" s="164"/>
      <c r="O468" s="161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  <c r="AI468" s="118"/>
      <c r="AJ468" s="118"/>
      <c r="AK468" s="118"/>
      <c r="AL468" s="118"/>
      <c r="AM468" s="118"/>
      <c r="AN468" s="118"/>
      <c r="AO468" s="118"/>
      <c r="AP468" s="118"/>
      <c r="AQ468" s="118"/>
      <c r="AR468" s="118"/>
      <c r="AS468" s="118"/>
    </row>
    <row r="469">
      <c r="A469" s="118"/>
      <c r="B469" s="118"/>
      <c r="C469" s="118"/>
      <c r="D469" s="118"/>
      <c r="E469" s="118"/>
      <c r="F469" s="118"/>
      <c r="G469" s="118"/>
      <c r="H469" s="100"/>
      <c r="I469" s="100"/>
      <c r="J469" s="118"/>
      <c r="K469" s="118"/>
      <c r="L469" s="118"/>
      <c r="M469" s="118"/>
      <c r="N469" s="164"/>
      <c r="O469" s="161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  <c r="AI469" s="118"/>
      <c r="AJ469" s="118"/>
      <c r="AK469" s="118"/>
      <c r="AL469" s="118"/>
      <c r="AM469" s="118"/>
      <c r="AN469" s="118"/>
      <c r="AO469" s="118"/>
      <c r="AP469" s="118"/>
      <c r="AQ469" s="118"/>
      <c r="AR469" s="118"/>
      <c r="AS469" s="118"/>
    </row>
    <row r="470">
      <c r="A470" s="118"/>
      <c r="B470" s="118"/>
      <c r="C470" s="118"/>
      <c r="D470" s="118"/>
      <c r="E470" s="118"/>
      <c r="F470" s="118"/>
      <c r="G470" s="118"/>
      <c r="H470" s="100"/>
      <c r="I470" s="100"/>
      <c r="J470" s="118"/>
      <c r="K470" s="118"/>
      <c r="L470" s="118"/>
      <c r="M470" s="118"/>
      <c r="N470" s="164"/>
      <c r="O470" s="161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  <c r="AI470" s="118"/>
      <c r="AJ470" s="118"/>
      <c r="AK470" s="118"/>
      <c r="AL470" s="118"/>
      <c r="AM470" s="118"/>
      <c r="AN470" s="118"/>
      <c r="AO470" s="118"/>
      <c r="AP470" s="118"/>
      <c r="AQ470" s="118"/>
      <c r="AR470" s="118"/>
      <c r="AS470" s="118"/>
    </row>
    <row r="471">
      <c r="A471" s="118"/>
      <c r="B471" s="118"/>
      <c r="C471" s="118"/>
      <c r="D471" s="118"/>
      <c r="E471" s="118"/>
      <c r="F471" s="118"/>
      <c r="G471" s="118"/>
      <c r="H471" s="100"/>
      <c r="I471" s="100"/>
      <c r="J471" s="118"/>
      <c r="K471" s="118"/>
      <c r="L471" s="118"/>
      <c r="M471" s="118"/>
      <c r="N471" s="164"/>
      <c r="O471" s="161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  <c r="AI471" s="118"/>
      <c r="AJ471" s="118"/>
      <c r="AK471" s="118"/>
      <c r="AL471" s="118"/>
      <c r="AM471" s="118"/>
      <c r="AN471" s="118"/>
      <c r="AO471" s="118"/>
      <c r="AP471" s="118"/>
      <c r="AQ471" s="118"/>
      <c r="AR471" s="118"/>
      <c r="AS471" s="118"/>
    </row>
    <row r="472">
      <c r="A472" s="118"/>
      <c r="B472" s="118"/>
      <c r="C472" s="118"/>
      <c r="D472" s="118"/>
      <c r="E472" s="118"/>
      <c r="F472" s="118"/>
      <c r="G472" s="118"/>
      <c r="H472" s="100"/>
      <c r="I472" s="100"/>
      <c r="J472" s="118"/>
      <c r="K472" s="118"/>
      <c r="L472" s="118"/>
      <c r="M472" s="118"/>
      <c r="N472" s="164"/>
      <c r="O472" s="161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  <c r="AI472" s="118"/>
      <c r="AJ472" s="118"/>
      <c r="AK472" s="118"/>
      <c r="AL472" s="118"/>
      <c r="AM472" s="118"/>
      <c r="AN472" s="118"/>
      <c r="AO472" s="118"/>
      <c r="AP472" s="118"/>
      <c r="AQ472" s="118"/>
      <c r="AR472" s="118"/>
      <c r="AS472" s="118"/>
    </row>
    <row r="473">
      <c r="A473" s="118"/>
      <c r="B473" s="118"/>
      <c r="C473" s="118"/>
      <c r="D473" s="118"/>
      <c r="E473" s="118"/>
      <c r="F473" s="118"/>
      <c r="G473" s="118"/>
      <c r="H473" s="100"/>
      <c r="I473" s="100"/>
      <c r="J473" s="118"/>
      <c r="K473" s="118"/>
      <c r="L473" s="118"/>
      <c r="M473" s="118"/>
      <c r="N473" s="164"/>
      <c r="O473" s="161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  <c r="AI473" s="118"/>
      <c r="AJ473" s="118"/>
      <c r="AK473" s="118"/>
      <c r="AL473" s="118"/>
      <c r="AM473" s="118"/>
      <c r="AN473" s="118"/>
      <c r="AO473" s="118"/>
      <c r="AP473" s="118"/>
      <c r="AQ473" s="118"/>
      <c r="AR473" s="118"/>
      <c r="AS473" s="118"/>
    </row>
    <row r="474">
      <c r="A474" s="118"/>
      <c r="B474" s="118"/>
      <c r="C474" s="118"/>
      <c r="D474" s="118"/>
      <c r="E474" s="118"/>
      <c r="F474" s="118"/>
      <c r="G474" s="118"/>
      <c r="H474" s="100"/>
      <c r="I474" s="100"/>
      <c r="J474" s="118"/>
      <c r="K474" s="118"/>
      <c r="L474" s="118"/>
      <c r="M474" s="118"/>
      <c r="N474" s="164"/>
      <c r="O474" s="161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</row>
    <row r="475">
      <c r="A475" s="118"/>
      <c r="B475" s="118"/>
      <c r="C475" s="118"/>
      <c r="D475" s="118"/>
      <c r="E475" s="118"/>
      <c r="F475" s="118"/>
      <c r="G475" s="118"/>
      <c r="H475" s="100"/>
      <c r="I475" s="100"/>
      <c r="J475" s="118"/>
      <c r="K475" s="118"/>
      <c r="L475" s="118"/>
      <c r="M475" s="118"/>
      <c r="N475" s="164"/>
      <c r="O475" s="161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  <c r="AL475" s="118"/>
      <c r="AM475" s="118"/>
      <c r="AN475" s="118"/>
      <c r="AO475" s="118"/>
      <c r="AP475" s="118"/>
      <c r="AQ475" s="118"/>
      <c r="AR475" s="118"/>
      <c r="AS475" s="118"/>
    </row>
    <row r="476">
      <c r="A476" s="118"/>
      <c r="B476" s="118"/>
      <c r="C476" s="118"/>
      <c r="D476" s="118"/>
      <c r="E476" s="118"/>
      <c r="F476" s="118"/>
      <c r="G476" s="118"/>
      <c r="H476" s="100"/>
      <c r="I476" s="100"/>
      <c r="J476" s="118"/>
      <c r="K476" s="118"/>
      <c r="L476" s="118"/>
      <c r="M476" s="118"/>
      <c r="N476" s="164"/>
      <c r="O476" s="161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  <c r="AL476" s="118"/>
      <c r="AM476" s="118"/>
      <c r="AN476" s="118"/>
      <c r="AO476" s="118"/>
      <c r="AP476" s="118"/>
      <c r="AQ476" s="118"/>
      <c r="AR476" s="118"/>
      <c r="AS476" s="118"/>
    </row>
    <row r="477">
      <c r="A477" s="118"/>
      <c r="B477" s="118"/>
      <c r="C477" s="118"/>
      <c r="D477" s="118"/>
      <c r="E477" s="118"/>
      <c r="F477" s="118"/>
      <c r="G477" s="118"/>
      <c r="H477" s="100"/>
      <c r="I477" s="100"/>
      <c r="J477" s="118"/>
      <c r="K477" s="118"/>
      <c r="L477" s="118"/>
      <c r="M477" s="118"/>
      <c r="N477" s="164"/>
      <c r="O477" s="161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  <c r="AL477" s="118"/>
      <c r="AM477" s="118"/>
      <c r="AN477" s="118"/>
      <c r="AO477" s="118"/>
      <c r="AP477" s="118"/>
      <c r="AQ477" s="118"/>
      <c r="AR477" s="118"/>
      <c r="AS477" s="118"/>
    </row>
    <row r="478">
      <c r="A478" s="118"/>
      <c r="B478" s="118"/>
      <c r="C478" s="118"/>
      <c r="D478" s="118"/>
      <c r="E478" s="118"/>
      <c r="F478" s="118"/>
      <c r="G478" s="118"/>
      <c r="H478" s="100"/>
      <c r="I478" s="100"/>
      <c r="J478" s="118"/>
      <c r="K478" s="118"/>
      <c r="L478" s="118"/>
      <c r="M478" s="118"/>
      <c r="N478" s="164"/>
      <c r="O478" s="161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  <c r="AL478" s="118"/>
      <c r="AM478" s="118"/>
      <c r="AN478" s="118"/>
      <c r="AO478" s="118"/>
      <c r="AP478" s="118"/>
      <c r="AQ478" s="118"/>
      <c r="AR478" s="118"/>
      <c r="AS478" s="118"/>
    </row>
    <row r="479">
      <c r="A479" s="118"/>
      <c r="B479" s="118"/>
      <c r="C479" s="118"/>
      <c r="D479" s="118"/>
      <c r="E479" s="118"/>
      <c r="F479" s="118"/>
      <c r="G479" s="118"/>
      <c r="H479" s="100"/>
      <c r="I479" s="100"/>
      <c r="J479" s="118"/>
      <c r="K479" s="118"/>
      <c r="L479" s="118"/>
      <c r="M479" s="118"/>
      <c r="N479" s="164"/>
      <c r="O479" s="161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</row>
    <row r="480">
      <c r="A480" s="118"/>
      <c r="B480" s="118"/>
      <c r="C480" s="118"/>
      <c r="D480" s="118"/>
      <c r="E480" s="118"/>
      <c r="F480" s="118"/>
      <c r="G480" s="118"/>
      <c r="H480" s="100"/>
      <c r="I480" s="100"/>
      <c r="J480" s="118"/>
      <c r="K480" s="118"/>
      <c r="L480" s="118"/>
      <c r="M480" s="118"/>
      <c r="N480" s="164"/>
      <c r="O480" s="161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</row>
    <row r="481">
      <c r="A481" s="118"/>
      <c r="B481" s="118"/>
      <c r="C481" s="118"/>
      <c r="D481" s="118"/>
      <c r="E481" s="118"/>
      <c r="F481" s="118"/>
      <c r="G481" s="118"/>
      <c r="H481" s="100"/>
      <c r="I481" s="100"/>
      <c r="J481" s="118"/>
      <c r="K481" s="118"/>
      <c r="L481" s="118"/>
      <c r="M481" s="118"/>
      <c r="N481" s="164"/>
      <c r="O481" s="161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</row>
    <row r="482">
      <c r="A482" s="118"/>
      <c r="B482" s="118"/>
      <c r="C482" s="118"/>
      <c r="D482" s="118"/>
      <c r="E482" s="118"/>
      <c r="F482" s="118"/>
      <c r="G482" s="118"/>
      <c r="H482" s="100"/>
      <c r="I482" s="100"/>
      <c r="J482" s="118"/>
      <c r="K482" s="118"/>
      <c r="L482" s="118"/>
      <c r="M482" s="118"/>
      <c r="N482" s="164"/>
      <c r="O482" s="161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  <c r="AL482" s="118"/>
      <c r="AM482" s="118"/>
      <c r="AN482" s="118"/>
      <c r="AO482" s="118"/>
      <c r="AP482" s="118"/>
      <c r="AQ482" s="118"/>
      <c r="AR482" s="118"/>
      <c r="AS482" s="118"/>
    </row>
    <row r="483">
      <c r="A483" s="118"/>
      <c r="B483" s="118"/>
      <c r="C483" s="118"/>
      <c r="D483" s="118"/>
      <c r="E483" s="118"/>
      <c r="F483" s="118"/>
      <c r="G483" s="118"/>
      <c r="H483" s="100"/>
      <c r="I483" s="100"/>
      <c r="J483" s="118"/>
      <c r="K483" s="118"/>
      <c r="L483" s="118"/>
      <c r="M483" s="118"/>
      <c r="N483" s="164"/>
      <c r="O483" s="161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  <c r="AL483" s="118"/>
      <c r="AM483" s="118"/>
      <c r="AN483" s="118"/>
      <c r="AO483" s="118"/>
      <c r="AP483" s="118"/>
      <c r="AQ483" s="118"/>
      <c r="AR483" s="118"/>
      <c r="AS483" s="118"/>
    </row>
    <row r="484">
      <c r="A484" s="118"/>
      <c r="B484" s="118"/>
      <c r="C484" s="118"/>
      <c r="D484" s="118"/>
      <c r="E484" s="118"/>
      <c r="F484" s="118"/>
      <c r="G484" s="118"/>
      <c r="H484" s="100"/>
      <c r="I484" s="100"/>
      <c r="J484" s="118"/>
      <c r="K484" s="118"/>
      <c r="L484" s="118"/>
      <c r="M484" s="118"/>
      <c r="N484" s="164"/>
      <c r="O484" s="161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  <c r="AL484" s="118"/>
      <c r="AM484" s="118"/>
      <c r="AN484" s="118"/>
      <c r="AO484" s="118"/>
      <c r="AP484" s="118"/>
      <c r="AQ484" s="118"/>
      <c r="AR484" s="118"/>
      <c r="AS484" s="118"/>
    </row>
    <row r="485">
      <c r="A485" s="118"/>
      <c r="B485" s="118"/>
      <c r="C485" s="118"/>
      <c r="D485" s="118"/>
      <c r="E485" s="118"/>
      <c r="F485" s="118"/>
      <c r="G485" s="118"/>
      <c r="H485" s="100"/>
      <c r="I485" s="100"/>
      <c r="J485" s="118"/>
      <c r="K485" s="118"/>
      <c r="L485" s="118"/>
      <c r="M485" s="118"/>
      <c r="N485" s="164"/>
      <c r="O485" s="161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  <c r="AL485" s="118"/>
      <c r="AM485" s="118"/>
      <c r="AN485" s="118"/>
      <c r="AO485" s="118"/>
      <c r="AP485" s="118"/>
      <c r="AQ485" s="118"/>
      <c r="AR485" s="118"/>
      <c r="AS485" s="118"/>
    </row>
    <row r="486">
      <c r="A486" s="118"/>
      <c r="B486" s="118"/>
      <c r="C486" s="118"/>
      <c r="D486" s="118"/>
      <c r="E486" s="118"/>
      <c r="F486" s="118"/>
      <c r="G486" s="118"/>
      <c r="H486" s="100"/>
      <c r="I486" s="100"/>
      <c r="J486" s="118"/>
      <c r="K486" s="118"/>
      <c r="L486" s="118"/>
      <c r="M486" s="118"/>
      <c r="N486" s="164"/>
      <c r="O486" s="161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</row>
    <row r="487">
      <c r="A487" s="118"/>
      <c r="B487" s="118"/>
      <c r="C487" s="118"/>
      <c r="D487" s="118"/>
      <c r="E487" s="118"/>
      <c r="F487" s="118"/>
      <c r="G487" s="118"/>
      <c r="H487" s="100"/>
      <c r="I487" s="100"/>
      <c r="J487" s="118"/>
      <c r="K487" s="118"/>
      <c r="L487" s="118"/>
      <c r="M487" s="118"/>
      <c r="N487" s="164"/>
      <c r="O487" s="161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</row>
    <row r="488">
      <c r="A488" s="118"/>
      <c r="B488" s="118"/>
      <c r="C488" s="118"/>
      <c r="D488" s="118"/>
      <c r="E488" s="118"/>
      <c r="F488" s="118"/>
      <c r="G488" s="118"/>
      <c r="H488" s="100"/>
      <c r="I488" s="100"/>
      <c r="J488" s="118"/>
      <c r="K488" s="118"/>
      <c r="L488" s="118"/>
      <c r="M488" s="118"/>
      <c r="N488" s="164"/>
      <c r="O488" s="161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</row>
    <row r="489">
      <c r="A489" s="118"/>
      <c r="B489" s="118"/>
      <c r="C489" s="118"/>
      <c r="D489" s="118"/>
      <c r="E489" s="118"/>
      <c r="F489" s="118"/>
      <c r="G489" s="118"/>
      <c r="H489" s="100"/>
      <c r="I489" s="100"/>
      <c r="J489" s="118"/>
      <c r="K489" s="118"/>
      <c r="L489" s="118"/>
      <c r="M489" s="118"/>
      <c r="N489" s="164"/>
      <c r="O489" s="161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  <c r="AL489" s="118"/>
      <c r="AM489" s="118"/>
      <c r="AN489" s="118"/>
      <c r="AO489" s="118"/>
      <c r="AP489" s="118"/>
      <c r="AQ489" s="118"/>
      <c r="AR489" s="118"/>
      <c r="AS489" s="118"/>
    </row>
    <row r="490">
      <c r="A490" s="118"/>
      <c r="B490" s="118"/>
      <c r="C490" s="118"/>
      <c r="D490" s="118"/>
      <c r="E490" s="118"/>
      <c r="F490" s="118"/>
      <c r="G490" s="118"/>
      <c r="H490" s="100"/>
      <c r="I490" s="100"/>
      <c r="J490" s="118"/>
      <c r="K490" s="118"/>
      <c r="L490" s="118"/>
      <c r="M490" s="118"/>
      <c r="N490" s="164"/>
      <c r="O490" s="161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</row>
    <row r="491">
      <c r="A491" s="118"/>
      <c r="B491" s="118"/>
      <c r="C491" s="118"/>
      <c r="D491" s="118"/>
      <c r="E491" s="118"/>
      <c r="F491" s="118"/>
      <c r="G491" s="118"/>
      <c r="H491" s="100"/>
      <c r="I491" s="100"/>
      <c r="J491" s="118"/>
      <c r="K491" s="118"/>
      <c r="L491" s="118"/>
      <c r="M491" s="118"/>
      <c r="N491" s="164"/>
      <c r="O491" s="161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  <c r="AL491" s="118"/>
      <c r="AM491" s="118"/>
      <c r="AN491" s="118"/>
      <c r="AO491" s="118"/>
      <c r="AP491" s="118"/>
      <c r="AQ491" s="118"/>
      <c r="AR491" s="118"/>
      <c r="AS491" s="118"/>
    </row>
    <row r="492">
      <c r="A492" s="118"/>
      <c r="B492" s="118"/>
      <c r="C492" s="118"/>
      <c r="D492" s="118"/>
      <c r="E492" s="118"/>
      <c r="F492" s="118"/>
      <c r="G492" s="118"/>
      <c r="H492" s="100"/>
      <c r="I492" s="100"/>
      <c r="J492" s="118"/>
      <c r="K492" s="118"/>
      <c r="L492" s="118"/>
      <c r="M492" s="118"/>
      <c r="N492" s="164"/>
      <c r="O492" s="161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  <c r="AL492" s="118"/>
      <c r="AM492" s="118"/>
      <c r="AN492" s="118"/>
      <c r="AO492" s="118"/>
      <c r="AP492" s="118"/>
      <c r="AQ492" s="118"/>
      <c r="AR492" s="118"/>
      <c r="AS492" s="118"/>
    </row>
    <row r="493">
      <c r="A493" s="118"/>
      <c r="B493" s="118"/>
      <c r="C493" s="118"/>
      <c r="D493" s="118"/>
      <c r="E493" s="118"/>
      <c r="F493" s="118"/>
      <c r="G493" s="118"/>
      <c r="H493" s="100"/>
      <c r="I493" s="100"/>
      <c r="J493" s="118"/>
      <c r="K493" s="118"/>
      <c r="L493" s="118"/>
      <c r="M493" s="118"/>
      <c r="N493" s="164"/>
      <c r="O493" s="161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</row>
    <row r="494">
      <c r="A494" s="118"/>
      <c r="B494" s="118"/>
      <c r="C494" s="118"/>
      <c r="D494" s="118"/>
      <c r="E494" s="118"/>
      <c r="F494" s="118"/>
      <c r="G494" s="118"/>
      <c r="H494" s="100"/>
      <c r="I494" s="100"/>
      <c r="J494" s="118"/>
      <c r="K494" s="118"/>
      <c r="L494" s="118"/>
      <c r="M494" s="118"/>
      <c r="N494" s="164"/>
      <c r="O494" s="161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</row>
    <row r="495">
      <c r="A495" s="118"/>
      <c r="B495" s="118"/>
      <c r="C495" s="118"/>
      <c r="D495" s="118"/>
      <c r="E495" s="118"/>
      <c r="F495" s="118"/>
      <c r="G495" s="118"/>
      <c r="H495" s="100"/>
      <c r="I495" s="100"/>
      <c r="J495" s="118"/>
      <c r="K495" s="118"/>
      <c r="L495" s="118"/>
      <c r="M495" s="118"/>
      <c r="N495" s="164"/>
      <c r="O495" s="161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  <c r="AL495" s="118"/>
      <c r="AM495" s="118"/>
      <c r="AN495" s="118"/>
      <c r="AO495" s="118"/>
      <c r="AP495" s="118"/>
      <c r="AQ495" s="118"/>
      <c r="AR495" s="118"/>
      <c r="AS495" s="118"/>
    </row>
    <row r="496">
      <c r="A496" s="118"/>
      <c r="B496" s="118"/>
      <c r="C496" s="118"/>
      <c r="D496" s="118"/>
      <c r="E496" s="118"/>
      <c r="F496" s="118"/>
      <c r="G496" s="118"/>
      <c r="H496" s="100"/>
      <c r="I496" s="100"/>
      <c r="J496" s="118"/>
      <c r="K496" s="118"/>
      <c r="L496" s="118"/>
      <c r="M496" s="118"/>
      <c r="N496" s="164"/>
      <c r="O496" s="161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  <c r="AL496" s="118"/>
      <c r="AM496" s="118"/>
      <c r="AN496" s="118"/>
      <c r="AO496" s="118"/>
      <c r="AP496" s="118"/>
      <c r="AQ496" s="118"/>
      <c r="AR496" s="118"/>
      <c r="AS496" s="118"/>
    </row>
    <row r="497">
      <c r="A497" s="118"/>
      <c r="B497" s="118"/>
      <c r="C497" s="118"/>
      <c r="D497" s="118"/>
      <c r="E497" s="118"/>
      <c r="F497" s="118"/>
      <c r="G497" s="118"/>
      <c r="H497" s="100"/>
      <c r="I497" s="100"/>
      <c r="J497" s="118"/>
      <c r="K497" s="118"/>
      <c r="L497" s="118"/>
      <c r="M497" s="118"/>
      <c r="N497" s="164"/>
      <c r="O497" s="161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  <c r="AL497" s="118"/>
      <c r="AM497" s="118"/>
      <c r="AN497" s="118"/>
      <c r="AO497" s="118"/>
      <c r="AP497" s="118"/>
      <c r="AQ497" s="118"/>
      <c r="AR497" s="118"/>
      <c r="AS497" s="118"/>
    </row>
    <row r="498">
      <c r="A498" s="118"/>
      <c r="B498" s="118"/>
      <c r="C498" s="118"/>
      <c r="D498" s="118"/>
      <c r="E498" s="118"/>
      <c r="F498" s="118"/>
      <c r="G498" s="118"/>
      <c r="H498" s="100"/>
      <c r="I498" s="100"/>
      <c r="J498" s="118"/>
      <c r="K498" s="118"/>
      <c r="L498" s="118"/>
      <c r="M498" s="118"/>
      <c r="N498" s="164"/>
      <c r="O498" s="161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</row>
    <row r="499">
      <c r="A499" s="118"/>
      <c r="B499" s="118"/>
      <c r="C499" s="118"/>
      <c r="D499" s="118"/>
      <c r="E499" s="118"/>
      <c r="F499" s="118"/>
      <c r="G499" s="118"/>
      <c r="H499" s="100"/>
      <c r="I499" s="100"/>
      <c r="J499" s="118"/>
      <c r="K499" s="118"/>
      <c r="L499" s="118"/>
      <c r="M499" s="118"/>
      <c r="N499" s="164"/>
      <c r="O499" s="161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  <c r="AL499" s="118"/>
      <c r="AM499" s="118"/>
      <c r="AN499" s="118"/>
      <c r="AO499" s="118"/>
      <c r="AP499" s="118"/>
      <c r="AQ499" s="118"/>
      <c r="AR499" s="118"/>
      <c r="AS499" s="118"/>
    </row>
    <row r="500">
      <c r="A500" s="118"/>
      <c r="B500" s="118"/>
      <c r="C500" s="118"/>
      <c r="D500" s="118"/>
      <c r="E500" s="118"/>
      <c r="F500" s="118"/>
      <c r="G500" s="118"/>
      <c r="H500" s="100"/>
      <c r="I500" s="100"/>
      <c r="J500" s="118"/>
      <c r="K500" s="118"/>
      <c r="L500" s="118"/>
      <c r="M500" s="118"/>
      <c r="N500" s="164"/>
      <c r="O500" s="161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  <c r="AL500" s="118"/>
      <c r="AM500" s="118"/>
      <c r="AN500" s="118"/>
      <c r="AO500" s="118"/>
      <c r="AP500" s="118"/>
      <c r="AQ500" s="118"/>
      <c r="AR500" s="118"/>
      <c r="AS500" s="118"/>
    </row>
    <row r="501">
      <c r="A501" s="118"/>
      <c r="B501" s="118"/>
      <c r="C501" s="118"/>
      <c r="D501" s="118"/>
      <c r="E501" s="118"/>
      <c r="F501" s="118"/>
      <c r="G501" s="118"/>
      <c r="H501" s="100"/>
      <c r="I501" s="100"/>
      <c r="J501" s="118"/>
      <c r="K501" s="118"/>
      <c r="L501" s="118"/>
      <c r="M501" s="118"/>
      <c r="N501" s="164"/>
      <c r="O501" s="161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  <c r="AL501" s="118"/>
      <c r="AM501" s="118"/>
      <c r="AN501" s="118"/>
      <c r="AO501" s="118"/>
      <c r="AP501" s="118"/>
      <c r="AQ501" s="118"/>
      <c r="AR501" s="118"/>
      <c r="AS501" s="118"/>
    </row>
    <row r="502">
      <c r="A502" s="118"/>
      <c r="B502" s="118"/>
      <c r="C502" s="118"/>
      <c r="D502" s="118"/>
      <c r="E502" s="118"/>
      <c r="F502" s="118"/>
      <c r="G502" s="118"/>
      <c r="H502" s="100"/>
      <c r="I502" s="100"/>
      <c r="J502" s="118"/>
      <c r="K502" s="118"/>
      <c r="L502" s="118"/>
      <c r="M502" s="118"/>
      <c r="N502" s="164"/>
      <c r="O502" s="161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</row>
    <row r="503">
      <c r="A503" s="118"/>
      <c r="B503" s="118"/>
      <c r="C503" s="118"/>
      <c r="D503" s="118"/>
      <c r="E503" s="118"/>
      <c r="F503" s="118"/>
      <c r="G503" s="118"/>
      <c r="H503" s="100"/>
      <c r="I503" s="100"/>
      <c r="J503" s="118"/>
      <c r="K503" s="118"/>
      <c r="L503" s="118"/>
      <c r="M503" s="118"/>
      <c r="N503" s="164"/>
      <c r="O503" s="161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  <c r="AL503" s="118"/>
      <c r="AM503" s="118"/>
      <c r="AN503" s="118"/>
      <c r="AO503" s="118"/>
      <c r="AP503" s="118"/>
      <c r="AQ503" s="118"/>
      <c r="AR503" s="118"/>
      <c r="AS503" s="118"/>
    </row>
    <row r="504">
      <c r="A504" s="118"/>
      <c r="B504" s="118"/>
      <c r="C504" s="118"/>
      <c r="D504" s="118"/>
      <c r="E504" s="118"/>
      <c r="F504" s="118"/>
      <c r="G504" s="118"/>
      <c r="H504" s="100"/>
      <c r="I504" s="100"/>
      <c r="J504" s="118"/>
      <c r="K504" s="118"/>
      <c r="L504" s="118"/>
      <c r="M504" s="118"/>
      <c r="N504" s="164"/>
      <c r="O504" s="161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  <c r="AL504" s="118"/>
      <c r="AM504" s="118"/>
      <c r="AN504" s="118"/>
      <c r="AO504" s="118"/>
      <c r="AP504" s="118"/>
      <c r="AQ504" s="118"/>
      <c r="AR504" s="118"/>
      <c r="AS504" s="118"/>
    </row>
    <row r="505">
      <c r="A505" s="118"/>
      <c r="B505" s="118"/>
      <c r="C505" s="118"/>
      <c r="D505" s="118"/>
      <c r="E505" s="118"/>
      <c r="F505" s="118"/>
      <c r="G505" s="118"/>
      <c r="H505" s="100"/>
      <c r="I505" s="100"/>
      <c r="J505" s="118"/>
      <c r="K505" s="118"/>
      <c r="L505" s="118"/>
      <c r="M505" s="118"/>
      <c r="N505" s="164"/>
      <c r="O505" s="161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  <c r="AL505" s="118"/>
      <c r="AM505" s="118"/>
      <c r="AN505" s="118"/>
      <c r="AO505" s="118"/>
      <c r="AP505" s="118"/>
      <c r="AQ505" s="118"/>
      <c r="AR505" s="118"/>
      <c r="AS505" s="118"/>
    </row>
    <row r="506">
      <c r="A506" s="118"/>
      <c r="B506" s="118"/>
      <c r="C506" s="118"/>
      <c r="D506" s="118"/>
      <c r="E506" s="118"/>
      <c r="F506" s="118"/>
      <c r="G506" s="118"/>
      <c r="H506" s="100"/>
      <c r="I506" s="100"/>
      <c r="J506" s="118"/>
      <c r="K506" s="118"/>
      <c r="L506" s="118"/>
      <c r="M506" s="118"/>
      <c r="N506" s="164"/>
      <c r="O506" s="161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  <c r="AL506" s="118"/>
      <c r="AM506" s="118"/>
      <c r="AN506" s="118"/>
      <c r="AO506" s="118"/>
      <c r="AP506" s="118"/>
      <c r="AQ506" s="118"/>
      <c r="AR506" s="118"/>
      <c r="AS506" s="118"/>
    </row>
    <row r="507">
      <c r="A507" s="118"/>
      <c r="B507" s="118"/>
      <c r="C507" s="118"/>
      <c r="D507" s="118"/>
      <c r="E507" s="118"/>
      <c r="F507" s="118"/>
      <c r="G507" s="118"/>
      <c r="H507" s="100"/>
      <c r="I507" s="100"/>
      <c r="J507" s="118"/>
      <c r="K507" s="118"/>
      <c r="L507" s="118"/>
      <c r="M507" s="118"/>
      <c r="N507" s="164"/>
      <c r="O507" s="161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  <c r="AL507" s="118"/>
      <c r="AM507" s="118"/>
      <c r="AN507" s="118"/>
      <c r="AO507" s="118"/>
      <c r="AP507" s="118"/>
      <c r="AQ507" s="118"/>
      <c r="AR507" s="118"/>
      <c r="AS507" s="118"/>
    </row>
    <row r="508">
      <c r="A508" s="118"/>
      <c r="B508" s="118"/>
      <c r="C508" s="118"/>
      <c r="D508" s="118"/>
      <c r="E508" s="118"/>
      <c r="F508" s="118"/>
      <c r="G508" s="118"/>
      <c r="H508" s="100"/>
      <c r="I508" s="100"/>
      <c r="J508" s="118"/>
      <c r="K508" s="118"/>
      <c r="L508" s="118"/>
      <c r="M508" s="118"/>
      <c r="N508" s="164"/>
      <c r="O508" s="161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  <c r="AL508" s="118"/>
      <c r="AM508" s="118"/>
      <c r="AN508" s="118"/>
      <c r="AO508" s="118"/>
      <c r="AP508" s="118"/>
      <c r="AQ508" s="118"/>
      <c r="AR508" s="118"/>
      <c r="AS508" s="118"/>
    </row>
    <row r="509">
      <c r="A509" s="118"/>
      <c r="B509" s="118"/>
      <c r="C509" s="118"/>
      <c r="D509" s="118"/>
      <c r="E509" s="118"/>
      <c r="F509" s="118"/>
      <c r="G509" s="118"/>
      <c r="H509" s="100"/>
      <c r="I509" s="100"/>
      <c r="J509" s="118"/>
      <c r="K509" s="118"/>
      <c r="L509" s="118"/>
      <c r="M509" s="118"/>
      <c r="N509" s="164"/>
      <c r="O509" s="161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  <c r="AL509" s="118"/>
      <c r="AM509" s="118"/>
      <c r="AN509" s="118"/>
      <c r="AO509" s="118"/>
      <c r="AP509" s="118"/>
      <c r="AQ509" s="118"/>
      <c r="AR509" s="118"/>
      <c r="AS509" s="118"/>
    </row>
    <row r="510">
      <c r="A510" s="118"/>
      <c r="B510" s="118"/>
      <c r="C510" s="118"/>
      <c r="D510" s="118"/>
      <c r="E510" s="118"/>
      <c r="F510" s="118"/>
      <c r="G510" s="118"/>
      <c r="H510" s="100"/>
      <c r="I510" s="100"/>
      <c r="J510" s="118"/>
      <c r="K510" s="118"/>
      <c r="L510" s="118"/>
      <c r="M510" s="118"/>
      <c r="N510" s="164"/>
      <c r="O510" s="161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  <c r="AL510" s="118"/>
      <c r="AM510" s="118"/>
      <c r="AN510" s="118"/>
      <c r="AO510" s="118"/>
      <c r="AP510" s="118"/>
      <c r="AQ510" s="118"/>
      <c r="AR510" s="118"/>
      <c r="AS510" s="118"/>
    </row>
    <row r="511">
      <c r="A511" s="118"/>
      <c r="B511" s="118"/>
      <c r="C511" s="118"/>
      <c r="D511" s="118"/>
      <c r="E511" s="118"/>
      <c r="F511" s="118"/>
      <c r="G511" s="118"/>
      <c r="H511" s="100"/>
      <c r="I511" s="100"/>
      <c r="J511" s="118"/>
      <c r="K511" s="118"/>
      <c r="L511" s="118"/>
      <c r="M511" s="118"/>
      <c r="N511" s="164"/>
      <c r="O511" s="161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  <c r="AL511" s="118"/>
      <c r="AM511" s="118"/>
      <c r="AN511" s="118"/>
      <c r="AO511" s="118"/>
      <c r="AP511" s="118"/>
      <c r="AQ511" s="118"/>
      <c r="AR511" s="118"/>
      <c r="AS511" s="118"/>
    </row>
    <row r="512">
      <c r="A512" s="118"/>
      <c r="B512" s="118"/>
      <c r="C512" s="118"/>
      <c r="D512" s="118"/>
      <c r="E512" s="118"/>
      <c r="F512" s="118"/>
      <c r="G512" s="118"/>
      <c r="H512" s="100"/>
      <c r="I512" s="100"/>
      <c r="J512" s="118"/>
      <c r="K512" s="118"/>
      <c r="L512" s="118"/>
      <c r="M512" s="118"/>
      <c r="N512" s="164"/>
      <c r="O512" s="161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</row>
    <row r="513">
      <c r="A513" s="118"/>
      <c r="B513" s="118"/>
      <c r="C513" s="118"/>
      <c r="D513" s="118"/>
      <c r="E513" s="118"/>
      <c r="F513" s="118"/>
      <c r="G513" s="118"/>
      <c r="H513" s="100"/>
      <c r="I513" s="100"/>
      <c r="J513" s="118"/>
      <c r="K513" s="118"/>
      <c r="L513" s="118"/>
      <c r="M513" s="118"/>
      <c r="N513" s="164"/>
      <c r="O513" s="161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  <c r="AL513" s="118"/>
      <c r="AM513" s="118"/>
      <c r="AN513" s="118"/>
      <c r="AO513" s="118"/>
      <c r="AP513" s="118"/>
      <c r="AQ513" s="118"/>
      <c r="AR513" s="118"/>
      <c r="AS513" s="118"/>
    </row>
    <row r="514">
      <c r="A514" s="118"/>
      <c r="B514" s="118"/>
      <c r="C514" s="118"/>
      <c r="D514" s="118"/>
      <c r="E514" s="118"/>
      <c r="F514" s="118"/>
      <c r="G514" s="118"/>
      <c r="H514" s="100"/>
      <c r="I514" s="100"/>
      <c r="J514" s="118"/>
      <c r="K514" s="118"/>
      <c r="L514" s="118"/>
      <c r="M514" s="118"/>
      <c r="N514" s="164"/>
      <c r="O514" s="161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  <c r="AL514" s="118"/>
      <c r="AM514" s="118"/>
      <c r="AN514" s="118"/>
      <c r="AO514" s="118"/>
      <c r="AP514" s="118"/>
      <c r="AQ514" s="118"/>
      <c r="AR514" s="118"/>
      <c r="AS514" s="118"/>
    </row>
    <row r="515">
      <c r="A515" s="118"/>
      <c r="B515" s="118"/>
      <c r="C515" s="118"/>
      <c r="D515" s="118"/>
      <c r="E515" s="118"/>
      <c r="F515" s="118"/>
      <c r="G515" s="118"/>
      <c r="H515" s="100"/>
      <c r="I515" s="100"/>
      <c r="J515" s="118"/>
      <c r="K515" s="118"/>
      <c r="L515" s="118"/>
      <c r="M515" s="118"/>
      <c r="N515" s="164"/>
      <c r="O515" s="161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  <c r="AL515" s="118"/>
      <c r="AM515" s="118"/>
      <c r="AN515" s="118"/>
      <c r="AO515" s="118"/>
      <c r="AP515" s="118"/>
      <c r="AQ515" s="118"/>
      <c r="AR515" s="118"/>
      <c r="AS515" s="118"/>
    </row>
    <row r="516">
      <c r="A516" s="118"/>
      <c r="B516" s="118"/>
      <c r="C516" s="118"/>
      <c r="D516" s="118"/>
      <c r="E516" s="118"/>
      <c r="F516" s="118"/>
      <c r="G516" s="118"/>
      <c r="H516" s="100"/>
      <c r="I516" s="100"/>
      <c r="J516" s="118"/>
      <c r="K516" s="118"/>
      <c r="L516" s="118"/>
      <c r="M516" s="118"/>
      <c r="N516" s="164"/>
      <c r="O516" s="161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  <c r="AL516" s="118"/>
      <c r="AM516" s="118"/>
      <c r="AN516" s="118"/>
      <c r="AO516" s="118"/>
      <c r="AP516" s="118"/>
      <c r="AQ516" s="118"/>
      <c r="AR516" s="118"/>
      <c r="AS516" s="118"/>
    </row>
    <row r="517">
      <c r="A517" s="118"/>
      <c r="B517" s="118"/>
      <c r="C517" s="118"/>
      <c r="D517" s="118"/>
      <c r="E517" s="118"/>
      <c r="F517" s="118"/>
      <c r="G517" s="118"/>
      <c r="H517" s="100"/>
      <c r="I517" s="100"/>
      <c r="J517" s="118"/>
      <c r="K517" s="118"/>
      <c r="L517" s="118"/>
      <c r="M517" s="118"/>
      <c r="N517" s="164"/>
      <c r="O517" s="161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  <c r="AL517" s="118"/>
      <c r="AM517" s="118"/>
      <c r="AN517" s="118"/>
      <c r="AO517" s="118"/>
      <c r="AP517" s="118"/>
      <c r="AQ517" s="118"/>
      <c r="AR517" s="118"/>
      <c r="AS517" s="118"/>
    </row>
    <row r="518">
      <c r="A518" s="118"/>
      <c r="B518" s="118"/>
      <c r="C518" s="118"/>
      <c r="D518" s="118"/>
      <c r="E518" s="118"/>
      <c r="F518" s="118"/>
      <c r="G518" s="118"/>
      <c r="H518" s="100"/>
      <c r="I518" s="100"/>
      <c r="J518" s="118"/>
      <c r="K518" s="118"/>
      <c r="L518" s="118"/>
      <c r="M518" s="118"/>
      <c r="N518" s="164"/>
      <c r="O518" s="161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8"/>
      <c r="AN518" s="118"/>
      <c r="AO518" s="118"/>
      <c r="AP518" s="118"/>
      <c r="AQ518" s="118"/>
      <c r="AR518" s="118"/>
      <c r="AS518" s="118"/>
    </row>
    <row r="519">
      <c r="A519" s="118"/>
      <c r="B519" s="118"/>
      <c r="C519" s="118"/>
      <c r="D519" s="118"/>
      <c r="E519" s="118"/>
      <c r="F519" s="118"/>
      <c r="G519" s="118"/>
      <c r="H519" s="100"/>
      <c r="I519" s="100"/>
      <c r="J519" s="118"/>
      <c r="K519" s="118"/>
      <c r="L519" s="118"/>
      <c r="M519" s="118"/>
      <c r="N519" s="164"/>
      <c r="O519" s="161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  <c r="AL519" s="118"/>
      <c r="AM519" s="118"/>
      <c r="AN519" s="118"/>
      <c r="AO519" s="118"/>
      <c r="AP519" s="118"/>
      <c r="AQ519" s="118"/>
      <c r="AR519" s="118"/>
      <c r="AS519" s="118"/>
    </row>
    <row r="520">
      <c r="A520" s="118"/>
      <c r="B520" s="118"/>
      <c r="C520" s="118"/>
      <c r="D520" s="118"/>
      <c r="E520" s="118"/>
      <c r="F520" s="118"/>
      <c r="G520" s="118"/>
      <c r="H520" s="100"/>
      <c r="I520" s="100"/>
      <c r="J520" s="118"/>
      <c r="K520" s="118"/>
      <c r="L520" s="118"/>
      <c r="M520" s="118"/>
      <c r="N520" s="164"/>
      <c r="O520" s="161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  <c r="AL520" s="118"/>
      <c r="AM520" s="118"/>
      <c r="AN520" s="118"/>
      <c r="AO520" s="118"/>
      <c r="AP520" s="118"/>
      <c r="AQ520" s="118"/>
      <c r="AR520" s="118"/>
      <c r="AS520" s="118"/>
    </row>
    <row r="521">
      <c r="A521" s="118"/>
      <c r="B521" s="118"/>
      <c r="C521" s="118"/>
      <c r="D521" s="118"/>
      <c r="E521" s="118"/>
      <c r="F521" s="118"/>
      <c r="G521" s="118"/>
      <c r="H521" s="100"/>
      <c r="I521" s="100"/>
      <c r="J521" s="118"/>
      <c r="K521" s="118"/>
      <c r="L521" s="118"/>
      <c r="M521" s="118"/>
      <c r="N521" s="164"/>
      <c r="O521" s="161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AK521" s="118"/>
      <c r="AL521" s="118"/>
      <c r="AM521" s="118"/>
      <c r="AN521" s="118"/>
      <c r="AO521" s="118"/>
      <c r="AP521" s="118"/>
      <c r="AQ521" s="118"/>
      <c r="AR521" s="118"/>
      <c r="AS521" s="118"/>
    </row>
    <row r="522">
      <c r="A522" s="118"/>
      <c r="B522" s="118"/>
      <c r="C522" s="118"/>
      <c r="D522" s="118"/>
      <c r="E522" s="118"/>
      <c r="F522" s="118"/>
      <c r="G522" s="118"/>
      <c r="H522" s="100"/>
      <c r="I522" s="100"/>
      <c r="J522" s="118"/>
      <c r="K522" s="118"/>
      <c r="L522" s="118"/>
      <c r="M522" s="118"/>
      <c r="N522" s="164"/>
      <c r="O522" s="161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  <c r="AL522" s="118"/>
      <c r="AM522" s="118"/>
      <c r="AN522" s="118"/>
      <c r="AO522" s="118"/>
      <c r="AP522" s="118"/>
      <c r="AQ522" s="118"/>
      <c r="AR522" s="118"/>
      <c r="AS522" s="118"/>
    </row>
    <row r="523">
      <c r="A523" s="118"/>
      <c r="B523" s="118"/>
      <c r="C523" s="118"/>
      <c r="D523" s="118"/>
      <c r="E523" s="118"/>
      <c r="F523" s="118"/>
      <c r="G523" s="118"/>
      <c r="H523" s="100"/>
      <c r="I523" s="100"/>
      <c r="J523" s="118"/>
      <c r="K523" s="118"/>
      <c r="L523" s="118"/>
      <c r="M523" s="118"/>
      <c r="N523" s="164"/>
      <c r="O523" s="161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  <c r="AL523" s="118"/>
      <c r="AM523" s="118"/>
      <c r="AN523" s="118"/>
      <c r="AO523" s="118"/>
      <c r="AP523" s="118"/>
      <c r="AQ523" s="118"/>
      <c r="AR523" s="118"/>
      <c r="AS523" s="118"/>
    </row>
    <row r="524">
      <c r="A524" s="118"/>
      <c r="B524" s="118"/>
      <c r="C524" s="118"/>
      <c r="D524" s="118"/>
      <c r="E524" s="118"/>
      <c r="F524" s="118"/>
      <c r="G524" s="118"/>
      <c r="H524" s="100"/>
      <c r="I524" s="100"/>
      <c r="J524" s="118"/>
      <c r="K524" s="118"/>
      <c r="L524" s="118"/>
      <c r="M524" s="118"/>
      <c r="N524" s="164"/>
      <c r="O524" s="161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  <c r="AL524" s="118"/>
      <c r="AM524" s="118"/>
      <c r="AN524" s="118"/>
      <c r="AO524" s="118"/>
      <c r="AP524" s="118"/>
      <c r="AQ524" s="118"/>
      <c r="AR524" s="118"/>
      <c r="AS524" s="118"/>
    </row>
    <row r="525">
      <c r="A525" s="118"/>
      <c r="B525" s="118"/>
      <c r="C525" s="118"/>
      <c r="D525" s="118"/>
      <c r="E525" s="118"/>
      <c r="F525" s="118"/>
      <c r="G525" s="118"/>
      <c r="H525" s="100"/>
      <c r="I525" s="100"/>
      <c r="J525" s="118"/>
      <c r="K525" s="118"/>
      <c r="L525" s="118"/>
      <c r="M525" s="118"/>
      <c r="N525" s="164"/>
      <c r="O525" s="161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  <c r="AL525" s="118"/>
      <c r="AM525" s="118"/>
      <c r="AN525" s="118"/>
      <c r="AO525" s="118"/>
      <c r="AP525" s="118"/>
      <c r="AQ525" s="118"/>
      <c r="AR525" s="118"/>
      <c r="AS525" s="118"/>
    </row>
    <row r="526">
      <c r="A526" s="118"/>
      <c r="B526" s="118"/>
      <c r="C526" s="118"/>
      <c r="D526" s="118"/>
      <c r="E526" s="118"/>
      <c r="F526" s="118"/>
      <c r="G526" s="118"/>
      <c r="H526" s="100"/>
      <c r="I526" s="100"/>
      <c r="J526" s="118"/>
      <c r="K526" s="118"/>
      <c r="L526" s="118"/>
      <c r="M526" s="118"/>
      <c r="N526" s="164"/>
      <c r="O526" s="161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  <c r="AL526" s="118"/>
      <c r="AM526" s="118"/>
      <c r="AN526" s="118"/>
      <c r="AO526" s="118"/>
      <c r="AP526" s="118"/>
      <c r="AQ526" s="118"/>
      <c r="AR526" s="118"/>
      <c r="AS526" s="118"/>
    </row>
    <row r="527">
      <c r="A527" s="118"/>
      <c r="B527" s="118"/>
      <c r="C527" s="118"/>
      <c r="D527" s="118"/>
      <c r="E527" s="118"/>
      <c r="F527" s="118"/>
      <c r="G527" s="118"/>
      <c r="H527" s="100"/>
      <c r="I527" s="100"/>
      <c r="J527" s="118"/>
      <c r="K527" s="118"/>
      <c r="L527" s="118"/>
      <c r="M527" s="118"/>
      <c r="N527" s="164"/>
      <c r="O527" s="161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  <c r="AL527" s="118"/>
      <c r="AM527" s="118"/>
      <c r="AN527" s="118"/>
      <c r="AO527" s="118"/>
      <c r="AP527" s="118"/>
      <c r="AQ527" s="118"/>
      <c r="AR527" s="118"/>
      <c r="AS527" s="118"/>
    </row>
    <row r="528">
      <c r="A528" s="118"/>
      <c r="B528" s="118"/>
      <c r="C528" s="118"/>
      <c r="D528" s="118"/>
      <c r="E528" s="118"/>
      <c r="F528" s="118"/>
      <c r="G528" s="118"/>
      <c r="H528" s="100"/>
      <c r="I528" s="100"/>
      <c r="J528" s="118"/>
      <c r="K528" s="118"/>
      <c r="L528" s="118"/>
      <c r="M528" s="118"/>
      <c r="N528" s="164"/>
      <c r="O528" s="161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  <c r="AL528" s="118"/>
      <c r="AM528" s="118"/>
      <c r="AN528" s="118"/>
      <c r="AO528" s="118"/>
      <c r="AP528" s="118"/>
      <c r="AQ528" s="118"/>
      <c r="AR528" s="118"/>
      <c r="AS528" s="118"/>
    </row>
    <row r="529">
      <c r="A529" s="118"/>
      <c r="B529" s="118"/>
      <c r="C529" s="118"/>
      <c r="D529" s="118"/>
      <c r="E529" s="118"/>
      <c r="F529" s="118"/>
      <c r="G529" s="118"/>
      <c r="H529" s="100"/>
      <c r="I529" s="100"/>
      <c r="J529" s="118"/>
      <c r="K529" s="118"/>
      <c r="L529" s="118"/>
      <c r="M529" s="118"/>
      <c r="N529" s="164"/>
      <c r="O529" s="161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  <c r="AI529" s="118"/>
      <c r="AJ529" s="118"/>
      <c r="AK529" s="118"/>
      <c r="AL529" s="118"/>
      <c r="AM529" s="118"/>
      <c r="AN529" s="118"/>
      <c r="AO529" s="118"/>
      <c r="AP529" s="118"/>
      <c r="AQ529" s="118"/>
      <c r="AR529" s="118"/>
      <c r="AS529" s="118"/>
    </row>
    <row r="530">
      <c r="A530" s="118"/>
      <c r="B530" s="118"/>
      <c r="C530" s="118"/>
      <c r="D530" s="118"/>
      <c r="E530" s="118"/>
      <c r="F530" s="118"/>
      <c r="G530" s="118"/>
      <c r="H530" s="100"/>
      <c r="I530" s="100"/>
      <c r="J530" s="118"/>
      <c r="K530" s="118"/>
      <c r="L530" s="118"/>
      <c r="M530" s="118"/>
      <c r="N530" s="164"/>
      <c r="O530" s="161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  <c r="AI530" s="118"/>
      <c r="AJ530" s="118"/>
      <c r="AK530" s="118"/>
      <c r="AL530" s="118"/>
      <c r="AM530" s="118"/>
      <c r="AN530" s="118"/>
      <c r="AO530" s="118"/>
      <c r="AP530" s="118"/>
      <c r="AQ530" s="118"/>
      <c r="AR530" s="118"/>
      <c r="AS530" s="118"/>
    </row>
    <row r="531">
      <c r="A531" s="118"/>
      <c r="B531" s="118"/>
      <c r="C531" s="118"/>
      <c r="D531" s="118"/>
      <c r="E531" s="118"/>
      <c r="F531" s="118"/>
      <c r="G531" s="118"/>
      <c r="H531" s="100"/>
      <c r="I531" s="100"/>
      <c r="J531" s="118"/>
      <c r="K531" s="118"/>
      <c r="L531" s="118"/>
      <c r="M531" s="118"/>
      <c r="N531" s="164"/>
      <c r="O531" s="161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  <c r="AI531" s="118"/>
      <c r="AJ531" s="118"/>
      <c r="AK531" s="118"/>
      <c r="AL531" s="118"/>
      <c r="AM531" s="118"/>
      <c r="AN531" s="118"/>
      <c r="AO531" s="118"/>
      <c r="AP531" s="118"/>
      <c r="AQ531" s="118"/>
      <c r="AR531" s="118"/>
      <c r="AS531" s="118"/>
    </row>
    <row r="532">
      <c r="A532" s="118"/>
      <c r="B532" s="118"/>
      <c r="C532" s="118"/>
      <c r="D532" s="118"/>
      <c r="E532" s="118"/>
      <c r="F532" s="118"/>
      <c r="G532" s="118"/>
      <c r="H532" s="100"/>
      <c r="I532" s="100"/>
      <c r="J532" s="118"/>
      <c r="K532" s="118"/>
      <c r="L532" s="118"/>
      <c r="M532" s="118"/>
      <c r="N532" s="164"/>
      <c r="O532" s="161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  <c r="AI532" s="118"/>
      <c r="AJ532" s="118"/>
      <c r="AK532" s="118"/>
      <c r="AL532" s="118"/>
      <c r="AM532" s="118"/>
      <c r="AN532" s="118"/>
      <c r="AO532" s="118"/>
      <c r="AP532" s="118"/>
      <c r="AQ532" s="118"/>
      <c r="AR532" s="118"/>
      <c r="AS532" s="118"/>
    </row>
    <row r="533">
      <c r="A533" s="118"/>
      <c r="B533" s="118"/>
      <c r="C533" s="118"/>
      <c r="D533" s="118"/>
      <c r="E533" s="118"/>
      <c r="F533" s="118"/>
      <c r="G533" s="118"/>
      <c r="H533" s="100"/>
      <c r="I533" s="100"/>
      <c r="J533" s="118"/>
      <c r="K533" s="118"/>
      <c r="L533" s="118"/>
      <c r="M533" s="118"/>
      <c r="N533" s="164"/>
      <c r="O533" s="161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  <c r="AI533" s="118"/>
      <c r="AJ533" s="118"/>
      <c r="AK533" s="118"/>
      <c r="AL533" s="118"/>
      <c r="AM533" s="118"/>
      <c r="AN533" s="118"/>
      <c r="AO533" s="118"/>
      <c r="AP533" s="118"/>
      <c r="AQ533" s="118"/>
      <c r="AR533" s="118"/>
      <c r="AS533" s="118"/>
    </row>
    <row r="534">
      <c r="A534" s="118"/>
      <c r="B534" s="118"/>
      <c r="C534" s="118"/>
      <c r="D534" s="118"/>
      <c r="E534" s="118"/>
      <c r="F534" s="118"/>
      <c r="G534" s="118"/>
      <c r="H534" s="100"/>
      <c r="I534" s="100"/>
      <c r="J534" s="118"/>
      <c r="K534" s="118"/>
      <c r="L534" s="118"/>
      <c r="M534" s="118"/>
      <c r="N534" s="164"/>
      <c r="O534" s="161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</row>
    <row r="535">
      <c r="A535" s="118"/>
      <c r="B535" s="118"/>
      <c r="C535" s="118"/>
      <c r="D535" s="118"/>
      <c r="E535" s="118"/>
      <c r="F535" s="118"/>
      <c r="G535" s="118"/>
      <c r="H535" s="100"/>
      <c r="I535" s="100"/>
      <c r="J535" s="118"/>
      <c r="K535" s="118"/>
      <c r="L535" s="118"/>
      <c r="M535" s="118"/>
      <c r="N535" s="164"/>
      <c r="O535" s="161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  <c r="AL535" s="118"/>
      <c r="AM535" s="118"/>
      <c r="AN535" s="118"/>
      <c r="AO535" s="118"/>
      <c r="AP535" s="118"/>
      <c r="AQ535" s="118"/>
      <c r="AR535" s="118"/>
      <c r="AS535" s="118"/>
    </row>
    <row r="536">
      <c r="A536" s="118"/>
      <c r="B536" s="118"/>
      <c r="C536" s="118"/>
      <c r="D536" s="118"/>
      <c r="E536" s="118"/>
      <c r="F536" s="118"/>
      <c r="G536" s="118"/>
      <c r="H536" s="100"/>
      <c r="I536" s="100"/>
      <c r="J536" s="118"/>
      <c r="K536" s="118"/>
      <c r="L536" s="118"/>
      <c r="M536" s="118"/>
      <c r="N536" s="164"/>
      <c r="O536" s="161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  <c r="AL536" s="118"/>
      <c r="AM536" s="118"/>
      <c r="AN536" s="118"/>
      <c r="AO536" s="118"/>
      <c r="AP536" s="118"/>
      <c r="AQ536" s="118"/>
      <c r="AR536" s="118"/>
      <c r="AS536" s="118"/>
    </row>
    <row r="537">
      <c r="A537" s="118"/>
      <c r="B537" s="118"/>
      <c r="C537" s="118"/>
      <c r="D537" s="118"/>
      <c r="E537" s="118"/>
      <c r="F537" s="118"/>
      <c r="G537" s="118"/>
      <c r="H537" s="100"/>
      <c r="I537" s="100"/>
      <c r="J537" s="118"/>
      <c r="K537" s="118"/>
      <c r="L537" s="118"/>
      <c r="M537" s="118"/>
      <c r="N537" s="164"/>
      <c r="O537" s="161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  <c r="AL537" s="118"/>
      <c r="AM537" s="118"/>
      <c r="AN537" s="118"/>
      <c r="AO537" s="118"/>
      <c r="AP537" s="118"/>
      <c r="AQ537" s="118"/>
      <c r="AR537" s="118"/>
      <c r="AS537" s="118"/>
    </row>
    <row r="538">
      <c r="A538" s="118"/>
      <c r="B538" s="118"/>
      <c r="C538" s="118"/>
      <c r="D538" s="118"/>
      <c r="E538" s="118"/>
      <c r="F538" s="118"/>
      <c r="G538" s="118"/>
      <c r="H538" s="100"/>
      <c r="I538" s="100"/>
      <c r="J538" s="118"/>
      <c r="K538" s="118"/>
      <c r="L538" s="118"/>
      <c r="M538" s="118"/>
      <c r="N538" s="164"/>
      <c r="O538" s="161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  <c r="AL538" s="118"/>
      <c r="AM538" s="118"/>
      <c r="AN538" s="118"/>
      <c r="AO538" s="118"/>
      <c r="AP538" s="118"/>
      <c r="AQ538" s="118"/>
      <c r="AR538" s="118"/>
      <c r="AS538" s="118"/>
    </row>
    <row r="539">
      <c r="A539" s="118"/>
      <c r="B539" s="118"/>
      <c r="C539" s="118"/>
      <c r="D539" s="118"/>
      <c r="E539" s="118"/>
      <c r="F539" s="118"/>
      <c r="G539" s="118"/>
      <c r="H539" s="100"/>
      <c r="I539" s="100"/>
      <c r="J539" s="118"/>
      <c r="K539" s="118"/>
      <c r="L539" s="118"/>
      <c r="M539" s="118"/>
      <c r="N539" s="164"/>
      <c r="O539" s="161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  <c r="AL539" s="118"/>
      <c r="AM539" s="118"/>
      <c r="AN539" s="118"/>
      <c r="AO539" s="118"/>
      <c r="AP539" s="118"/>
      <c r="AQ539" s="118"/>
      <c r="AR539" s="118"/>
      <c r="AS539" s="118"/>
    </row>
    <row r="540">
      <c r="A540" s="118"/>
      <c r="B540" s="118"/>
      <c r="C540" s="118"/>
      <c r="D540" s="118"/>
      <c r="E540" s="118"/>
      <c r="F540" s="118"/>
      <c r="G540" s="118"/>
      <c r="H540" s="100"/>
      <c r="I540" s="100"/>
      <c r="J540" s="118"/>
      <c r="K540" s="118"/>
      <c r="L540" s="118"/>
      <c r="M540" s="118"/>
      <c r="N540" s="164"/>
      <c r="O540" s="161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  <c r="AL540" s="118"/>
      <c r="AM540" s="118"/>
      <c r="AN540" s="118"/>
      <c r="AO540" s="118"/>
      <c r="AP540" s="118"/>
      <c r="AQ540" s="118"/>
      <c r="AR540" s="118"/>
      <c r="AS540" s="118"/>
    </row>
    <row r="541">
      <c r="A541" s="118"/>
      <c r="B541" s="118"/>
      <c r="C541" s="118"/>
      <c r="D541" s="118"/>
      <c r="E541" s="118"/>
      <c r="F541" s="118"/>
      <c r="G541" s="118"/>
      <c r="H541" s="100"/>
      <c r="I541" s="100"/>
      <c r="J541" s="118"/>
      <c r="K541" s="118"/>
      <c r="L541" s="118"/>
      <c r="M541" s="118"/>
      <c r="N541" s="164"/>
      <c r="O541" s="161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  <c r="AL541" s="118"/>
      <c r="AM541" s="118"/>
      <c r="AN541" s="118"/>
      <c r="AO541" s="118"/>
      <c r="AP541" s="118"/>
      <c r="AQ541" s="118"/>
      <c r="AR541" s="118"/>
      <c r="AS541" s="118"/>
    </row>
    <row r="542">
      <c r="A542" s="118"/>
      <c r="B542" s="118"/>
      <c r="C542" s="118"/>
      <c r="D542" s="118"/>
      <c r="E542" s="118"/>
      <c r="F542" s="118"/>
      <c r="G542" s="118"/>
      <c r="H542" s="100"/>
      <c r="I542" s="100"/>
      <c r="J542" s="118"/>
      <c r="K542" s="118"/>
      <c r="L542" s="118"/>
      <c r="M542" s="118"/>
      <c r="N542" s="164"/>
      <c r="O542" s="161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  <c r="AL542" s="118"/>
      <c r="AM542" s="118"/>
      <c r="AN542" s="118"/>
      <c r="AO542" s="118"/>
      <c r="AP542" s="118"/>
      <c r="AQ542" s="118"/>
      <c r="AR542" s="118"/>
      <c r="AS542" s="118"/>
    </row>
    <row r="543">
      <c r="A543" s="118"/>
      <c r="B543" s="118"/>
      <c r="C543" s="118"/>
      <c r="D543" s="118"/>
      <c r="E543" s="118"/>
      <c r="F543" s="118"/>
      <c r="G543" s="118"/>
      <c r="H543" s="100"/>
      <c r="I543" s="100"/>
      <c r="J543" s="118"/>
      <c r="K543" s="118"/>
      <c r="L543" s="118"/>
      <c r="M543" s="118"/>
      <c r="N543" s="164"/>
      <c r="O543" s="161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  <c r="AL543" s="118"/>
      <c r="AM543" s="118"/>
      <c r="AN543" s="118"/>
      <c r="AO543" s="118"/>
      <c r="AP543" s="118"/>
      <c r="AQ543" s="118"/>
      <c r="AR543" s="118"/>
      <c r="AS543" s="118"/>
    </row>
    <row r="544">
      <c r="A544" s="118"/>
      <c r="B544" s="118"/>
      <c r="C544" s="118"/>
      <c r="D544" s="118"/>
      <c r="E544" s="118"/>
      <c r="F544" s="118"/>
      <c r="G544" s="118"/>
      <c r="H544" s="100"/>
      <c r="I544" s="100"/>
      <c r="J544" s="118"/>
      <c r="K544" s="118"/>
      <c r="L544" s="118"/>
      <c r="M544" s="118"/>
      <c r="N544" s="164"/>
      <c r="O544" s="161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</row>
    <row r="545">
      <c r="A545" s="118"/>
      <c r="B545" s="118"/>
      <c r="C545" s="118"/>
      <c r="D545" s="118"/>
      <c r="E545" s="118"/>
      <c r="F545" s="118"/>
      <c r="G545" s="118"/>
      <c r="H545" s="100"/>
      <c r="I545" s="100"/>
      <c r="J545" s="118"/>
      <c r="K545" s="118"/>
      <c r="L545" s="118"/>
      <c r="M545" s="118"/>
      <c r="N545" s="164"/>
      <c r="O545" s="161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  <c r="AL545" s="118"/>
      <c r="AM545" s="118"/>
      <c r="AN545" s="118"/>
      <c r="AO545" s="118"/>
      <c r="AP545" s="118"/>
      <c r="AQ545" s="118"/>
      <c r="AR545" s="118"/>
      <c r="AS545" s="118"/>
    </row>
    <row r="546">
      <c r="A546" s="118"/>
      <c r="B546" s="118"/>
      <c r="C546" s="118"/>
      <c r="D546" s="118"/>
      <c r="E546" s="118"/>
      <c r="F546" s="118"/>
      <c r="G546" s="118"/>
      <c r="H546" s="100"/>
      <c r="I546" s="100"/>
      <c r="J546" s="118"/>
      <c r="K546" s="118"/>
      <c r="L546" s="118"/>
      <c r="M546" s="118"/>
      <c r="N546" s="164"/>
      <c r="O546" s="161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  <c r="AL546" s="118"/>
      <c r="AM546" s="118"/>
      <c r="AN546" s="118"/>
      <c r="AO546" s="118"/>
      <c r="AP546" s="118"/>
      <c r="AQ546" s="118"/>
      <c r="AR546" s="118"/>
      <c r="AS546" s="118"/>
    </row>
    <row r="547">
      <c r="A547" s="118"/>
      <c r="B547" s="118"/>
      <c r="C547" s="118"/>
      <c r="D547" s="118"/>
      <c r="E547" s="118"/>
      <c r="F547" s="118"/>
      <c r="G547" s="118"/>
      <c r="H547" s="100"/>
      <c r="I547" s="100"/>
      <c r="J547" s="118"/>
      <c r="K547" s="118"/>
      <c r="L547" s="118"/>
      <c r="M547" s="118"/>
      <c r="N547" s="164"/>
      <c r="O547" s="161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  <c r="AL547" s="118"/>
      <c r="AM547" s="118"/>
      <c r="AN547" s="118"/>
      <c r="AO547" s="118"/>
      <c r="AP547" s="118"/>
      <c r="AQ547" s="118"/>
      <c r="AR547" s="118"/>
      <c r="AS547" s="118"/>
    </row>
    <row r="548">
      <c r="A548" s="118"/>
      <c r="B548" s="118"/>
      <c r="C548" s="118"/>
      <c r="D548" s="118"/>
      <c r="E548" s="118"/>
      <c r="F548" s="118"/>
      <c r="G548" s="118"/>
      <c r="H548" s="100"/>
      <c r="I548" s="100"/>
      <c r="J548" s="118"/>
      <c r="K548" s="118"/>
      <c r="L548" s="118"/>
      <c r="M548" s="118"/>
      <c r="N548" s="164"/>
      <c r="O548" s="161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  <c r="AO548" s="118"/>
      <c r="AP548" s="118"/>
      <c r="AQ548" s="118"/>
      <c r="AR548" s="118"/>
      <c r="AS548" s="118"/>
    </row>
    <row r="549">
      <c r="A549" s="118"/>
      <c r="B549" s="118"/>
      <c r="C549" s="118"/>
      <c r="D549" s="118"/>
      <c r="E549" s="118"/>
      <c r="F549" s="118"/>
      <c r="G549" s="118"/>
      <c r="H549" s="100"/>
      <c r="I549" s="100"/>
      <c r="J549" s="118"/>
      <c r="K549" s="118"/>
      <c r="L549" s="118"/>
      <c r="M549" s="118"/>
      <c r="N549" s="164"/>
      <c r="O549" s="161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  <c r="AL549" s="118"/>
      <c r="AM549" s="118"/>
      <c r="AN549" s="118"/>
      <c r="AO549" s="118"/>
      <c r="AP549" s="118"/>
      <c r="AQ549" s="118"/>
      <c r="AR549" s="118"/>
      <c r="AS549" s="118"/>
    </row>
    <row r="550">
      <c r="A550" s="118"/>
      <c r="B550" s="118"/>
      <c r="C550" s="118"/>
      <c r="D550" s="118"/>
      <c r="E550" s="118"/>
      <c r="F550" s="118"/>
      <c r="G550" s="118"/>
      <c r="H550" s="100"/>
      <c r="I550" s="100"/>
      <c r="J550" s="118"/>
      <c r="K550" s="118"/>
      <c r="L550" s="118"/>
      <c r="M550" s="118"/>
      <c r="N550" s="164"/>
      <c r="O550" s="161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8"/>
      <c r="AM550" s="118"/>
      <c r="AN550" s="118"/>
      <c r="AO550" s="118"/>
      <c r="AP550" s="118"/>
      <c r="AQ550" s="118"/>
      <c r="AR550" s="118"/>
      <c r="AS550" s="118"/>
    </row>
    <row r="551">
      <c r="A551" s="118"/>
      <c r="B551" s="118"/>
      <c r="C551" s="118"/>
      <c r="D551" s="118"/>
      <c r="E551" s="118"/>
      <c r="F551" s="118"/>
      <c r="G551" s="118"/>
      <c r="H551" s="100"/>
      <c r="I551" s="100"/>
      <c r="J551" s="118"/>
      <c r="K551" s="118"/>
      <c r="L551" s="118"/>
      <c r="M551" s="118"/>
      <c r="N551" s="164"/>
      <c r="O551" s="161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</row>
    <row r="552">
      <c r="A552" s="118"/>
      <c r="B552" s="118"/>
      <c r="C552" s="118"/>
      <c r="D552" s="118"/>
      <c r="E552" s="118"/>
      <c r="F552" s="118"/>
      <c r="G552" s="118"/>
      <c r="H552" s="100"/>
      <c r="I552" s="100"/>
      <c r="J552" s="118"/>
      <c r="K552" s="118"/>
      <c r="L552" s="118"/>
      <c r="M552" s="118"/>
      <c r="N552" s="164"/>
      <c r="O552" s="161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8"/>
      <c r="AM552" s="118"/>
      <c r="AN552" s="118"/>
      <c r="AO552" s="118"/>
      <c r="AP552" s="118"/>
      <c r="AQ552" s="118"/>
      <c r="AR552" s="118"/>
      <c r="AS552" s="118"/>
    </row>
    <row r="553">
      <c r="A553" s="118"/>
      <c r="B553" s="118"/>
      <c r="C553" s="118"/>
      <c r="D553" s="118"/>
      <c r="E553" s="118"/>
      <c r="F553" s="118"/>
      <c r="G553" s="118"/>
      <c r="H553" s="100"/>
      <c r="I553" s="100"/>
      <c r="J553" s="118"/>
      <c r="K553" s="118"/>
      <c r="L553" s="118"/>
      <c r="M553" s="118"/>
      <c r="N553" s="164"/>
      <c r="O553" s="161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  <c r="AL553" s="118"/>
      <c r="AM553" s="118"/>
      <c r="AN553" s="118"/>
      <c r="AO553" s="118"/>
      <c r="AP553" s="118"/>
      <c r="AQ553" s="118"/>
      <c r="AR553" s="118"/>
      <c r="AS553" s="118"/>
    </row>
    <row r="554">
      <c r="A554" s="118"/>
      <c r="B554" s="118"/>
      <c r="C554" s="118"/>
      <c r="D554" s="118"/>
      <c r="E554" s="118"/>
      <c r="F554" s="118"/>
      <c r="G554" s="118"/>
      <c r="H554" s="100"/>
      <c r="I554" s="100"/>
      <c r="J554" s="118"/>
      <c r="K554" s="118"/>
      <c r="L554" s="118"/>
      <c r="M554" s="118"/>
      <c r="N554" s="164"/>
      <c r="O554" s="161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  <c r="AL554" s="118"/>
      <c r="AM554" s="118"/>
      <c r="AN554" s="118"/>
      <c r="AO554" s="118"/>
      <c r="AP554" s="118"/>
      <c r="AQ554" s="118"/>
      <c r="AR554" s="118"/>
      <c r="AS554" s="118"/>
    </row>
    <row r="555">
      <c r="A555" s="118"/>
      <c r="B555" s="118"/>
      <c r="C555" s="118"/>
      <c r="D555" s="118"/>
      <c r="E555" s="118"/>
      <c r="F555" s="118"/>
      <c r="G555" s="118"/>
      <c r="H555" s="100"/>
      <c r="I555" s="100"/>
      <c r="J555" s="118"/>
      <c r="K555" s="118"/>
      <c r="L555" s="118"/>
      <c r="M555" s="118"/>
      <c r="N555" s="164"/>
      <c r="O555" s="161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  <c r="AL555" s="118"/>
      <c r="AM555" s="118"/>
      <c r="AN555" s="118"/>
      <c r="AO555" s="118"/>
      <c r="AP555" s="118"/>
      <c r="AQ555" s="118"/>
      <c r="AR555" s="118"/>
      <c r="AS555" s="118"/>
    </row>
    <row r="556">
      <c r="A556" s="118"/>
      <c r="B556" s="118"/>
      <c r="C556" s="118"/>
      <c r="D556" s="118"/>
      <c r="E556" s="118"/>
      <c r="F556" s="118"/>
      <c r="G556" s="118"/>
      <c r="H556" s="100"/>
      <c r="I556" s="100"/>
      <c r="J556" s="118"/>
      <c r="K556" s="118"/>
      <c r="L556" s="118"/>
      <c r="M556" s="118"/>
      <c r="N556" s="164"/>
      <c r="O556" s="161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8"/>
      <c r="AN556" s="118"/>
      <c r="AO556" s="118"/>
      <c r="AP556" s="118"/>
      <c r="AQ556" s="118"/>
      <c r="AR556" s="118"/>
      <c r="AS556" s="118"/>
    </row>
    <row r="557">
      <c r="A557" s="118"/>
      <c r="B557" s="118"/>
      <c r="C557" s="118"/>
      <c r="D557" s="118"/>
      <c r="E557" s="118"/>
      <c r="F557" s="118"/>
      <c r="G557" s="118"/>
      <c r="H557" s="100"/>
      <c r="I557" s="100"/>
      <c r="J557" s="118"/>
      <c r="K557" s="118"/>
      <c r="L557" s="118"/>
      <c r="M557" s="118"/>
      <c r="N557" s="164"/>
      <c r="O557" s="161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  <c r="AL557" s="118"/>
      <c r="AM557" s="118"/>
      <c r="AN557" s="118"/>
      <c r="AO557" s="118"/>
      <c r="AP557" s="118"/>
      <c r="AQ557" s="118"/>
      <c r="AR557" s="118"/>
      <c r="AS557" s="118"/>
    </row>
    <row r="558">
      <c r="A558" s="118"/>
      <c r="B558" s="118"/>
      <c r="C558" s="118"/>
      <c r="D558" s="118"/>
      <c r="E558" s="118"/>
      <c r="F558" s="118"/>
      <c r="G558" s="118"/>
      <c r="H558" s="100"/>
      <c r="I558" s="100"/>
      <c r="J558" s="118"/>
      <c r="K558" s="118"/>
      <c r="L558" s="118"/>
      <c r="M558" s="118"/>
      <c r="N558" s="164"/>
      <c r="O558" s="161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  <c r="AL558" s="118"/>
      <c r="AM558" s="118"/>
      <c r="AN558" s="118"/>
      <c r="AO558" s="118"/>
      <c r="AP558" s="118"/>
      <c r="AQ558" s="118"/>
      <c r="AR558" s="118"/>
      <c r="AS558" s="118"/>
    </row>
    <row r="559">
      <c r="A559" s="118"/>
      <c r="B559" s="118"/>
      <c r="C559" s="118"/>
      <c r="D559" s="118"/>
      <c r="E559" s="118"/>
      <c r="F559" s="118"/>
      <c r="G559" s="118"/>
      <c r="H559" s="100"/>
      <c r="I559" s="100"/>
      <c r="J559" s="118"/>
      <c r="K559" s="118"/>
      <c r="L559" s="118"/>
      <c r="M559" s="118"/>
      <c r="N559" s="164"/>
      <c r="O559" s="161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  <c r="AL559" s="118"/>
      <c r="AM559" s="118"/>
      <c r="AN559" s="118"/>
      <c r="AO559" s="118"/>
      <c r="AP559" s="118"/>
      <c r="AQ559" s="118"/>
      <c r="AR559" s="118"/>
      <c r="AS559" s="118"/>
    </row>
    <row r="560">
      <c r="A560" s="118"/>
      <c r="B560" s="118"/>
      <c r="C560" s="118"/>
      <c r="D560" s="118"/>
      <c r="E560" s="118"/>
      <c r="F560" s="118"/>
      <c r="G560" s="118"/>
      <c r="H560" s="100"/>
      <c r="I560" s="100"/>
      <c r="J560" s="118"/>
      <c r="K560" s="118"/>
      <c r="L560" s="118"/>
      <c r="M560" s="118"/>
      <c r="N560" s="164"/>
      <c r="O560" s="161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  <c r="AI560" s="118"/>
      <c r="AJ560" s="118"/>
      <c r="AK560" s="118"/>
      <c r="AL560" s="118"/>
      <c r="AM560" s="118"/>
      <c r="AN560" s="118"/>
      <c r="AO560" s="118"/>
      <c r="AP560" s="118"/>
      <c r="AQ560" s="118"/>
      <c r="AR560" s="118"/>
      <c r="AS560" s="118"/>
    </row>
    <row r="561">
      <c r="A561" s="118"/>
      <c r="B561" s="118"/>
      <c r="C561" s="118"/>
      <c r="D561" s="118"/>
      <c r="E561" s="118"/>
      <c r="F561" s="118"/>
      <c r="G561" s="118"/>
      <c r="H561" s="100"/>
      <c r="I561" s="100"/>
      <c r="J561" s="118"/>
      <c r="K561" s="118"/>
      <c r="L561" s="118"/>
      <c r="M561" s="118"/>
      <c r="N561" s="164"/>
      <c r="O561" s="161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  <c r="AI561" s="118"/>
      <c r="AJ561" s="118"/>
      <c r="AK561" s="118"/>
      <c r="AL561" s="118"/>
      <c r="AM561" s="118"/>
      <c r="AN561" s="118"/>
      <c r="AO561" s="118"/>
      <c r="AP561" s="118"/>
      <c r="AQ561" s="118"/>
      <c r="AR561" s="118"/>
      <c r="AS561" s="118"/>
    </row>
    <row r="562">
      <c r="A562" s="118"/>
      <c r="B562" s="118"/>
      <c r="C562" s="118"/>
      <c r="D562" s="118"/>
      <c r="E562" s="118"/>
      <c r="F562" s="118"/>
      <c r="G562" s="118"/>
      <c r="H562" s="100"/>
      <c r="I562" s="100"/>
      <c r="J562" s="118"/>
      <c r="K562" s="118"/>
      <c r="L562" s="118"/>
      <c r="M562" s="118"/>
      <c r="N562" s="164"/>
      <c r="O562" s="161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  <c r="AI562" s="118"/>
      <c r="AJ562" s="118"/>
      <c r="AK562" s="118"/>
      <c r="AL562" s="118"/>
      <c r="AM562" s="118"/>
      <c r="AN562" s="118"/>
      <c r="AO562" s="118"/>
      <c r="AP562" s="118"/>
      <c r="AQ562" s="118"/>
      <c r="AR562" s="118"/>
      <c r="AS562" s="118"/>
    </row>
    <row r="563">
      <c r="A563" s="118"/>
      <c r="B563" s="118"/>
      <c r="C563" s="118"/>
      <c r="D563" s="118"/>
      <c r="E563" s="118"/>
      <c r="F563" s="118"/>
      <c r="G563" s="118"/>
      <c r="H563" s="100"/>
      <c r="I563" s="100"/>
      <c r="J563" s="118"/>
      <c r="K563" s="118"/>
      <c r="L563" s="118"/>
      <c r="M563" s="118"/>
      <c r="N563" s="164"/>
      <c r="O563" s="161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  <c r="AI563" s="118"/>
      <c r="AJ563" s="118"/>
      <c r="AK563" s="118"/>
      <c r="AL563" s="118"/>
      <c r="AM563" s="118"/>
      <c r="AN563" s="118"/>
      <c r="AO563" s="118"/>
      <c r="AP563" s="118"/>
      <c r="AQ563" s="118"/>
      <c r="AR563" s="118"/>
      <c r="AS563" s="118"/>
    </row>
    <row r="564">
      <c r="A564" s="118"/>
      <c r="B564" s="118"/>
      <c r="C564" s="118"/>
      <c r="D564" s="118"/>
      <c r="E564" s="118"/>
      <c r="F564" s="118"/>
      <c r="G564" s="118"/>
      <c r="H564" s="100"/>
      <c r="I564" s="100"/>
      <c r="J564" s="118"/>
      <c r="K564" s="118"/>
      <c r="L564" s="118"/>
      <c r="M564" s="118"/>
      <c r="N564" s="164"/>
      <c r="O564" s="161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</row>
    <row r="565">
      <c r="A565" s="118"/>
      <c r="B565" s="118"/>
      <c r="C565" s="118"/>
      <c r="D565" s="118"/>
      <c r="E565" s="118"/>
      <c r="F565" s="118"/>
      <c r="G565" s="118"/>
      <c r="H565" s="100"/>
      <c r="I565" s="100"/>
      <c r="J565" s="118"/>
      <c r="K565" s="118"/>
      <c r="L565" s="118"/>
      <c r="M565" s="118"/>
      <c r="N565" s="164"/>
      <c r="O565" s="161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  <c r="AI565" s="118"/>
      <c r="AJ565" s="118"/>
      <c r="AK565" s="118"/>
      <c r="AL565" s="118"/>
      <c r="AM565" s="118"/>
      <c r="AN565" s="118"/>
      <c r="AO565" s="118"/>
      <c r="AP565" s="118"/>
      <c r="AQ565" s="118"/>
      <c r="AR565" s="118"/>
      <c r="AS565" s="118"/>
    </row>
    <row r="566">
      <c r="A566" s="118"/>
      <c r="B566" s="118"/>
      <c r="C566" s="118"/>
      <c r="D566" s="118"/>
      <c r="E566" s="118"/>
      <c r="F566" s="118"/>
      <c r="G566" s="118"/>
      <c r="H566" s="100"/>
      <c r="I566" s="100"/>
      <c r="J566" s="118"/>
      <c r="K566" s="118"/>
      <c r="L566" s="118"/>
      <c r="M566" s="118"/>
      <c r="N566" s="164"/>
      <c r="O566" s="161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  <c r="AI566" s="118"/>
      <c r="AJ566" s="118"/>
      <c r="AK566" s="118"/>
      <c r="AL566" s="118"/>
      <c r="AM566" s="118"/>
      <c r="AN566" s="118"/>
      <c r="AO566" s="118"/>
      <c r="AP566" s="118"/>
      <c r="AQ566" s="118"/>
      <c r="AR566" s="118"/>
      <c r="AS566" s="118"/>
    </row>
    <row r="567">
      <c r="A567" s="118"/>
      <c r="B567" s="118"/>
      <c r="C567" s="118"/>
      <c r="D567" s="118"/>
      <c r="E567" s="118"/>
      <c r="F567" s="118"/>
      <c r="G567" s="118"/>
      <c r="H567" s="100"/>
      <c r="I567" s="100"/>
      <c r="J567" s="118"/>
      <c r="K567" s="118"/>
      <c r="L567" s="118"/>
      <c r="M567" s="118"/>
      <c r="N567" s="164"/>
      <c r="O567" s="161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  <c r="AI567" s="118"/>
      <c r="AJ567" s="118"/>
      <c r="AK567" s="118"/>
      <c r="AL567" s="118"/>
      <c r="AM567" s="118"/>
      <c r="AN567" s="118"/>
      <c r="AO567" s="118"/>
      <c r="AP567" s="118"/>
      <c r="AQ567" s="118"/>
      <c r="AR567" s="118"/>
      <c r="AS567" s="118"/>
    </row>
    <row r="568">
      <c r="A568" s="118"/>
      <c r="B568" s="118"/>
      <c r="C568" s="118"/>
      <c r="D568" s="118"/>
      <c r="E568" s="118"/>
      <c r="F568" s="118"/>
      <c r="G568" s="118"/>
      <c r="H568" s="100"/>
      <c r="I568" s="100"/>
      <c r="J568" s="118"/>
      <c r="K568" s="118"/>
      <c r="L568" s="118"/>
      <c r="M568" s="118"/>
      <c r="N568" s="164"/>
      <c r="O568" s="161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  <c r="AI568" s="118"/>
      <c r="AJ568" s="118"/>
      <c r="AK568" s="118"/>
      <c r="AL568" s="118"/>
      <c r="AM568" s="118"/>
      <c r="AN568" s="118"/>
      <c r="AO568" s="118"/>
      <c r="AP568" s="118"/>
      <c r="AQ568" s="118"/>
      <c r="AR568" s="118"/>
      <c r="AS568" s="118"/>
    </row>
    <row r="569">
      <c r="A569" s="118"/>
      <c r="B569" s="118"/>
      <c r="C569" s="118"/>
      <c r="D569" s="118"/>
      <c r="E569" s="118"/>
      <c r="F569" s="118"/>
      <c r="G569" s="118"/>
      <c r="H569" s="100"/>
      <c r="I569" s="100"/>
      <c r="J569" s="118"/>
      <c r="K569" s="118"/>
      <c r="L569" s="118"/>
      <c r="M569" s="118"/>
      <c r="N569" s="164"/>
      <c r="O569" s="161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  <c r="AI569" s="118"/>
      <c r="AJ569" s="118"/>
      <c r="AK569" s="118"/>
      <c r="AL569" s="118"/>
      <c r="AM569" s="118"/>
      <c r="AN569" s="118"/>
      <c r="AO569" s="118"/>
      <c r="AP569" s="118"/>
      <c r="AQ569" s="118"/>
      <c r="AR569" s="118"/>
      <c r="AS569" s="118"/>
    </row>
    <row r="570">
      <c r="A570" s="118"/>
      <c r="B570" s="118"/>
      <c r="C570" s="118"/>
      <c r="D570" s="118"/>
      <c r="E570" s="118"/>
      <c r="F570" s="118"/>
      <c r="G570" s="118"/>
      <c r="H570" s="100"/>
      <c r="I570" s="100"/>
      <c r="J570" s="118"/>
      <c r="K570" s="118"/>
      <c r="L570" s="118"/>
      <c r="M570" s="118"/>
      <c r="N570" s="164"/>
      <c r="O570" s="161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  <c r="AI570" s="118"/>
      <c r="AJ570" s="118"/>
      <c r="AK570" s="118"/>
      <c r="AL570" s="118"/>
      <c r="AM570" s="118"/>
      <c r="AN570" s="118"/>
      <c r="AO570" s="118"/>
      <c r="AP570" s="118"/>
      <c r="AQ570" s="118"/>
      <c r="AR570" s="118"/>
      <c r="AS570" s="118"/>
    </row>
    <row r="571">
      <c r="A571" s="118"/>
      <c r="B571" s="118"/>
      <c r="C571" s="118"/>
      <c r="D571" s="118"/>
      <c r="E571" s="118"/>
      <c r="F571" s="118"/>
      <c r="G571" s="118"/>
      <c r="H571" s="100"/>
      <c r="I571" s="100"/>
      <c r="J571" s="118"/>
      <c r="K571" s="118"/>
      <c r="L571" s="118"/>
      <c r="M571" s="118"/>
      <c r="N571" s="164"/>
      <c r="O571" s="161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  <c r="AI571" s="118"/>
      <c r="AJ571" s="118"/>
      <c r="AK571" s="118"/>
      <c r="AL571" s="118"/>
      <c r="AM571" s="118"/>
      <c r="AN571" s="118"/>
      <c r="AO571" s="118"/>
      <c r="AP571" s="118"/>
      <c r="AQ571" s="118"/>
      <c r="AR571" s="118"/>
      <c r="AS571" s="118"/>
    </row>
    <row r="572">
      <c r="A572" s="118"/>
      <c r="B572" s="118"/>
      <c r="C572" s="118"/>
      <c r="D572" s="118"/>
      <c r="E572" s="118"/>
      <c r="F572" s="118"/>
      <c r="G572" s="118"/>
      <c r="H572" s="100"/>
      <c r="I572" s="100"/>
      <c r="J572" s="118"/>
      <c r="K572" s="118"/>
      <c r="L572" s="118"/>
      <c r="M572" s="118"/>
      <c r="N572" s="164"/>
      <c r="O572" s="161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  <c r="AI572" s="118"/>
      <c r="AJ572" s="118"/>
      <c r="AK572" s="118"/>
      <c r="AL572" s="118"/>
      <c r="AM572" s="118"/>
      <c r="AN572" s="118"/>
      <c r="AO572" s="118"/>
      <c r="AP572" s="118"/>
      <c r="AQ572" s="118"/>
      <c r="AR572" s="118"/>
      <c r="AS572" s="118"/>
    </row>
    <row r="573">
      <c r="A573" s="118"/>
      <c r="B573" s="118"/>
      <c r="C573" s="118"/>
      <c r="D573" s="118"/>
      <c r="E573" s="118"/>
      <c r="F573" s="118"/>
      <c r="G573" s="118"/>
      <c r="H573" s="100"/>
      <c r="I573" s="100"/>
      <c r="J573" s="118"/>
      <c r="K573" s="118"/>
      <c r="L573" s="118"/>
      <c r="M573" s="118"/>
      <c r="N573" s="164"/>
      <c r="O573" s="161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  <c r="AI573" s="118"/>
      <c r="AJ573" s="118"/>
      <c r="AK573" s="118"/>
      <c r="AL573" s="118"/>
      <c r="AM573" s="118"/>
      <c r="AN573" s="118"/>
      <c r="AO573" s="118"/>
      <c r="AP573" s="118"/>
      <c r="AQ573" s="118"/>
      <c r="AR573" s="118"/>
      <c r="AS573" s="118"/>
    </row>
    <row r="574">
      <c r="A574" s="118"/>
      <c r="B574" s="118"/>
      <c r="C574" s="118"/>
      <c r="D574" s="118"/>
      <c r="E574" s="118"/>
      <c r="F574" s="118"/>
      <c r="G574" s="118"/>
      <c r="H574" s="100"/>
      <c r="I574" s="100"/>
      <c r="J574" s="118"/>
      <c r="K574" s="118"/>
      <c r="L574" s="118"/>
      <c r="M574" s="118"/>
      <c r="N574" s="164"/>
      <c r="O574" s="161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  <c r="AL574" s="118"/>
      <c r="AM574" s="118"/>
      <c r="AN574" s="118"/>
      <c r="AO574" s="118"/>
      <c r="AP574" s="118"/>
      <c r="AQ574" s="118"/>
      <c r="AR574" s="118"/>
      <c r="AS574" s="118"/>
    </row>
    <row r="575">
      <c r="A575" s="118"/>
      <c r="B575" s="118"/>
      <c r="C575" s="118"/>
      <c r="D575" s="118"/>
      <c r="E575" s="118"/>
      <c r="F575" s="118"/>
      <c r="G575" s="118"/>
      <c r="H575" s="100"/>
      <c r="I575" s="100"/>
      <c r="J575" s="118"/>
      <c r="K575" s="118"/>
      <c r="L575" s="118"/>
      <c r="M575" s="118"/>
      <c r="N575" s="164"/>
      <c r="O575" s="161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  <c r="AL575" s="118"/>
      <c r="AM575" s="118"/>
      <c r="AN575" s="118"/>
      <c r="AO575" s="118"/>
      <c r="AP575" s="118"/>
      <c r="AQ575" s="118"/>
      <c r="AR575" s="118"/>
      <c r="AS575" s="118"/>
    </row>
    <row r="576">
      <c r="A576" s="118"/>
      <c r="B576" s="118"/>
      <c r="C576" s="118"/>
      <c r="D576" s="118"/>
      <c r="E576" s="118"/>
      <c r="F576" s="118"/>
      <c r="G576" s="118"/>
      <c r="H576" s="100"/>
      <c r="I576" s="100"/>
      <c r="J576" s="118"/>
      <c r="K576" s="118"/>
      <c r="L576" s="118"/>
      <c r="M576" s="118"/>
      <c r="N576" s="164"/>
      <c r="O576" s="161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  <c r="AL576" s="118"/>
      <c r="AM576" s="118"/>
      <c r="AN576" s="118"/>
      <c r="AO576" s="118"/>
      <c r="AP576" s="118"/>
      <c r="AQ576" s="118"/>
      <c r="AR576" s="118"/>
      <c r="AS576" s="118"/>
    </row>
    <row r="577">
      <c r="A577" s="118"/>
      <c r="B577" s="118"/>
      <c r="C577" s="118"/>
      <c r="D577" s="118"/>
      <c r="E577" s="118"/>
      <c r="F577" s="118"/>
      <c r="G577" s="118"/>
      <c r="H577" s="100"/>
      <c r="I577" s="100"/>
      <c r="J577" s="118"/>
      <c r="K577" s="118"/>
      <c r="L577" s="118"/>
      <c r="M577" s="118"/>
      <c r="N577" s="164"/>
      <c r="O577" s="161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  <c r="AI577" s="118"/>
      <c r="AJ577" s="118"/>
      <c r="AK577" s="118"/>
      <c r="AL577" s="118"/>
      <c r="AM577" s="118"/>
      <c r="AN577" s="118"/>
      <c r="AO577" s="118"/>
      <c r="AP577" s="118"/>
      <c r="AQ577" s="118"/>
      <c r="AR577" s="118"/>
      <c r="AS577" s="118"/>
    </row>
    <row r="578">
      <c r="A578" s="118"/>
      <c r="B578" s="118"/>
      <c r="C578" s="118"/>
      <c r="D578" s="118"/>
      <c r="E578" s="118"/>
      <c r="F578" s="118"/>
      <c r="G578" s="118"/>
      <c r="H578" s="100"/>
      <c r="I578" s="100"/>
      <c r="J578" s="118"/>
      <c r="K578" s="118"/>
      <c r="L578" s="118"/>
      <c r="M578" s="118"/>
      <c r="N578" s="164"/>
      <c r="O578" s="161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</row>
    <row r="579">
      <c r="A579" s="118"/>
      <c r="B579" s="118"/>
      <c r="C579" s="118"/>
      <c r="D579" s="118"/>
      <c r="E579" s="118"/>
      <c r="F579" s="118"/>
      <c r="G579" s="118"/>
      <c r="H579" s="100"/>
      <c r="I579" s="100"/>
      <c r="J579" s="118"/>
      <c r="K579" s="118"/>
      <c r="L579" s="118"/>
      <c r="M579" s="118"/>
      <c r="N579" s="164"/>
      <c r="O579" s="161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  <c r="AI579" s="118"/>
      <c r="AJ579" s="118"/>
      <c r="AK579" s="118"/>
      <c r="AL579" s="118"/>
      <c r="AM579" s="118"/>
      <c r="AN579" s="118"/>
      <c r="AO579" s="118"/>
      <c r="AP579" s="118"/>
      <c r="AQ579" s="118"/>
      <c r="AR579" s="118"/>
      <c r="AS579" s="118"/>
    </row>
    <row r="580">
      <c r="A580" s="118"/>
      <c r="B580" s="118"/>
      <c r="C580" s="118"/>
      <c r="D580" s="118"/>
      <c r="E580" s="118"/>
      <c r="F580" s="118"/>
      <c r="G580" s="118"/>
      <c r="H580" s="100"/>
      <c r="I580" s="100"/>
      <c r="J580" s="118"/>
      <c r="K580" s="118"/>
      <c r="L580" s="118"/>
      <c r="M580" s="118"/>
      <c r="N580" s="164"/>
      <c r="O580" s="161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  <c r="AI580" s="118"/>
      <c r="AJ580" s="118"/>
      <c r="AK580" s="118"/>
      <c r="AL580" s="118"/>
      <c r="AM580" s="118"/>
      <c r="AN580" s="118"/>
      <c r="AO580" s="118"/>
      <c r="AP580" s="118"/>
      <c r="AQ580" s="118"/>
      <c r="AR580" s="118"/>
      <c r="AS580" s="118"/>
    </row>
    <row r="581">
      <c r="A581" s="118"/>
      <c r="B581" s="118"/>
      <c r="C581" s="118"/>
      <c r="D581" s="118"/>
      <c r="E581" s="118"/>
      <c r="F581" s="118"/>
      <c r="G581" s="118"/>
      <c r="H581" s="100"/>
      <c r="I581" s="100"/>
      <c r="J581" s="118"/>
      <c r="K581" s="118"/>
      <c r="L581" s="118"/>
      <c r="M581" s="118"/>
      <c r="N581" s="164"/>
      <c r="O581" s="161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118"/>
      <c r="AN581" s="118"/>
      <c r="AO581" s="118"/>
      <c r="AP581" s="118"/>
      <c r="AQ581" s="118"/>
      <c r="AR581" s="118"/>
      <c r="AS581" s="118"/>
    </row>
    <row r="582">
      <c r="A582" s="118"/>
      <c r="B582" s="118"/>
      <c r="C582" s="118"/>
      <c r="D582" s="118"/>
      <c r="E582" s="118"/>
      <c r="F582" s="118"/>
      <c r="G582" s="118"/>
      <c r="H582" s="100"/>
      <c r="I582" s="100"/>
      <c r="J582" s="118"/>
      <c r="K582" s="118"/>
      <c r="L582" s="118"/>
      <c r="M582" s="118"/>
      <c r="N582" s="164"/>
      <c r="O582" s="161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118"/>
      <c r="AN582" s="118"/>
      <c r="AO582" s="118"/>
      <c r="AP582" s="118"/>
      <c r="AQ582" s="118"/>
      <c r="AR582" s="118"/>
      <c r="AS582" s="118"/>
    </row>
    <row r="583">
      <c r="A583" s="118"/>
      <c r="B583" s="118"/>
      <c r="C583" s="118"/>
      <c r="D583" s="118"/>
      <c r="E583" s="118"/>
      <c r="F583" s="118"/>
      <c r="G583" s="118"/>
      <c r="H583" s="100"/>
      <c r="I583" s="100"/>
      <c r="J583" s="118"/>
      <c r="K583" s="118"/>
      <c r="L583" s="118"/>
      <c r="M583" s="118"/>
      <c r="N583" s="164"/>
      <c r="O583" s="161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  <c r="AL583" s="118"/>
      <c r="AM583" s="118"/>
      <c r="AN583" s="118"/>
      <c r="AO583" s="118"/>
      <c r="AP583" s="118"/>
      <c r="AQ583" s="118"/>
      <c r="AR583" s="118"/>
      <c r="AS583" s="118"/>
    </row>
    <row r="584">
      <c r="A584" s="118"/>
      <c r="B584" s="118"/>
      <c r="C584" s="118"/>
      <c r="D584" s="118"/>
      <c r="E584" s="118"/>
      <c r="F584" s="118"/>
      <c r="G584" s="118"/>
      <c r="H584" s="100"/>
      <c r="I584" s="100"/>
      <c r="J584" s="118"/>
      <c r="K584" s="118"/>
      <c r="L584" s="118"/>
      <c r="M584" s="118"/>
      <c r="N584" s="164"/>
      <c r="O584" s="161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  <c r="AL584" s="118"/>
      <c r="AM584" s="118"/>
      <c r="AN584" s="118"/>
      <c r="AO584" s="118"/>
      <c r="AP584" s="118"/>
      <c r="AQ584" s="118"/>
      <c r="AR584" s="118"/>
      <c r="AS584" s="118"/>
    </row>
    <row r="585">
      <c r="A585" s="118"/>
      <c r="B585" s="118"/>
      <c r="C585" s="118"/>
      <c r="D585" s="118"/>
      <c r="E585" s="118"/>
      <c r="F585" s="118"/>
      <c r="G585" s="118"/>
      <c r="H585" s="100"/>
      <c r="I585" s="100"/>
      <c r="J585" s="118"/>
      <c r="K585" s="118"/>
      <c r="L585" s="118"/>
      <c r="M585" s="118"/>
      <c r="N585" s="164"/>
      <c r="O585" s="161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  <c r="AL585" s="118"/>
      <c r="AM585" s="118"/>
      <c r="AN585" s="118"/>
      <c r="AO585" s="118"/>
      <c r="AP585" s="118"/>
      <c r="AQ585" s="118"/>
      <c r="AR585" s="118"/>
      <c r="AS585" s="118"/>
    </row>
    <row r="586">
      <c r="A586" s="118"/>
      <c r="B586" s="118"/>
      <c r="C586" s="118"/>
      <c r="D586" s="118"/>
      <c r="E586" s="118"/>
      <c r="F586" s="118"/>
      <c r="G586" s="118"/>
      <c r="H586" s="100"/>
      <c r="I586" s="100"/>
      <c r="J586" s="118"/>
      <c r="K586" s="118"/>
      <c r="L586" s="118"/>
      <c r="M586" s="118"/>
      <c r="N586" s="164"/>
      <c r="O586" s="161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</row>
    <row r="587">
      <c r="A587" s="118"/>
      <c r="B587" s="118"/>
      <c r="C587" s="118"/>
      <c r="D587" s="118"/>
      <c r="E587" s="118"/>
      <c r="F587" s="118"/>
      <c r="G587" s="118"/>
      <c r="H587" s="100"/>
      <c r="I587" s="100"/>
      <c r="J587" s="118"/>
      <c r="K587" s="118"/>
      <c r="L587" s="118"/>
      <c r="M587" s="118"/>
      <c r="N587" s="164"/>
      <c r="O587" s="161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  <c r="AL587" s="118"/>
      <c r="AM587" s="118"/>
      <c r="AN587" s="118"/>
      <c r="AO587" s="118"/>
      <c r="AP587" s="118"/>
      <c r="AQ587" s="118"/>
      <c r="AR587" s="118"/>
      <c r="AS587" s="118"/>
    </row>
    <row r="588">
      <c r="A588" s="118"/>
      <c r="B588" s="118"/>
      <c r="C588" s="118"/>
      <c r="D588" s="118"/>
      <c r="E588" s="118"/>
      <c r="F588" s="118"/>
      <c r="G588" s="118"/>
      <c r="H588" s="100"/>
      <c r="I588" s="100"/>
      <c r="J588" s="118"/>
      <c r="K588" s="118"/>
      <c r="L588" s="118"/>
      <c r="M588" s="118"/>
      <c r="N588" s="164"/>
      <c r="O588" s="161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118"/>
      <c r="AN588" s="118"/>
      <c r="AO588" s="118"/>
      <c r="AP588" s="118"/>
      <c r="AQ588" s="118"/>
      <c r="AR588" s="118"/>
      <c r="AS588" s="118"/>
    </row>
    <row r="589">
      <c r="A589" s="118"/>
      <c r="B589" s="118"/>
      <c r="C589" s="118"/>
      <c r="D589" s="118"/>
      <c r="E589" s="118"/>
      <c r="F589" s="118"/>
      <c r="G589" s="118"/>
      <c r="H589" s="100"/>
      <c r="I589" s="100"/>
      <c r="J589" s="118"/>
      <c r="K589" s="118"/>
      <c r="L589" s="118"/>
      <c r="M589" s="118"/>
      <c r="N589" s="164"/>
      <c r="O589" s="161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  <c r="AL589" s="118"/>
      <c r="AM589" s="118"/>
      <c r="AN589" s="118"/>
      <c r="AO589" s="118"/>
      <c r="AP589" s="118"/>
      <c r="AQ589" s="118"/>
      <c r="AR589" s="118"/>
      <c r="AS589" s="118"/>
    </row>
    <row r="590">
      <c r="A590" s="118"/>
      <c r="B590" s="118"/>
      <c r="C590" s="118"/>
      <c r="D590" s="118"/>
      <c r="E590" s="118"/>
      <c r="F590" s="118"/>
      <c r="G590" s="118"/>
      <c r="H590" s="100"/>
      <c r="I590" s="100"/>
      <c r="J590" s="118"/>
      <c r="K590" s="118"/>
      <c r="L590" s="118"/>
      <c r="M590" s="118"/>
      <c r="N590" s="164"/>
      <c r="O590" s="161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  <c r="AL590" s="118"/>
      <c r="AM590" s="118"/>
      <c r="AN590" s="118"/>
      <c r="AO590" s="118"/>
      <c r="AP590" s="118"/>
      <c r="AQ590" s="118"/>
      <c r="AR590" s="118"/>
      <c r="AS590" s="118"/>
    </row>
    <row r="591">
      <c r="A591" s="118"/>
      <c r="B591" s="118"/>
      <c r="C591" s="118"/>
      <c r="D591" s="118"/>
      <c r="E591" s="118"/>
      <c r="F591" s="118"/>
      <c r="G591" s="118"/>
      <c r="H591" s="100"/>
      <c r="I591" s="100"/>
      <c r="J591" s="118"/>
      <c r="K591" s="118"/>
      <c r="L591" s="118"/>
      <c r="M591" s="118"/>
      <c r="N591" s="164"/>
      <c r="O591" s="161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  <c r="AL591" s="118"/>
      <c r="AM591" s="118"/>
      <c r="AN591" s="118"/>
      <c r="AO591" s="118"/>
      <c r="AP591" s="118"/>
      <c r="AQ591" s="118"/>
      <c r="AR591" s="118"/>
      <c r="AS591" s="118"/>
    </row>
    <row r="592">
      <c r="A592" s="118"/>
      <c r="B592" s="118"/>
      <c r="C592" s="118"/>
      <c r="D592" s="118"/>
      <c r="E592" s="118"/>
      <c r="F592" s="118"/>
      <c r="G592" s="118"/>
      <c r="H592" s="100"/>
      <c r="I592" s="100"/>
      <c r="J592" s="118"/>
      <c r="K592" s="118"/>
      <c r="L592" s="118"/>
      <c r="M592" s="118"/>
      <c r="N592" s="164"/>
      <c r="O592" s="161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  <c r="AL592" s="118"/>
      <c r="AM592" s="118"/>
      <c r="AN592" s="118"/>
      <c r="AO592" s="118"/>
      <c r="AP592" s="118"/>
      <c r="AQ592" s="118"/>
      <c r="AR592" s="118"/>
      <c r="AS592" s="118"/>
    </row>
    <row r="593">
      <c r="A593" s="118"/>
      <c r="B593" s="118"/>
      <c r="C593" s="118"/>
      <c r="D593" s="118"/>
      <c r="E593" s="118"/>
      <c r="F593" s="118"/>
      <c r="G593" s="118"/>
      <c r="H593" s="100"/>
      <c r="I593" s="100"/>
      <c r="J593" s="118"/>
      <c r="K593" s="118"/>
      <c r="L593" s="118"/>
      <c r="M593" s="118"/>
      <c r="N593" s="164"/>
      <c r="O593" s="161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  <c r="AL593" s="118"/>
      <c r="AM593" s="118"/>
      <c r="AN593" s="118"/>
      <c r="AO593" s="118"/>
      <c r="AP593" s="118"/>
      <c r="AQ593" s="118"/>
      <c r="AR593" s="118"/>
      <c r="AS593" s="118"/>
    </row>
    <row r="594">
      <c r="A594" s="118"/>
      <c r="B594" s="118"/>
      <c r="C594" s="118"/>
      <c r="D594" s="118"/>
      <c r="E594" s="118"/>
      <c r="F594" s="118"/>
      <c r="G594" s="118"/>
      <c r="H594" s="100"/>
      <c r="I594" s="100"/>
      <c r="J594" s="118"/>
      <c r="K594" s="118"/>
      <c r="L594" s="118"/>
      <c r="M594" s="118"/>
      <c r="N594" s="164"/>
      <c r="O594" s="161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8"/>
      <c r="AN594" s="118"/>
      <c r="AO594" s="118"/>
      <c r="AP594" s="118"/>
      <c r="AQ594" s="118"/>
      <c r="AR594" s="118"/>
      <c r="AS594" s="118"/>
    </row>
    <row r="595">
      <c r="A595" s="118"/>
      <c r="B595" s="118"/>
      <c r="C595" s="118"/>
      <c r="D595" s="118"/>
      <c r="E595" s="118"/>
      <c r="F595" s="118"/>
      <c r="G595" s="118"/>
      <c r="H595" s="100"/>
      <c r="I595" s="100"/>
      <c r="J595" s="118"/>
      <c r="K595" s="118"/>
      <c r="L595" s="118"/>
      <c r="M595" s="118"/>
      <c r="N595" s="164"/>
      <c r="O595" s="161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  <c r="AL595" s="118"/>
      <c r="AM595" s="118"/>
      <c r="AN595" s="118"/>
      <c r="AO595" s="118"/>
      <c r="AP595" s="118"/>
      <c r="AQ595" s="118"/>
      <c r="AR595" s="118"/>
      <c r="AS595" s="118"/>
    </row>
    <row r="596">
      <c r="A596" s="118"/>
      <c r="B596" s="118"/>
      <c r="C596" s="118"/>
      <c r="D596" s="118"/>
      <c r="E596" s="118"/>
      <c r="F596" s="118"/>
      <c r="G596" s="118"/>
      <c r="H596" s="100"/>
      <c r="I596" s="100"/>
      <c r="J596" s="118"/>
      <c r="K596" s="118"/>
      <c r="L596" s="118"/>
      <c r="M596" s="118"/>
      <c r="N596" s="164"/>
      <c r="O596" s="161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  <c r="AL596" s="118"/>
      <c r="AM596" s="118"/>
      <c r="AN596" s="118"/>
      <c r="AO596" s="118"/>
      <c r="AP596" s="118"/>
      <c r="AQ596" s="118"/>
      <c r="AR596" s="118"/>
      <c r="AS596" s="118"/>
    </row>
    <row r="597">
      <c r="A597" s="118"/>
      <c r="B597" s="118"/>
      <c r="C597" s="118"/>
      <c r="D597" s="118"/>
      <c r="E597" s="118"/>
      <c r="F597" s="118"/>
      <c r="G597" s="118"/>
      <c r="H597" s="100"/>
      <c r="I597" s="100"/>
      <c r="J597" s="118"/>
      <c r="K597" s="118"/>
      <c r="L597" s="118"/>
      <c r="M597" s="118"/>
      <c r="N597" s="164"/>
      <c r="O597" s="161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  <c r="AL597" s="118"/>
      <c r="AM597" s="118"/>
      <c r="AN597" s="118"/>
      <c r="AO597" s="118"/>
      <c r="AP597" s="118"/>
      <c r="AQ597" s="118"/>
      <c r="AR597" s="118"/>
      <c r="AS597" s="118"/>
    </row>
    <row r="598">
      <c r="A598" s="118"/>
      <c r="B598" s="118"/>
      <c r="C598" s="118"/>
      <c r="D598" s="118"/>
      <c r="E598" s="118"/>
      <c r="F598" s="118"/>
      <c r="G598" s="118"/>
      <c r="H598" s="100"/>
      <c r="I598" s="100"/>
      <c r="J598" s="118"/>
      <c r="K598" s="118"/>
      <c r="L598" s="118"/>
      <c r="M598" s="118"/>
      <c r="N598" s="164"/>
      <c r="O598" s="161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  <c r="AL598" s="118"/>
      <c r="AM598" s="118"/>
      <c r="AN598" s="118"/>
      <c r="AO598" s="118"/>
      <c r="AP598" s="118"/>
      <c r="AQ598" s="118"/>
      <c r="AR598" s="118"/>
      <c r="AS598" s="118"/>
    </row>
    <row r="599">
      <c r="A599" s="118"/>
      <c r="B599" s="118"/>
      <c r="C599" s="118"/>
      <c r="D599" s="118"/>
      <c r="E599" s="118"/>
      <c r="F599" s="118"/>
      <c r="G599" s="118"/>
      <c r="H599" s="100"/>
      <c r="I599" s="100"/>
      <c r="J599" s="118"/>
      <c r="K599" s="118"/>
      <c r="L599" s="118"/>
      <c r="M599" s="118"/>
      <c r="N599" s="164"/>
      <c r="O599" s="161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18"/>
      <c r="AS599" s="118"/>
    </row>
    <row r="600">
      <c r="A600" s="118"/>
      <c r="B600" s="118"/>
      <c r="C600" s="118"/>
      <c r="D600" s="118"/>
      <c r="E600" s="118"/>
      <c r="F600" s="118"/>
      <c r="G600" s="118"/>
      <c r="H600" s="100"/>
      <c r="I600" s="100"/>
      <c r="J600" s="118"/>
      <c r="K600" s="118"/>
      <c r="L600" s="118"/>
      <c r="M600" s="118"/>
      <c r="N600" s="164"/>
      <c r="O600" s="161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18"/>
      <c r="AS600" s="118"/>
    </row>
    <row r="601">
      <c r="A601" s="118"/>
      <c r="B601" s="118"/>
      <c r="C601" s="118"/>
      <c r="D601" s="118"/>
      <c r="E601" s="118"/>
      <c r="F601" s="118"/>
      <c r="G601" s="118"/>
      <c r="H601" s="100"/>
      <c r="I601" s="100"/>
      <c r="J601" s="118"/>
      <c r="K601" s="118"/>
      <c r="L601" s="118"/>
      <c r="M601" s="118"/>
      <c r="N601" s="164"/>
      <c r="O601" s="161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18"/>
      <c r="AS601" s="118"/>
    </row>
    <row r="602">
      <c r="A602" s="118"/>
      <c r="B602" s="118"/>
      <c r="C602" s="118"/>
      <c r="D602" s="118"/>
      <c r="E602" s="118"/>
      <c r="F602" s="118"/>
      <c r="G602" s="118"/>
      <c r="H602" s="100"/>
      <c r="I602" s="100"/>
      <c r="J602" s="118"/>
      <c r="K602" s="118"/>
      <c r="L602" s="118"/>
      <c r="M602" s="118"/>
      <c r="N602" s="164"/>
      <c r="O602" s="161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18"/>
      <c r="AS602" s="118"/>
    </row>
    <row r="603">
      <c r="A603" s="118"/>
      <c r="B603" s="118"/>
      <c r="C603" s="118"/>
      <c r="D603" s="118"/>
      <c r="E603" s="118"/>
      <c r="F603" s="118"/>
      <c r="G603" s="118"/>
      <c r="H603" s="100"/>
      <c r="I603" s="100"/>
      <c r="J603" s="118"/>
      <c r="K603" s="118"/>
      <c r="L603" s="118"/>
      <c r="M603" s="118"/>
      <c r="N603" s="164"/>
      <c r="O603" s="161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18"/>
      <c r="AS603" s="118"/>
    </row>
    <row r="604">
      <c r="A604" s="118"/>
      <c r="B604" s="118"/>
      <c r="C604" s="118"/>
      <c r="D604" s="118"/>
      <c r="E604" s="118"/>
      <c r="F604" s="118"/>
      <c r="G604" s="118"/>
      <c r="H604" s="100"/>
      <c r="I604" s="100"/>
      <c r="J604" s="118"/>
      <c r="K604" s="118"/>
      <c r="L604" s="118"/>
      <c r="M604" s="118"/>
      <c r="N604" s="164"/>
      <c r="O604" s="161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</row>
    <row r="605">
      <c r="A605" s="118"/>
      <c r="B605" s="118"/>
      <c r="C605" s="118"/>
      <c r="D605" s="118"/>
      <c r="E605" s="118"/>
      <c r="F605" s="118"/>
      <c r="G605" s="118"/>
      <c r="H605" s="100"/>
      <c r="I605" s="100"/>
      <c r="J605" s="118"/>
      <c r="K605" s="118"/>
      <c r="L605" s="118"/>
      <c r="M605" s="118"/>
      <c r="N605" s="164"/>
      <c r="O605" s="161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18"/>
      <c r="AS605" s="118"/>
    </row>
    <row r="606">
      <c r="A606" s="118"/>
      <c r="B606" s="118"/>
      <c r="C606" s="118"/>
      <c r="D606" s="118"/>
      <c r="E606" s="118"/>
      <c r="F606" s="118"/>
      <c r="G606" s="118"/>
      <c r="H606" s="100"/>
      <c r="I606" s="100"/>
      <c r="J606" s="118"/>
      <c r="K606" s="118"/>
      <c r="L606" s="118"/>
      <c r="M606" s="118"/>
      <c r="N606" s="164"/>
      <c r="O606" s="161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18"/>
      <c r="AS606" s="118"/>
    </row>
    <row r="607">
      <c r="A607" s="118"/>
      <c r="B607" s="118"/>
      <c r="C607" s="118"/>
      <c r="D607" s="118"/>
      <c r="E607" s="118"/>
      <c r="F607" s="118"/>
      <c r="G607" s="118"/>
      <c r="H607" s="100"/>
      <c r="I607" s="100"/>
      <c r="J607" s="118"/>
      <c r="K607" s="118"/>
      <c r="L607" s="118"/>
      <c r="M607" s="118"/>
      <c r="N607" s="164"/>
      <c r="O607" s="161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18"/>
      <c r="AS607" s="118"/>
    </row>
    <row r="608">
      <c r="A608" s="118"/>
      <c r="B608" s="118"/>
      <c r="C608" s="118"/>
      <c r="D608" s="118"/>
      <c r="E608" s="118"/>
      <c r="F608" s="118"/>
      <c r="G608" s="118"/>
      <c r="H608" s="100"/>
      <c r="I608" s="100"/>
      <c r="J608" s="118"/>
      <c r="K608" s="118"/>
      <c r="L608" s="118"/>
      <c r="M608" s="118"/>
      <c r="N608" s="164"/>
      <c r="O608" s="161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  <c r="AI608" s="118"/>
      <c r="AJ608" s="118"/>
      <c r="AK608" s="118"/>
      <c r="AL608" s="118"/>
      <c r="AM608" s="118"/>
      <c r="AN608" s="118"/>
      <c r="AO608" s="118"/>
      <c r="AP608" s="118"/>
      <c r="AQ608" s="118"/>
      <c r="AR608" s="118"/>
      <c r="AS608" s="118"/>
    </row>
    <row r="609">
      <c r="A609" s="118"/>
      <c r="B609" s="118"/>
      <c r="C609" s="118"/>
      <c r="D609" s="118"/>
      <c r="E609" s="118"/>
      <c r="F609" s="118"/>
      <c r="G609" s="118"/>
      <c r="H609" s="100"/>
      <c r="I609" s="100"/>
      <c r="J609" s="118"/>
      <c r="K609" s="118"/>
      <c r="L609" s="118"/>
      <c r="M609" s="118"/>
      <c r="N609" s="164"/>
      <c r="O609" s="161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  <c r="AI609" s="118"/>
      <c r="AJ609" s="118"/>
      <c r="AK609" s="118"/>
      <c r="AL609" s="118"/>
      <c r="AM609" s="118"/>
      <c r="AN609" s="118"/>
      <c r="AO609" s="118"/>
      <c r="AP609" s="118"/>
      <c r="AQ609" s="118"/>
      <c r="AR609" s="118"/>
      <c r="AS609" s="118"/>
    </row>
    <row r="610">
      <c r="A610" s="118"/>
      <c r="B610" s="118"/>
      <c r="C610" s="118"/>
      <c r="D610" s="118"/>
      <c r="E610" s="118"/>
      <c r="F610" s="118"/>
      <c r="G610" s="118"/>
      <c r="H610" s="100"/>
      <c r="I610" s="100"/>
      <c r="J610" s="118"/>
      <c r="K610" s="118"/>
      <c r="L610" s="118"/>
      <c r="M610" s="118"/>
      <c r="N610" s="164"/>
      <c r="O610" s="161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  <c r="AI610" s="118"/>
      <c r="AJ610" s="118"/>
      <c r="AK610" s="118"/>
      <c r="AL610" s="118"/>
      <c r="AM610" s="118"/>
      <c r="AN610" s="118"/>
      <c r="AO610" s="118"/>
      <c r="AP610" s="118"/>
      <c r="AQ610" s="118"/>
      <c r="AR610" s="118"/>
      <c r="AS610" s="118"/>
    </row>
    <row r="611">
      <c r="A611" s="118"/>
      <c r="B611" s="118"/>
      <c r="C611" s="118"/>
      <c r="D611" s="118"/>
      <c r="E611" s="118"/>
      <c r="F611" s="118"/>
      <c r="G611" s="118"/>
      <c r="H611" s="100"/>
      <c r="I611" s="100"/>
      <c r="J611" s="118"/>
      <c r="K611" s="118"/>
      <c r="L611" s="118"/>
      <c r="M611" s="118"/>
      <c r="N611" s="164"/>
      <c r="O611" s="161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  <c r="AI611" s="118"/>
      <c r="AJ611" s="118"/>
      <c r="AK611" s="118"/>
      <c r="AL611" s="118"/>
      <c r="AM611" s="118"/>
      <c r="AN611" s="118"/>
      <c r="AO611" s="118"/>
      <c r="AP611" s="118"/>
      <c r="AQ611" s="118"/>
      <c r="AR611" s="118"/>
      <c r="AS611" s="118"/>
    </row>
    <row r="612">
      <c r="A612" s="118"/>
      <c r="B612" s="118"/>
      <c r="C612" s="118"/>
      <c r="D612" s="118"/>
      <c r="E612" s="118"/>
      <c r="F612" s="118"/>
      <c r="G612" s="118"/>
      <c r="H612" s="100"/>
      <c r="I612" s="100"/>
      <c r="J612" s="118"/>
      <c r="K612" s="118"/>
      <c r="L612" s="118"/>
      <c r="M612" s="118"/>
      <c r="N612" s="164"/>
      <c r="O612" s="161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  <c r="AI612" s="118"/>
      <c r="AJ612" s="118"/>
      <c r="AK612" s="118"/>
      <c r="AL612" s="118"/>
      <c r="AM612" s="118"/>
      <c r="AN612" s="118"/>
      <c r="AO612" s="118"/>
      <c r="AP612" s="118"/>
      <c r="AQ612" s="118"/>
      <c r="AR612" s="118"/>
      <c r="AS612" s="118"/>
    </row>
    <row r="613">
      <c r="A613" s="118"/>
      <c r="B613" s="118"/>
      <c r="C613" s="118"/>
      <c r="D613" s="118"/>
      <c r="E613" s="118"/>
      <c r="F613" s="118"/>
      <c r="G613" s="118"/>
      <c r="H613" s="100"/>
      <c r="I613" s="100"/>
      <c r="J613" s="118"/>
      <c r="K613" s="118"/>
      <c r="L613" s="118"/>
      <c r="M613" s="118"/>
      <c r="N613" s="164"/>
      <c r="O613" s="161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  <c r="AI613" s="118"/>
      <c r="AJ613" s="118"/>
      <c r="AK613" s="118"/>
      <c r="AL613" s="118"/>
      <c r="AM613" s="118"/>
      <c r="AN613" s="118"/>
      <c r="AO613" s="118"/>
      <c r="AP613" s="118"/>
      <c r="AQ613" s="118"/>
      <c r="AR613" s="118"/>
      <c r="AS613" s="118"/>
    </row>
    <row r="614">
      <c r="A614" s="118"/>
      <c r="B614" s="118"/>
      <c r="C614" s="118"/>
      <c r="D614" s="118"/>
      <c r="E614" s="118"/>
      <c r="F614" s="118"/>
      <c r="G614" s="118"/>
      <c r="H614" s="100"/>
      <c r="I614" s="100"/>
      <c r="J614" s="118"/>
      <c r="K614" s="118"/>
      <c r="L614" s="118"/>
      <c r="M614" s="118"/>
      <c r="N614" s="164"/>
      <c r="O614" s="161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  <c r="AI614" s="118"/>
      <c r="AJ614" s="118"/>
      <c r="AK614" s="118"/>
      <c r="AL614" s="118"/>
      <c r="AM614" s="118"/>
      <c r="AN614" s="118"/>
      <c r="AO614" s="118"/>
      <c r="AP614" s="118"/>
      <c r="AQ614" s="118"/>
      <c r="AR614" s="118"/>
      <c r="AS614" s="118"/>
    </row>
    <row r="615">
      <c r="A615" s="118"/>
      <c r="B615" s="118"/>
      <c r="C615" s="118"/>
      <c r="D615" s="118"/>
      <c r="E615" s="118"/>
      <c r="F615" s="118"/>
      <c r="G615" s="118"/>
      <c r="H615" s="100"/>
      <c r="I615" s="100"/>
      <c r="J615" s="118"/>
      <c r="K615" s="118"/>
      <c r="L615" s="118"/>
      <c r="M615" s="118"/>
      <c r="N615" s="164"/>
      <c r="O615" s="161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  <c r="AI615" s="118"/>
      <c r="AJ615" s="118"/>
      <c r="AK615" s="118"/>
      <c r="AL615" s="118"/>
      <c r="AM615" s="118"/>
      <c r="AN615" s="118"/>
      <c r="AO615" s="118"/>
      <c r="AP615" s="118"/>
      <c r="AQ615" s="118"/>
      <c r="AR615" s="118"/>
      <c r="AS615" s="118"/>
    </row>
    <row r="616">
      <c r="A616" s="118"/>
      <c r="B616" s="118"/>
      <c r="C616" s="118"/>
      <c r="D616" s="118"/>
      <c r="E616" s="118"/>
      <c r="F616" s="118"/>
      <c r="G616" s="118"/>
      <c r="H616" s="100"/>
      <c r="I616" s="100"/>
      <c r="J616" s="118"/>
      <c r="K616" s="118"/>
      <c r="L616" s="118"/>
      <c r="M616" s="118"/>
      <c r="N616" s="164"/>
      <c r="O616" s="161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  <c r="AI616" s="118"/>
      <c r="AJ616" s="118"/>
      <c r="AK616" s="118"/>
      <c r="AL616" s="118"/>
      <c r="AM616" s="118"/>
      <c r="AN616" s="118"/>
      <c r="AO616" s="118"/>
      <c r="AP616" s="118"/>
      <c r="AQ616" s="118"/>
      <c r="AR616" s="118"/>
      <c r="AS616" s="118"/>
    </row>
    <row r="617">
      <c r="A617" s="118"/>
      <c r="B617" s="118"/>
      <c r="C617" s="118"/>
      <c r="D617" s="118"/>
      <c r="E617" s="118"/>
      <c r="F617" s="118"/>
      <c r="G617" s="118"/>
      <c r="H617" s="100"/>
      <c r="I617" s="100"/>
      <c r="J617" s="118"/>
      <c r="K617" s="118"/>
      <c r="L617" s="118"/>
      <c r="M617" s="118"/>
      <c r="N617" s="164"/>
      <c r="O617" s="161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  <c r="AI617" s="118"/>
      <c r="AJ617" s="118"/>
      <c r="AK617" s="118"/>
      <c r="AL617" s="118"/>
      <c r="AM617" s="118"/>
      <c r="AN617" s="118"/>
      <c r="AO617" s="118"/>
      <c r="AP617" s="118"/>
      <c r="AQ617" s="118"/>
      <c r="AR617" s="118"/>
      <c r="AS617" s="118"/>
    </row>
    <row r="618">
      <c r="A618" s="118"/>
      <c r="B618" s="118"/>
      <c r="C618" s="118"/>
      <c r="D618" s="118"/>
      <c r="E618" s="118"/>
      <c r="F618" s="118"/>
      <c r="G618" s="118"/>
      <c r="H618" s="100"/>
      <c r="I618" s="100"/>
      <c r="J618" s="118"/>
      <c r="K618" s="118"/>
      <c r="L618" s="118"/>
      <c r="M618" s="118"/>
      <c r="N618" s="164"/>
      <c r="O618" s="161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  <c r="AI618" s="118"/>
      <c r="AJ618" s="118"/>
      <c r="AK618" s="118"/>
      <c r="AL618" s="118"/>
      <c r="AM618" s="118"/>
      <c r="AN618" s="118"/>
      <c r="AO618" s="118"/>
      <c r="AP618" s="118"/>
      <c r="AQ618" s="118"/>
      <c r="AR618" s="118"/>
      <c r="AS618" s="118"/>
    </row>
    <row r="619">
      <c r="A619" s="118"/>
      <c r="B619" s="118"/>
      <c r="C619" s="118"/>
      <c r="D619" s="118"/>
      <c r="E619" s="118"/>
      <c r="F619" s="118"/>
      <c r="G619" s="118"/>
      <c r="H619" s="100"/>
      <c r="I619" s="100"/>
      <c r="J619" s="118"/>
      <c r="K619" s="118"/>
      <c r="L619" s="118"/>
      <c r="M619" s="118"/>
      <c r="N619" s="164"/>
      <c r="O619" s="161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  <c r="AI619" s="118"/>
      <c r="AJ619" s="118"/>
      <c r="AK619" s="118"/>
      <c r="AL619" s="118"/>
      <c r="AM619" s="118"/>
      <c r="AN619" s="118"/>
      <c r="AO619" s="118"/>
      <c r="AP619" s="118"/>
      <c r="AQ619" s="118"/>
      <c r="AR619" s="118"/>
      <c r="AS619" s="118"/>
    </row>
    <row r="620">
      <c r="A620" s="118"/>
      <c r="B620" s="118"/>
      <c r="C620" s="118"/>
      <c r="D620" s="118"/>
      <c r="E620" s="118"/>
      <c r="F620" s="118"/>
      <c r="G620" s="118"/>
      <c r="H620" s="100"/>
      <c r="I620" s="100"/>
      <c r="J620" s="118"/>
      <c r="K620" s="118"/>
      <c r="L620" s="118"/>
      <c r="M620" s="118"/>
      <c r="N620" s="164"/>
      <c r="O620" s="161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  <c r="AI620" s="118"/>
      <c r="AJ620" s="118"/>
      <c r="AK620" s="118"/>
      <c r="AL620" s="118"/>
      <c r="AM620" s="118"/>
      <c r="AN620" s="118"/>
      <c r="AO620" s="118"/>
      <c r="AP620" s="118"/>
      <c r="AQ620" s="118"/>
      <c r="AR620" s="118"/>
      <c r="AS620" s="118"/>
    </row>
    <row r="621">
      <c r="A621" s="118"/>
      <c r="B621" s="118"/>
      <c r="C621" s="118"/>
      <c r="D621" s="118"/>
      <c r="E621" s="118"/>
      <c r="F621" s="118"/>
      <c r="G621" s="118"/>
      <c r="H621" s="100"/>
      <c r="I621" s="100"/>
      <c r="J621" s="118"/>
      <c r="K621" s="118"/>
      <c r="L621" s="118"/>
      <c r="M621" s="118"/>
      <c r="N621" s="164"/>
      <c r="O621" s="161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  <c r="AI621" s="118"/>
      <c r="AJ621" s="118"/>
      <c r="AK621" s="118"/>
      <c r="AL621" s="118"/>
      <c r="AM621" s="118"/>
      <c r="AN621" s="118"/>
      <c r="AO621" s="118"/>
      <c r="AP621" s="118"/>
      <c r="AQ621" s="118"/>
      <c r="AR621" s="118"/>
      <c r="AS621" s="118"/>
    </row>
    <row r="622">
      <c r="A622" s="118"/>
      <c r="B622" s="118"/>
      <c r="C622" s="118"/>
      <c r="D622" s="118"/>
      <c r="E622" s="118"/>
      <c r="F622" s="118"/>
      <c r="G622" s="118"/>
      <c r="H622" s="100"/>
      <c r="I622" s="100"/>
      <c r="J622" s="118"/>
      <c r="K622" s="118"/>
      <c r="L622" s="118"/>
      <c r="M622" s="118"/>
      <c r="N622" s="164"/>
      <c r="O622" s="161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</row>
    <row r="623">
      <c r="A623" s="118"/>
      <c r="B623" s="118"/>
      <c r="C623" s="118"/>
      <c r="D623" s="118"/>
      <c r="E623" s="118"/>
      <c r="F623" s="118"/>
      <c r="G623" s="118"/>
      <c r="H623" s="100"/>
      <c r="I623" s="100"/>
      <c r="J623" s="118"/>
      <c r="K623" s="118"/>
      <c r="L623" s="118"/>
      <c r="M623" s="118"/>
      <c r="N623" s="164"/>
      <c r="O623" s="161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  <c r="AL623" s="118"/>
      <c r="AM623" s="118"/>
      <c r="AN623" s="118"/>
      <c r="AO623" s="118"/>
      <c r="AP623" s="118"/>
      <c r="AQ623" s="118"/>
      <c r="AR623" s="118"/>
      <c r="AS623" s="118"/>
    </row>
    <row r="624">
      <c r="A624" s="118"/>
      <c r="B624" s="118"/>
      <c r="C624" s="118"/>
      <c r="D624" s="118"/>
      <c r="E624" s="118"/>
      <c r="F624" s="118"/>
      <c r="G624" s="118"/>
      <c r="H624" s="100"/>
      <c r="I624" s="100"/>
      <c r="J624" s="118"/>
      <c r="K624" s="118"/>
      <c r="L624" s="118"/>
      <c r="M624" s="118"/>
      <c r="N624" s="164"/>
      <c r="O624" s="161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  <c r="AL624" s="118"/>
      <c r="AM624" s="118"/>
      <c r="AN624" s="118"/>
      <c r="AO624" s="118"/>
      <c r="AP624" s="118"/>
      <c r="AQ624" s="118"/>
      <c r="AR624" s="118"/>
      <c r="AS624" s="118"/>
    </row>
    <row r="625">
      <c r="A625" s="118"/>
      <c r="B625" s="118"/>
      <c r="C625" s="118"/>
      <c r="D625" s="118"/>
      <c r="E625" s="118"/>
      <c r="F625" s="118"/>
      <c r="G625" s="118"/>
      <c r="H625" s="100"/>
      <c r="I625" s="100"/>
      <c r="J625" s="118"/>
      <c r="K625" s="118"/>
      <c r="L625" s="118"/>
      <c r="M625" s="118"/>
      <c r="N625" s="164"/>
      <c r="O625" s="161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  <c r="AI625" s="118"/>
      <c r="AJ625" s="118"/>
      <c r="AK625" s="118"/>
      <c r="AL625" s="118"/>
      <c r="AM625" s="118"/>
      <c r="AN625" s="118"/>
      <c r="AO625" s="118"/>
      <c r="AP625" s="118"/>
      <c r="AQ625" s="118"/>
      <c r="AR625" s="118"/>
      <c r="AS625" s="118"/>
    </row>
    <row r="626">
      <c r="A626" s="118"/>
      <c r="B626" s="118"/>
      <c r="C626" s="118"/>
      <c r="D626" s="118"/>
      <c r="E626" s="118"/>
      <c r="F626" s="118"/>
      <c r="G626" s="118"/>
      <c r="H626" s="100"/>
      <c r="I626" s="100"/>
      <c r="J626" s="118"/>
      <c r="K626" s="118"/>
      <c r="L626" s="118"/>
      <c r="M626" s="118"/>
      <c r="N626" s="164"/>
      <c r="O626" s="161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</row>
    <row r="627">
      <c r="A627" s="118"/>
      <c r="B627" s="118"/>
      <c r="C627" s="118"/>
      <c r="D627" s="118"/>
      <c r="E627" s="118"/>
      <c r="F627" s="118"/>
      <c r="G627" s="118"/>
      <c r="H627" s="100"/>
      <c r="I627" s="100"/>
      <c r="J627" s="118"/>
      <c r="K627" s="118"/>
      <c r="L627" s="118"/>
      <c r="M627" s="118"/>
      <c r="N627" s="164"/>
      <c r="O627" s="161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  <c r="AI627" s="118"/>
      <c r="AJ627" s="118"/>
      <c r="AK627" s="118"/>
      <c r="AL627" s="118"/>
      <c r="AM627" s="118"/>
      <c r="AN627" s="118"/>
      <c r="AO627" s="118"/>
      <c r="AP627" s="118"/>
      <c r="AQ627" s="118"/>
      <c r="AR627" s="118"/>
      <c r="AS627" s="118"/>
    </row>
    <row r="628">
      <c r="A628" s="118"/>
      <c r="B628" s="118"/>
      <c r="C628" s="118"/>
      <c r="D628" s="118"/>
      <c r="E628" s="118"/>
      <c r="F628" s="118"/>
      <c r="G628" s="118"/>
      <c r="H628" s="100"/>
      <c r="I628" s="100"/>
      <c r="J628" s="118"/>
      <c r="K628" s="118"/>
      <c r="L628" s="118"/>
      <c r="M628" s="118"/>
      <c r="N628" s="164"/>
      <c r="O628" s="161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  <c r="AI628" s="118"/>
      <c r="AJ628" s="118"/>
      <c r="AK628" s="118"/>
      <c r="AL628" s="118"/>
      <c r="AM628" s="118"/>
      <c r="AN628" s="118"/>
      <c r="AO628" s="118"/>
      <c r="AP628" s="118"/>
      <c r="AQ628" s="118"/>
      <c r="AR628" s="118"/>
      <c r="AS628" s="118"/>
    </row>
    <row r="629">
      <c r="A629" s="118"/>
      <c r="B629" s="118"/>
      <c r="C629" s="118"/>
      <c r="D629" s="118"/>
      <c r="E629" s="118"/>
      <c r="F629" s="118"/>
      <c r="G629" s="118"/>
      <c r="H629" s="100"/>
      <c r="I629" s="100"/>
      <c r="J629" s="118"/>
      <c r="K629" s="118"/>
      <c r="L629" s="118"/>
      <c r="M629" s="118"/>
      <c r="N629" s="164"/>
      <c r="O629" s="161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  <c r="AI629" s="118"/>
      <c r="AJ629" s="118"/>
      <c r="AK629" s="118"/>
      <c r="AL629" s="118"/>
      <c r="AM629" s="118"/>
      <c r="AN629" s="118"/>
      <c r="AO629" s="118"/>
      <c r="AP629" s="118"/>
      <c r="AQ629" s="118"/>
      <c r="AR629" s="118"/>
      <c r="AS629" s="118"/>
    </row>
    <row r="630">
      <c r="A630" s="118"/>
      <c r="B630" s="118"/>
      <c r="C630" s="118"/>
      <c r="D630" s="118"/>
      <c r="E630" s="118"/>
      <c r="F630" s="118"/>
      <c r="G630" s="118"/>
      <c r="H630" s="100"/>
      <c r="I630" s="100"/>
      <c r="J630" s="118"/>
      <c r="K630" s="118"/>
      <c r="L630" s="118"/>
      <c r="M630" s="118"/>
      <c r="N630" s="164"/>
      <c r="O630" s="161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  <c r="AL630" s="118"/>
      <c r="AM630" s="118"/>
      <c r="AN630" s="118"/>
      <c r="AO630" s="118"/>
      <c r="AP630" s="118"/>
      <c r="AQ630" s="118"/>
      <c r="AR630" s="118"/>
      <c r="AS630" s="118"/>
    </row>
    <row r="631">
      <c r="A631" s="118"/>
      <c r="B631" s="118"/>
      <c r="C631" s="118"/>
      <c r="D631" s="118"/>
      <c r="E631" s="118"/>
      <c r="F631" s="118"/>
      <c r="G631" s="118"/>
      <c r="H631" s="100"/>
      <c r="I631" s="100"/>
      <c r="J631" s="118"/>
      <c r="K631" s="118"/>
      <c r="L631" s="118"/>
      <c r="M631" s="118"/>
      <c r="N631" s="164"/>
      <c r="O631" s="161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  <c r="AL631" s="118"/>
      <c r="AM631" s="118"/>
      <c r="AN631" s="118"/>
      <c r="AO631" s="118"/>
      <c r="AP631" s="118"/>
      <c r="AQ631" s="118"/>
      <c r="AR631" s="118"/>
      <c r="AS631" s="118"/>
    </row>
    <row r="632">
      <c r="A632" s="118"/>
      <c r="B632" s="118"/>
      <c r="C632" s="118"/>
      <c r="D632" s="118"/>
      <c r="E632" s="118"/>
      <c r="F632" s="118"/>
      <c r="G632" s="118"/>
      <c r="H632" s="100"/>
      <c r="I632" s="100"/>
      <c r="J632" s="118"/>
      <c r="K632" s="118"/>
      <c r="L632" s="118"/>
      <c r="M632" s="118"/>
      <c r="N632" s="164"/>
      <c r="O632" s="161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8"/>
      <c r="AN632" s="118"/>
      <c r="AO632" s="118"/>
      <c r="AP632" s="118"/>
      <c r="AQ632" s="118"/>
      <c r="AR632" s="118"/>
      <c r="AS632" s="118"/>
    </row>
    <row r="633">
      <c r="A633" s="118"/>
      <c r="B633" s="118"/>
      <c r="C633" s="118"/>
      <c r="D633" s="118"/>
      <c r="E633" s="118"/>
      <c r="F633" s="118"/>
      <c r="G633" s="118"/>
      <c r="H633" s="100"/>
      <c r="I633" s="100"/>
      <c r="J633" s="118"/>
      <c r="K633" s="118"/>
      <c r="L633" s="118"/>
      <c r="M633" s="118"/>
      <c r="N633" s="164"/>
      <c r="O633" s="161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  <c r="AL633" s="118"/>
      <c r="AM633" s="118"/>
      <c r="AN633" s="118"/>
      <c r="AO633" s="118"/>
      <c r="AP633" s="118"/>
      <c r="AQ633" s="118"/>
      <c r="AR633" s="118"/>
      <c r="AS633" s="118"/>
    </row>
    <row r="634">
      <c r="A634" s="118"/>
      <c r="B634" s="118"/>
      <c r="C634" s="118"/>
      <c r="D634" s="118"/>
      <c r="E634" s="118"/>
      <c r="F634" s="118"/>
      <c r="G634" s="118"/>
      <c r="H634" s="100"/>
      <c r="I634" s="100"/>
      <c r="J634" s="118"/>
      <c r="K634" s="118"/>
      <c r="L634" s="118"/>
      <c r="M634" s="118"/>
      <c r="N634" s="164"/>
      <c r="O634" s="161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  <c r="AL634" s="118"/>
      <c r="AM634" s="118"/>
      <c r="AN634" s="118"/>
      <c r="AO634" s="118"/>
      <c r="AP634" s="118"/>
      <c r="AQ634" s="118"/>
      <c r="AR634" s="118"/>
      <c r="AS634" s="118"/>
    </row>
    <row r="635">
      <c r="A635" s="118"/>
      <c r="B635" s="118"/>
      <c r="C635" s="118"/>
      <c r="D635" s="118"/>
      <c r="E635" s="118"/>
      <c r="F635" s="118"/>
      <c r="G635" s="118"/>
      <c r="H635" s="100"/>
      <c r="I635" s="100"/>
      <c r="J635" s="118"/>
      <c r="K635" s="118"/>
      <c r="L635" s="118"/>
      <c r="M635" s="118"/>
      <c r="N635" s="164"/>
      <c r="O635" s="161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  <c r="AL635" s="118"/>
      <c r="AM635" s="118"/>
      <c r="AN635" s="118"/>
      <c r="AO635" s="118"/>
      <c r="AP635" s="118"/>
      <c r="AQ635" s="118"/>
      <c r="AR635" s="118"/>
      <c r="AS635" s="118"/>
    </row>
    <row r="636">
      <c r="A636" s="118"/>
      <c r="B636" s="118"/>
      <c r="C636" s="118"/>
      <c r="D636" s="118"/>
      <c r="E636" s="118"/>
      <c r="F636" s="118"/>
      <c r="G636" s="118"/>
      <c r="H636" s="100"/>
      <c r="I636" s="100"/>
      <c r="J636" s="118"/>
      <c r="K636" s="118"/>
      <c r="L636" s="118"/>
      <c r="M636" s="118"/>
      <c r="N636" s="164"/>
      <c r="O636" s="161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  <c r="AL636" s="118"/>
      <c r="AM636" s="118"/>
      <c r="AN636" s="118"/>
      <c r="AO636" s="118"/>
      <c r="AP636" s="118"/>
      <c r="AQ636" s="118"/>
      <c r="AR636" s="118"/>
      <c r="AS636" s="118"/>
    </row>
    <row r="637">
      <c r="A637" s="118"/>
      <c r="B637" s="118"/>
      <c r="C637" s="118"/>
      <c r="D637" s="118"/>
      <c r="E637" s="118"/>
      <c r="F637" s="118"/>
      <c r="G637" s="118"/>
      <c r="H637" s="100"/>
      <c r="I637" s="100"/>
      <c r="J637" s="118"/>
      <c r="K637" s="118"/>
      <c r="L637" s="118"/>
      <c r="M637" s="118"/>
      <c r="N637" s="164"/>
      <c r="O637" s="161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  <c r="AL637" s="118"/>
      <c r="AM637" s="118"/>
      <c r="AN637" s="118"/>
      <c r="AO637" s="118"/>
      <c r="AP637" s="118"/>
      <c r="AQ637" s="118"/>
      <c r="AR637" s="118"/>
      <c r="AS637" s="118"/>
    </row>
    <row r="638">
      <c r="A638" s="118"/>
      <c r="B638" s="118"/>
      <c r="C638" s="118"/>
      <c r="D638" s="118"/>
      <c r="E638" s="118"/>
      <c r="F638" s="118"/>
      <c r="G638" s="118"/>
      <c r="H638" s="100"/>
      <c r="I638" s="100"/>
      <c r="J638" s="118"/>
      <c r="K638" s="118"/>
      <c r="L638" s="118"/>
      <c r="M638" s="118"/>
      <c r="N638" s="164"/>
      <c r="O638" s="161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  <c r="AL638" s="118"/>
      <c r="AM638" s="118"/>
      <c r="AN638" s="118"/>
      <c r="AO638" s="118"/>
      <c r="AP638" s="118"/>
      <c r="AQ638" s="118"/>
      <c r="AR638" s="118"/>
      <c r="AS638" s="118"/>
    </row>
    <row r="639">
      <c r="A639" s="118"/>
      <c r="B639" s="118"/>
      <c r="C639" s="118"/>
      <c r="D639" s="118"/>
      <c r="E639" s="118"/>
      <c r="F639" s="118"/>
      <c r="G639" s="118"/>
      <c r="H639" s="100"/>
      <c r="I639" s="100"/>
      <c r="J639" s="118"/>
      <c r="K639" s="118"/>
      <c r="L639" s="118"/>
      <c r="M639" s="118"/>
      <c r="N639" s="164"/>
      <c r="O639" s="161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  <c r="AL639" s="118"/>
      <c r="AM639" s="118"/>
      <c r="AN639" s="118"/>
      <c r="AO639" s="118"/>
      <c r="AP639" s="118"/>
      <c r="AQ639" s="118"/>
      <c r="AR639" s="118"/>
      <c r="AS639" s="118"/>
    </row>
    <row r="640">
      <c r="A640" s="118"/>
      <c r="B640" s="118"/>
      <c r="C640" s="118"/>
      <c r="D640" s="118"/>
      <c r="E640" s="118"/>
      <c r="F640" s="118"/>
      <c r="G640" s="118"/>
      <c r="H640" s="100"/>
      <c r="I640" s="100"/>
      <c r="J640" s="118"/>
      <c r="K640" s="118"/>
      <c r="L640" s="118"/>
      <c r="M640" s="118"/>
      <c r="N640" s="164"/>
      <c r="O640" s="161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</row>
    <row r="641">
      <c r="A641" s="118"/>
      <c r="B641" s="118"/>
      <c r="C641" s="118"/>
      <c r="D641" s="118"/>
      <c r="E641" s="118"/>
      <c r="F641" s="118"/>
      <c r="G641" s="118"/>
      <c r="H641" s="100"/>
      <c r="I641" s="100"/>
      <c r="J641" s="118"/>
      <c r="K641" s="118"/>
      <c r="L641" s="118"/>
      <c r="M641" s="118"/>
      <c r="N641" s="164"/>
      <c r="O641" s="161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  <c r="AL641" s="118"/>
      <c r="AM641" s="118"/>
      <c r="AN641" s="118"/>
      <c r="AO641" s="118"/>
      <c r="AP641" s="118"/>
      <c r="AQ641" s="118"/>
      <c r="AR641" s="118"/>
      <c r="AS641" s="118"/>
    </row>
    <row r="642">
      <c r="A642" s="118"/>
      <c r="B642" s="118"/>
      <c r="C642" s="118"/>
      <c r="D642" s="118"/>
      <c r="E642" s="118"/>
      <c r="F642" s="118"/>
      <c r="G642" s="118"/>
      <c r="H642" s="100"/>
      <c r="I642" s="100"/>
      <c r="J642" s="118"/>
      <c r="K642" s="118"/>
      <c r="L642" s="118"/>
      <c r="M642" s="118"/>
      <c r="N642" s="164"/>
      <c r="O642" s="161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  <c r="AL642" s="118"/>
      <c r="AM642" s="118"/>
      <c r="AN642" s="118"/>
      <c r="AO642" s="118"/>
      <c r="AP642" s="118"/>
      <c r="AQ642" s="118"/>
      <c r="AR642" s="118"/>
      <c r="AS642" s="118"/>
    </row>
    <row r="643">
      <c r="A643" s="118"/>
      <c r="B643" s="118"/>
      <c r="C643" s="118"/>
      <c r="D643" s="118"/>
      <c r="E643" s="118"/>
      <c r="F643" s="118"/>
      <c r="G643" s="118"/>
      <c r="H643" s="100"/>
      <c r="I643" s="100"/>
      <c r="J643" s="118"/>
      <c r="K643" s="118"/>
      <c r="L643" s="118"/>
      <c r="M643" s="118"/>
      <c r="N643" s="164"/>
      <c r="O643" s="161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  <c r="AL643" s="118"/>
      <c r="AM643" s="118"/>
      <c r="AN643" s="118"/>
      <c r="AO643" s="118"/>
      <c r="AP643" s="118"/>
      <c r="AQ643" s="118"/>
      <c r="AR643" s="118"/>
      <c r="AS643" s="118"/>
    </row>
    <row r="644">
      <c r="A644" s="118"/>
      <c r="B644" s="118"/>
      <c r="C644" s="118"/>
      <c r="D644" s="118"/>
      <c r="E644" s="118"/>
      <c r="F644" s="118"/>
      <c r="G644" s="118"/>
      <c r="H644" s="100"/>
      <c r="I644" s="100"/>
      <c r="J644" s="118"/>
      <c r="K644" s="118"/>
      <c r="L644" s="118"/>
      <c r="M644" s="118"/>
      <c r="N644" s="164"/>
      <c r="O644" s="161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  <c r="AL644" s="118"/>
      <c r="AM644" s="118"/>
      <c r="AN644" s="118"/>
      <c r="AO644" s="118"/>
      <c r="AP644" s="118"/>
      <c r="AQ644" s="118"/>
      <c r="AR644" s="118"/>
      <c r="AS644" s="118"/>
    </row>
    <row r="645">
      <c r="A645" s="118"/>
      <c r="B645" s="118"/>
      <c r="C645" s="118"/>
      <c r="D645" s="118"/>
      <c r="E645" s="118"/>
      <c r="F645" s="118"/>
      <c r="G645" s="118"/>
      <c r="H645" s="100"/>
      <c r="I645" s="100"/>
      <c r="J645" s="118"/>
      <c r="K645" s="118"/>
      <c r="L645" s="118"/>
      <c r="M645" s="118"/>
      <c r="N645" s="164"/>
      <c r="O645" s="161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  <c r="AL645" s="118"/>
      <c r="AM645" s="118"/>
      <c r="AN645" s="118"/>
      <c r="AO645" s="118"/>
      <c r="AP645" s="118"/>
      <c r="AQ645" s="118"/>
      <c r="AR645" s="118"/>
      <c r="AS645" s="118"/>
    </row>
    <row r="646">
      <c r="A646" s="118"/>
      <c r="B646" s="118"/>
      <c r="C646" s="118"/>
      <c r="D646" s="118"/>
      <c r="E646" s="118"/>
      <c r="F646" s="118"/>
      <c r="G646" s="118"/>
      <c r="H646" s="100"/>
      <c r="I646" s="100"/>
      <c r="J646" s="118"/>
      <c r="K646" s="118"/>
      <c r="L646" s="118"/>
      <c r="M646" s="118"/>
      <c r="N646" s="164"/>
      <c r="O646" s="161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</row>
    <row r="647">
      <c r="A647" s="118"/>
      <c r="B647" s="118"/>
      <c r="C647" s="118"/>
      <c r="D647" s="118"/>
      <c r="E647" s="118"/>
      <c r="F647" s="118"/>
      <c r="G647" s="118"/>
      <c r="H647" s="100"/>
      <c r="I647" s="100"/>
      <c r="J647" s="118"/>
      <c r="K647" s="118"/>
      <c r="L647" s="118"/>
      <c r="M647" s="118"/>
      <c r="N647" s="164"/>
      <c r="O647" s="161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</row>
    <row r="648">
      <c r="A648" s="118"/>
      <c r="B648" s="118"/>
      <c r="C648" s="118"/>
      <c r="D648" s="118"/>
      <c r="E648" s="118"/>
      <c r="F648" s="118"/>
      <c r="G648" s="118"/>
      <c r="H648" s="100"/>
      <c r="I648" s="100"/>
      <c r="J648" s="118"/>
      <c r="K648" s="118"/>
      <c r="L648" s="118"/>
      <c r="M648" s="118"/>
      <c r="N648" s="164"/>
      <c r="O648" s="161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</row>
    <row r="649">
      <c r="A649" s="118"/>
      <c r="B649" s="118"/>
      <c r="C649" s="118"/>
      <c r="D649" s="118"/>
      <c r="E649" s="118"/>
      <c r="F649" s="118"/>
      <c r="G649" s="118"/>
      <c r="H649" s="100"/>
      <c r="I649" s="100"/>
      <c r="J649" s="118"/>
      <c r="K649" s="118"/>
      <c r="L649" s="118"/>
      <c r="M649" s="118"/>
      <c r="N649" s="164"/>
      <c r="O649" s="161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</row>
    <row r="650">
      <c r="A650" s="118"/>
      <c r="B650" s="118"/>
      <c r="C650" s="118"/>
      <c r="D650" s="118"/>
      <c r="E650" s="118"/>
      <c r="F650" s="118"/>
      <c r="G650" s="118"/>
      <c r="H650" s="100"/>
      <c r="I650" s="100"/>
      <c r="J650" s="118"/>
      <c r="K650" s="118"/>
      <c r="L650" s="118"/>
      <c r="M650" s="118"/>
      <c r="N650" s="164"/>
      <c r="O650" s="161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  <c r="AL650" s="118"/>
      <c r="AM650" s="118"/>
      <c r="AN650" s="118"/>
      <c r="AO650" s="118"/>
      <c r="AP650" s="118"/>
      <c r="AQ650" s="118"/>
      <c r="AR650" s="118"/>
      <c r="AS650" s="118"/>
    </row>
    <row r="651">
      <c r="A651" s="118"/>
      <c r="B651" s="118"/>
      <c r="C651" s="118"/>
      <c r="D651" s="118"/>
      <c r="E651" s="118"/>
      <c r="F651" s="118"/>
      <c r="G651" s="118"/>
      <c r="H651" s="100"/>
      <c r="I651" s="100"/>
      <c r="J651" s="118"/>
      <c r="K651" s="118"/>
      <c r="L651" s="118"/>
      <c r="M651" s="118"/>
      <c r="N651" s="164"/>
      <c r="O651" s="161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  <c r="AL651" s="118"/>
      <c r="AM651" s="118"/>
      <c r="AN651" s="118"/>
      <c r="AO651" s="118"/>
      <c r="AP651" s="118"/>
      <c r="AQ651" s="118"/>
      <c r="AR651" s="118"/>
      <c r="AS651" s="118"/>
    </row>
    <row r="652">
      <c r="A652" s="118"/>
      <c r="B652" s="118"/>
      <c r="C652" s="118"/>
      <c r="D652" s="118"/>
      <c r="E652" s="118"/>
      <c r="F652" s="118"/>
      <c r="G652" s="118"/>
      <c r="H652" s="100"/>
      <c r="I652" s="100"/>
      <c r="J652" s="118"/>
      <c r="K652" s="118"/>
      <c r="L652" s="118"/>
      <c r="M652" s="118"/>
      <c r="N652" s="164"/>
      <c r="O652" s="161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  <c r="AL652" s="118"/>
      <c r="AM652" s="118"/>
      <c r="AN652" s="118"/>
      <c r="AO652" s="118"/>
      <c r="AP652" s="118"/>
      <c r="AQ652" s="118"/>
      <c r="AR652" s="118"/>
      <c r="AS652" s="118"/>
    </row>
    <row r="653">
      <c r="A653" s="118"/>
      <c r="B653" s="118"/>
      <c r="C653" s="118"/>
      <c r="D653" s="118"/>
      <c r="E653" s="118"/>
      <c r="F653" s="118"/>
      <c r="G653" s="118"/>
      <c r="H653" s="100"/>
      <c r="I653" s="100"/>
      <c r="J653" s="118"/>
      <c r="K653" s="118"/>
      <c r="L653" s="118"/>
      <c r="M653" s="118"/>
      <c r="N653" s="164"/>
      <c r="O653" s="161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  <c r="AL653" s="118"/>
      <c r="AM653" s="118"/>
      <c r="AN653" s="118"/>
      <c r="AO653" s="118"/>
      <c r="AP653" s="118"/>
      <c r="AQ653" s="118"/>
      <c r="AR653" s="118"/>
      <c r="AS653" s="118"/>
    </row>
    <row r="654">
      <c r="A654" s="118"/>
      <c r="B654" s="118"/>
      <c r="C654" s="118"/>
      <c r="D654" s="118"/>
      <c r="E654" s="118"/>
      <c r="F654" s="118"/>
      <c r="G654" s="118"/>
      <c r="H654" s="100"/>
      <c r="I654" s="100"/>
      <c r="J654" s="118"/>
      <c r="K654" s="118"/>
      <c r="L654" s="118"/>
      <c r="M654" s="118"/>
      <c r="N654" s="164"/>
      <c r="O654" s="161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  <c r="AL654" s="118"/>
      <c r="AM654" s="118"/>
      <c r="AN654" s="118"/>
      <c r="AO654" s="118"/>
      <c r="AP654" s="118"/>
      <c r="AQ654" s="118"/>
      <c r="AR654" s="118"/>
      <c r="AS654" s="118"/>
    </row>
    <row r="655">
      <c r="A655" s="118"/>
      <c r="B655" s="118"/>
      <c r="C655" s="118"/>
      <c r="D655" s="118"/>
      <c r="E655" s="118"/>
      <c r="F655" s="118"/>
      <c r="G655" s="118"/>
      <c r="H655" s="100"/>
      <c r="I655" s="100"/>
      <c r="J655" s="118"/>
      <c r="K655" s="118"/>
      <c r="L655" s="118"/>
      <c r="M655" s="118"/>
      <c r="N655" s="164"/>
      <c r="O655" s="161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  <c r="AL655" s="118"/>
      <c r="AM655" s="118"/>
      <c r="AN655" s="118"/>
      <c r="AO655" s="118"/>
      <c r="AP655" s="118"/>
      <c r="AQ655" s="118"/>
      <c r="AR655" s="118"/>
      <c r="AS655" s="118"/>
    </row>
    <row r="656">
      <c r="A656" s="118"/>
      <c r="B656" s="118"/>
      <c r="C656" s="118"/>
      <c r="D656" s="118"/>
      <c r="E656" s="118"/>
      <c r="F656" s="118"/>
      <c r="G656" s="118"/>
      <c r="H656" s="100"/>
      <c r="I656" s="100"/>
      <c r="J656" s="118"/>
      <c r="K656" s="118"/>
      <c r="L656" s="118"/>
      <c r="M656" s="118"/>
      <c r="N656" s="164"/>
      <c r="O656" s="161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  <c r="AI656" s="118"/>
      <c r="AJ656" s="118"/>
      <c r="AK656" s="118"/>
      <c r="AL656" s="118"/>
      <c r="AM656" s="118"/>
      <c r="AN656" s="118"/>
      <c r="AO656" s="118"/>
      <c r="AP656" s="118"/>
      <c r="AQ656" s="118"/>
      <c r="AR656" s="118"/>
      <c r="AS656" s="118"/>
    </row>
    <row r="657">
      <c r="A657" s="118"/>
      <c r="B657" s="118"/>
      <c r="C657" s="118"/>
      <c r="D657" s="118"/>
      <c r="E657" s="118"/>
      <c r="F657" s="118"/>
      <c r="G657" s="118"/>
      <c r="H657" s="100"/>
      <c r="I657" s="100"/>
      <c r="J657" s="118"/>
      <c r="K657" s="118"/>
      <c r="L657" s="118"/>
      <c r="M657" s="118"/>
      <c r="N657" s="164"/>
      <c r="O657" s="161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</row>
    <row r="658">
      <c r="A658" s="118"/>
      <c r="B658" s="118"/>
      <c r="C658" s="118"/>
      <c r="D658" s="118"/>
      <c r="E658" s="118"/>
      <c r="F658" s="118"/>
      <c r="G658" s="118"/>
      <c r="H658" s="100"/>
      <c r="I658" s="100"/>
      <c r="J658" s="118"/>
      <c r="K658" s="118"/>
      <c r="L658" s="118"/>
      <c r="M658" s="118"/>
      <c r="N658" s="164"/>
      <c r="O658" s="161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  <c r="AI658" s="118"/>
      <c r="AJ658" s="118"/>
      <c r="AK658" s="118"/>
      <c r="AL658" s="118"/>
      <c r="AM658" s="118"/>
      <c r="AN658" s="118"/>
      <c r="AO658" s="118"/>
      <c r="AP658" s="118"/>
      <c r="AQ658" s="118"/>
      <c r="AR658" s="118"/>
      <c r="AS658" s="118"/>
    </row>
    <row r="659">
      <c r="A659" s="118"/>
      <c r="B659" s="118"/>
      <c r="C659" s="118"/>
      <c r="D659" s="118"/>
      <c r="E659" s="118"/>
      <c r="F659" s="118"/>
      <c r="G659" s="118"/>
      <c r="H659" s="100"/>
      <c r="I659" s="100"/>
      <c r="J659" s="118"/>
      <c r="K659" s="118"/>
      <c r="L659" s="118"/>
      <c r="M659" s="118"/>
      <c r="N659" s="164"/>
      <c r="O659" s="161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  <c r="AL659" s="118"/>
      <c r="AM659" s="118"/>
      <c r="AN659" s="118"/>
      <c r="AO659" s="118"/>
      <c r="AP659" s="118"/>
      <c r="AQ659" s="118"/>
      <c r="AR659" s="118"/>
      <c r="AS659" s="118"/>
    </row>
    <row r="660">
      <c r="A660" s="118"/>
      <c r="B660" s="118"/>
      <c r="C660" s="118"/>
      <c r="D660" s="118"/>
      <c r="E660" s="118"/>
      <c r="F660" s="118"/>
      <c r="G660" s="118"/>
      <c r="H660" s="100"/>
      <c r="I660" s="100"/>
      <c r="J660" s="118"/>
      <c r="K660" s="118"/>
      <c r="L660" s="118"/>
      <c r="M660" s="118"/>
      <c r="N660" s="164"/>
      <c r="O660" s="161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  <c r="AL660" s="118"/>
      <c r="AM660" s="118"/>
      <c r="AN660" s="118"/>
      <c r="AO660" s="118"/>
      <c r="AP660" s="118"/>
      <c r="AQ660" s="118"/>
      <c r="AR660" s="118"/>
      <c r="AS660" s="118"/>
    </row>
    <row r="661">
      <c r="A661" s="118"/>
      <c r="B661" s="118"/>
      <c r="C661" s="118"/>
      <c r="D661" s="118"/>
      <c r="E661" s="118"/>
      <c r="F661" s="118"/>
      <c r="G661" s="118"/>
      <c r="H661" s="100"/>
      <c r="I661" s="100"/>
      <c r="J661" s="118"/>
      <c r="K661" s="118"/>
      <c r="L661" s="118"/>
      <c r="M661" s="118"/>
      <c r="N661" s="164"/>
      <c r="O661" s="161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  <c r="AL661" s="118"/>
      <c r="AM661" s="118"/>
      <c r="AN661" s="118"/>
      <c r="AO661" s="118"/>
      <c r="AP661" s="118"/>
      <c r="AQ661" s="118"/>
      <c r="AR661" s="118"/>
      <c r="AS661" s="118"/>
    </row>
    <row r="662">
      <c r="A662" s="118"/>
      <c r="B662" s="118"/>
      <c r="C662" s="118"/>
      <c r="D662" s="118"/>
      <c r="E662" s="118"/>
      <c r="F662" s="118"/>
      <c r="G662" s="118"/>
      <c r="H662" s="100"/>
      <c r="I662" s="100"/>
      <c r="J662" s="118"/>
      <c r="K662" s="118"/>
      <c r="L662" s="118"/>
      <c r="M662" s="118"/>
      <c r="N662" s="164"/>
      <c r="O662" s="161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  <c r="AL662" s="118"/>
      <c r="AM662" s="118"/>
      <c r="AN662" s="118"/>
      <c r="AO662" s="118"/>
      <c r="AP662" s="118"/>
      <c r="AQ662" s="118"/>
      <c r="AR662" s="118"/>
      <c r="AS662" s="118"/>
    </row>
    <row r="663">
      <c r="A663" s="118"/>
      <c r="B663" s="118"/>
      <c r="C663" s="118"/>
      <c r="D663" s="118"/>
      <c r="E663" s="118"/>
      <c r="F663" s="118"/>
      <c r="G663" s="118"/>
      <c r="H663" s="100"/>
      <c r="I663" s="100"/>
      <c r="J663" s="118"/>
      <c r="K663" s="118"/>
      <c r="L663" s="118"/>
      <c r="M663" s="118"/>
      <c r="N663" s="164"/>
      <c r="O663" s="161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  <c r="AL663" s="118"/>
      <c r="AM663" s="118"/>
      <c r="AN663" s="118"/>
      <c r="AO663" s="118"/>
      <c r="AP663" s="118"/>
      <c r="AQ663" s="118"/>
      <c r="AR663" s="118"/>
      <c r="AS663" s="118"/>
    </row>
    <row r="664">
      <c r="A664" s="118"/>
      <c r="B664" s="118"/>
      <c r="C664" s="118"/>
      <c r="D664" s="118"/>
      <c r="E664" s="118"/>
      <c r="F664" s="118"/>
      <c r="G664" s="118"/>
      <c r="H664" s="100"/>
      <c r="I664" s="100"/>
      <c r="J664" s="118"/>
      <c r="K664" s="118"/>
      <c r="L664" s="118"/>
      <c r="M664" s="118"/>
      <c r="N664" s="164"/>
      <c r="O664" s="161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  <c r="AL664" s="118"/>
      <c r="AM664" s="118"/>
      <c r="AN664" s="118"/>
      <c r="AO664" s="118"/>
      <c r="AP664" s="118"/>
      <c r="AQ664" s="118"/>
      <c r="AR664" s="118"/>
      <c r="AS664" s="118"/>
    </row>
    <row r="665">
      <c r="A665" s="118"/>
      <c r="B665" s="118"/>
      <c r="C665" s="118"/>
      <c r="D665" s="118"/>
      <c r="E665" s="118"/>
      <c r="F665" s="118"/>
      <c r="G665" s="118"/>
      <c r="H665" s="100"/>
      <c r="I665" s="100"/>
      <c r="J665" s="118"/>
      <c r="K665" s="118"/>
      <c r="L665" s="118"/>
      <c r="M665" s="118"/>
      <c r="N665" s="164"/>
      <c r="O665" s="161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  <c r="AL665" s="118"/>
      <c r="AM665" s="118"/>
      <c r="AN665" s="118"/>
      <c r="AO665" s="118"/>
      <c r="AP665" s="118"/>
      <c r="AQ665" s="118"/>
      <c r="AR665" s="118"/>
      <c r="AS665" s="118"/>
    </row>
    <row r="666">
      <c r="A666" s="118"/>
      <c r="B666" s="118"/>
      <c r="C666" s="118"/>
      <c r="D666" s="118"/>
      <c r="E666" s="118"/>
      <c r="F666" s="118"/>
      <c r="G666" s="118"/>
      <c r="H666" s="100"/>
      <c r="I666" s="100"/>
      <c r="J666" s="118"/>
      <c r="K666" s="118"/>
      <c r="L666" s="118"/>
      <c r="M666" s="118"/>
      <c r="N666" s="164"/>
      <c r="O666" s="161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  <c r="AL666" s="118"/>
      <c r="AM666" s="118"/>
      <c r="AN666" s="118"/>
      <c r="AO666" s="118"/>
      <c r="AP666" s="118"/>
      <c r="AQ666" s="118"/>
      <c r="AR666" s="118"/>
      <c r="AS666" s="118"/>
    </row>
    <row r="667">
      <c r="A667" s="118"/>
      <c r="B667" s="118"/>
      <c r="C667" s="118"/>
      <c r="D667" s="118"/>
      <c r="E667" s="118"/>
      <c r="F667" s="118"/>
      <c r="G667" s="118"/>
      <c r="H667" s="100"/>
      <c r="I667" s="100"/>
      <c r="J667" s="118"/>
      <c r="K667" s="118"/>
      <c r="L667" s="118"/>
      <c r="M667" s="118"/>
      <c r="N667" s="164"/>
      <c r="O667" s="161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  <c r="AL667" s="118"/>
      <c r="AM667" s="118"/>
      <c r="AN667" s="118"/>
      <c r="AO667" s="118"/>
      <c r="AP667" s="118"/>
      <c r="AQ667" s="118"/>
      <c r="AR667" s="118"/>
      <c r="AS667" s="118"/>
    </row>
    <row r="668">
      <c r="A668" s="118"/>
      <c r="B668" s="118"/>
      <c r="C668" s="118"/>
      <c r="D668" s="118"/>
      <c r="E668" s="118"/>
      <c r="F668" s="118"/>
      <c r="G668" s="118"/>
      <c r="H668" s="100"/>
      <c r="I668" s="100"/>
      <c r="J668" s="118"/>
      <c r="K668" s="118"/>
      <c r="L668" s="118"/>
      <c r="M668" s="118"/>
      <c r="N668" s="164"/>
      <c r="O668" s="161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  <c r="AL668" s="118"/>
      <c r="AM668" s="118"/>
      <c r="AN668" s="118"/>
      <c r="AO668" s="118"/>
      <c r="AP668" s="118"/>
      <c r="AQ668" s="118"/>
      <c r="AR668" s="118"/>
      <c r="AS668" s="118"/>
    </row>
    <row r="669">
      <c r="A669" s="118"/>
      <c r="B669" s="118"/>
      <c r="C669" s="118"/>
      <c r="D669" s="118"/>
      <c r="E669" s="118"/>
      <c r="F669" s="118"/>
      <c r="G669" s="118"/>
      <c r="H669" s="100"/>
      <c r="I669" s="100"/>
      <c r="J669" s="118"/>
      <c r="K669" s="118"/>
      <c r="L669" s="118"/>
      <c r="M669" s="118"/>
      <c r="N669" s="164"/>
      <c r="O669" s="161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  <c r="AL669" s="118"/>
      <c r="AM669" s="118"/>
      <c r="AN669" s="118"/>
      <c r="AO669" s="118"/>
      <c r="AP669" s="118"/>
      <c r="AQ669" s="118"/>
      <c r="AR669" s="118"/>
      <c r="AS669" s="118"/>
    </row>
    <row r="670">
      <c r="A670" s="118"/>
      <c r="B670" s="118"/>
      <c r="C670" s="118"/>
      <c r="D670" s="118"/>
      <c r="E670" s="118"/>
      <c r="F670" s="118"/>
      <c r="G670" s="118"/>
      <c r="H670" s="100"/>
      <c r="I670" s="100"/>
      <c r="J670" s="118"/>
      <c r="K670" s="118"/>
      <c r="L670" s="118"/>
      <c r="M670" s="118"/>
      <c r="N670" s="164"/>
      <c r="O670" s="161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8"/>
      <c r="AN670" s="118"/>
      <c r="AO670" s="118"/>
      <c r="AP670" s="118"/>
      <c r="AQ670" s="118"/>
      <c r="AR670" s="118"/>
      <c r="AS670" s="118"/>
    </row>
    <row r="671">
      <c r="A671" s="118"/>
      <c r="B671" s="118"/>
      <c r="C671" s="118"/>
      <c r="D671" s="118"/>
      <c r="E671" s="118"/>
      <c r="F671" s="118"/>
      <c r="G671" s="118"/>
      <c r="H671" s="100"/>
      <c r="I671" s="100"/>
      <c r="J671" s="118"/>
      <c r="K671" s="118"/>
      <c r="L671" s="118"/>
      <c r="M671" s="118"/>
      <c r="N671" s="164"/>
      <c r="O671" s="161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  <c r="AL671" s="118"/>
      <c r="AM671" s="118"/>
      <c r="AN671" s="118"/>
      <c r="AO671" s="118"/>
      <c r="AP671" s="118"/>
      <c r="AQ671" s="118"/>
      <c r="AR671" s="118"/>
      <c r="AS671" s="118"/>
    </row>
    <row r="672">
      <c r="A672" s="118"/>
      <c r="B672" s="118"/>
      <c r="C672" s="118"/>
      <c r="D672" s="118"/>
      <c r="E672" s="118"/>
      <c r="F672" s="118"/>
      <c r="G672" s="118"/>
      <c r="H672" s="100"/>
      <c r="I672" s="100"/>
      <c r="J672" s="118"/>
      <c r="K672" s="118"/>
      <c r="L672" s="118"/>
      <c r="M672" s="118"/>
      <c r="N672" s="164"/>
      <c r="O672" s="161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  <c r="AL672" s="118"/>
      <c r="AM672" s="118"/>
      <c r="AN672" s="118"/>
      <c r="AO672" s="118"/>
      <c r="AP672" s="118"/>
      <c r="AQ672" s="118"/>
      <c r="AR672" s="118"/>
      <c r="AS672" s="118"/>
    </row>
    <row r="673">
      <c r="A673" s="118"/>
      <c r="B673" s="118"/>
      <c r="C673" s="118"/>
      <c r="D673" s="118"/>
      <c r="E673" s="118"/>
      <c r="F673" s="118"/>
      <c r="G673" s="118"/>
      <c r="H673" s="100"/>
      <c r="I673" s="100"/>
      <c r="J673" s="118"/>
      <c r="K673" s="118"/>
      <c r="L673" s="118"/>
      <c r="M673" s="118"/>
      <c r="N673" s="164"/>
      <c r="O673" s="161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  <c r="AL673" s="118"/>
      <c r="AM673" s="118"/>
      <c r="AN673" s="118"/>
      <c r="AO673" s="118"/>
      <c r="AP673" s="118"/>
      <c r="AQ673" s="118"/>
      <c r="AR673" s="118"/>
      <c r="AS673" s="118"/>
    </row>
    <row r="674">
      <c r="A674" s="118"/>
      <c r="B674" s="118"/>
      <c r="C674" s="118"/>
      <c r="D674" s="118"/>
      <c r="E674" s="118"/>
      <c r="F674" s="118"/>
      <c r="G674" s="118"/>
      <c r="H674" s="100"/>
      <c r="I674" s="100"/>
      <c r="J674" s="118"/>
      <c r="K674" s="118"/>
      <c r="L674" s="118"/>
      <c r="M674" s="118"/>
      <c r="N674" s="164"/>
      <c r="O674" s="161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  <c r="AL674" s="118"/>
      <c r="AM674" s="118"/>
      <c r="AN674" s="118"/>
      <c r="AO674" s="118"/>
      <c r="AP674" s="118"/>
      <c r="AQ674" s="118"/>
      <c r="AR674" s="118"/>
      <c r="AS674" s="118"/>
    </row>
    <row r="675">
      <c r="A675" s="118"/>
      <c r="B675" s="118"/>
      <c r="C675" s="118"/>
      <c r="D675" s="118"/>
      <c r="E675" s="118"/>
      <c r="F675" s="118"/>
      <c r="G675" s="118"/>
      <c r="H675" s="100"/>
      <c r="I675" s="100"/>
      <c r="J675" s="118"/>
      <c r="K675" s="118"/>
      <c r="L675" s="118"/>
      <c r="M675" s="118"/>
      <c r="N675" s="164"/>
      <c r="O675" s="161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  <c r="AL675" s="118"/>
      <c r="AM675" s="118"/>
      <c r="AN675" s="118"/>
      <c r="AO675" s="118"/>
      <c r="AP675" s="118"/>
      <c r="AQ675" s="118"/>
      <c r="AR675" s="118"/>
      <c r="AS675" s="118"/>
    </row>
    <row r="676">
      <c r="A676" s="118"/>
      <c r="B676" s="118"/>
      <c r="C676" s="118"/>
      <c r="D676" s="118"/>
      <c r="E676" s="118"/>
      <c r="F676" s="118"/>
      <c r="G676" s="118"/>
      <c r="H676" s="100"/>
      <c r="I676" s="100"/>
      <c r="J676" s="118"/>
      <c r="K676" s="118"/>
      <c r="L676" s="118"/>
      <c r="M676" s="118"/>
      <c r="N676" s="164"/>
      <c r="O676" s="161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  <c r="AL676" s="118"/>
      <c r="AM676" s="118"/>
      <c r="AN676" s="118"/>
      <c r="AO676" s="118"/>
      <c r="AP676" s="118"/>
      <c r="AQ676" s="118"/>
      <c r="AR676" s="118"/>
      <c r="AS676" s="118"/>
    </row>
    <row r="677">
      <c r="A677" s="118"/>
      <c r="B677" s="118"/>
      <c r="C677" s="118"/>
      <c r="D677" s="118"/>
      <c r="E677" s="118"/>
      <c r="F677" s="118"/>
      <c r="G677" s="118"/>
      <c r="H677" s="100"/>
      <c r="I677" s="100"/>
      <c r="J677" s="118"/>
      <c r="K677" s="118"/>
      <c r="L677" s="118"/>
      <c r="M677" s="118"/>
      <c r="N677" s="164"/>
      <c r="O677" s="161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  <c r="AL677" s="118"/>
      <c r="AM677" s="118"/>
      <c r="AN677" s="118"/>
      <c r="AO677" s="118"/>
      <c r="AP677" s="118"/>
      <c r="AQ677" s="118"/>
      <c r="AR677" s="118"/>
      <c r="AS677" s="118"/>
    </row>
    <row r="678">
      <c r="A678" s="118"/>
      <c r="B678" s="118"/>
      <c r="C678" s="118"/>
      <c r="D678" s="118"/>
      <c r="E678" s="118"/>
      <c r="F678" s="118"/>
      <c r="G678" s="118"/>
      <c r="H678" s="100"/>
      <c r="I678" s="100"/>
      <c r="J678" s="118"/>
      <c r="K678" s="118"/>
      <c r="L678" s="118"/>
      <c r="M678" s="118"/>
      <c r="N678" s="164"/>
      <c r="O678" s="161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  <c r="AL678" s="118"/>
      <c r="AM678" s="118"/>
      <c r="AN678" s="118"/>
      <c r="AO678" s="118"/>
      <c r="AP678" s="118"/>
      <c r="AQ678" s="118"/>
      <c r="AR678" s="118"/>
      <c r="AS678" s="118"/>
    </row>
    <row r="679">
      <c r="A679" s="118"/>
      <c r="B679" s="118"/>
      <c r="C679" s="118"/>
      <c r="D679" s="118"/>
      <c r="E679" s="118"/>
      <c r="F679" s="118"/>
      <c r="G679" s="118"/>
      <c r="H679" s="100"/>
      <c r="I679" s="100"/>
      <c r="J679" s="118"/>
      <c r="K679" s="118"/>
      <c r="L679" s="118"/>
      <c r="M679" s="118"/>
      <c r="N679" s="164"/>
      <c r="O679" s="161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  <c r="AL679" s="118"/>
      <c r="AM679" s="118"/>
      <c r="AN679" s="118"/>
      <c r="AO679" s="118"/>
      <c r="AP679" s="118"/>
      <c r="AQ679" s="118"/>
      <c r="AR679" s="118"/>
      <c r="AS679" s="118"/>
    </row>
    <row r="680">
      <c r="A680" s="118"/>
      <c r="B680" s="118"/>
      <c r="C680" s="118"/>
      <c r="D680" s="118"/>
      <c r="E680" s="118"/>
      <c r="F680" s="118"/>
      <c r="G680" s="118"/>
      <c r="H680" s="100"/>
      <c r="I680" s="100"/>
      <c r="J680" s="118"/>
      <c r="K680" s="118"/>
      <c r="L680" s="118"/>
      <c r="M680" s="118"/>
      <c r="N680" s="164"/>
      <c r="O680" s="161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  <c r="AL680" s="118"/>
      <c r="AM680" s="118"/>
      <c r="AN680" s="118"/>
      <c r="AO680" s="118"/>
      <c r="AP680" s="118"/>
      <c r="AQ680" s="118"/>
      <c r="AR680" s="118"/>
      <c r="AS680" s="118"/>
    </row>
    <row r="681">
      <c r="A681" s="118"/>
      <c r="B681" s="118"/>
      <c r="C681" s="118"/>
      <c r="D681" s="118"/>
      <c r="E681" s="118"/>
      <c r="F681" s="118"/>
      <c r="G681" s="118"/>
      <c r="H681" s="100"/>
      <c r="I681" s="100"/>
      <c r="J681" s="118"/>
      <c r="K681" s="118"/>
      <c r="L681" s="118"/>
      <c r="M681" s="118"/>
      <c r="N681" s="164"/>
      <c r="O681" s="161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  <c r="AL681" s="118"/>
      <c r="AM681" s="118"/>
      <c r="AN681" s="118"/>
      <c r="AO681" s="118"/>
      <c r="AP681" s="118"/>
      <c r="AQ681" s="118"/>
      <c r="AR681" s="118"/>
      <c r="AS681" s="118"/>
    </row>
    <row r="682">
      <c r="A682" s="118"/>
      <c r="B682" s="118"/>
      <c r="C682" s="118"/>
      <c r="D682" s="118"/>
      <c r="E682" s="118"/>
      <c r="F682" s="118"/>
      <c r="G682" s="118"/>
      <c r="H682" s="100"/>
      <c r="I682" s="100"/>
      <c r="J682" s="118"/>
      <c r="K682" s="118"/>
      <c r="L682" s="118"/>
      <c r="M682" s="118"/>
      <c r="N682" s="164"/>
      <c r="O682" s="161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  <c r="AL682" s="118"/>
      <c r="AM682" s="118"/>
      <c r="AN682" s="118"/>
      <c r="AO682" s="118"/>
      <c r="AP682" s="118"/>
      <c r="AQ682" s="118"/>
      <c r="AR682" s="118"/>
      <c r="AS682" s="118"/>
    </row>
    <row r="683">
      <c r="A683" s="118"/>
      <c r="B683" s="118"/>
      <c r="C683" s="118"/>
      <c r="D683" s="118"/>
      <c r="E683" s="118"/>
      <c r="F683" s="118"/>
      <c r="G683" s="118"/>
      <c r="H683" s="100"/>
      <c r="I683" s="100"/>
      <c r="J683" s="118"/>
      <c r="K683" s="118"/>
      <c r="L683" s="118"/>
      <c r="M683" s="118"/>
      <c r="N683" s="164"/>
      <c r="O683" s="161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  <c r="AL683" s="118"/>
      <c r="AM683" s="118"/>
      <c r="AN683" s="118"/>
      <c r="AO683" s="118"/>
      <c r="AP683" s="118"/>
      <c r="AQ683" s="118"/>
      <c r="AR683" s="118"/>
      <c r="AS683" s="118"/>
    </row>
    <row r="684">
      <c r="A684" s="118"/>
      <c r="B684" s="118"/>
      <c r="C684" s="118"/>
      <c r="D684" s="118"/>
      <c r="E684" s="118"/>
      <c r="F684" s="118"/>
      <c r="G684" s="118"/>
      <c r="H684" s="100"/>
      <c r="I684" s="100"/>
      <c r="J684" s="118"/>
      <c r="K684" s="118"/>
      <c r="L684" s="118"/>
      <c r="M684" s="118"/>
      <c r="N684" s="164"/>
      <c r="O684" s="161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  <c r="AL684" s="118"/>
      <c r="AM684" s="118"/>
      <c r="AN684" s="118"/>
      <c r="AO684" s="118"/>
      <c r="AP684" s="118"/>
      <c r="AQ684" s="118"/>
      <c r="AR684" s="118"/>
      <c r="AS684" s="118"/>
    </row>
    <row r="685">
      <c r="A685" s="118"/>
      <c r="B685" s="118"/>
      <c r="C685" s="118"/>
      <c r="D685" s="118"/>
      <c r="E685" s="118"/>
      <c r="F685" s="118"/>
      <c r="G685" s="118"/>
      <c r="H685" s="100"/>
      <c r="I685" s="100"/>
      <c r="J685" s="118"/>
      <c r="K685" s="118"/>
      <c r="L685" s="118"/>
      <c r="M685" s="118"/>
      <c r="N685" s="164"/>
      <c r="O685" s="161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  <c r="AL685" s="118"/>
      <c r="AM685" s="118"/>
      <c r="AN685" s="118"/>
      <c r="AO685" s="118"/>
      <c r="AP685" s="118"/>
      <c r="AQ685" s="118"/>
      <c r="AR685" s="118"/>
      <c r="AS685" s="118"/>
    </row>
    <row r="686">
      <c r="A686" s="118"/>
      <c r="B686" s="118"/>
      <c r="C686" s="118"/>
      <c r="D686" s="118"/>
      <c r="E686" s="118"/>
      <c r="F686" s="118"/>
      <c r="G686" s="118"/>
      <c r="H686" s="100"/>
      <c r="I686" s="100"/>
      <c r="J686" s="118"/>
      <c r="K686" s="118"/>
      <c r="L686" s="118"/>
      <c r="M686" s="118"/>
      <c r="N686" s="164"/>
      <c r="O686" s="161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  <c r="AL686" s="118"/>
      <c r="AM686" s="118"/>
      <c r="AN686" s="118"/>
      <c r="AO686" s="118"/>
      <c r="AP686" s="118"/>
      <c r="AQ686" s="118"/>
      <c r="AR686" s="118"/>
      <c r="AS686" s="118"/>
    </row>
    <row r="687">
      <c r="A687" s="118"/>
      <c r="B687" s="118"/>
      <c r="C687" s="118"/>
      <c r="D687" s="118"/>
      <c r="E687" s="118"/>
      <c r="F687" s="118"/>
      <c r="G687" s="118"/>
      <c r="H687" s="100"/>
      <c r="I687" s="100"/>
      <c r="J687" s="118"/>
      <c r="K687" s="118"/>
      <c r="L687" s="118"/>
      <c r="M687" s="118"/>
      <c r="N687" s="164"/>
      <c r="O687" s="161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  <c r="AL687" s="118"/>
      <c r="AM687" s="118"/>
      <c r="AN687" s="118"/>
      <c r="AO687" s="118"/>
      <c r="AP687" s="118"/>
      <c r="AQ687" s="118"/>
      <c r="AR687" s="118"/>
      <c r="AS687" s="118"/>
    </row>
    <row r="688">
      <c r="A688" s="118"/>
      <c r="B688" s="118"/>
      <c r="C688" s="118"/>
      <c r="D688" s="118"/>
      <c r="E688" s="118"/>
      <c r="F688" s="118"/>
      <c r="G688" s="118"/>
      <c r="H688" s="100"/>
      <c r="I688" s="100"/>
      <c r="J688" s="118"/>
      <c r="K688" s="118"/>
      <c r="L688" s="118"/>
      <c r="M688" s="118"/>
      <c r="N688" s="164"/>
      <c r="O688" s="161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  <c r="AL688" s="118"/>
      <c r="AM688" s="118"/>
      <c r="AN688" s="118"/>
      <c r="AO688" s="118"/>
      <c r="AP688" s="118"/>
      <c r="AQ688" s="118"/>
      <c r="AR688" s="118"/>
      <c r="AS688" s="118"/>
    </row>
    <row r="689">
      <c r="A689" s="118"/>
      <c r="B689" s="118"/>
      <c r="C689" s="118"/>
      <c r="D689" s="118"/>
      <c r="E689" s="118"/>
      <c r="F689" s="118"/>
      <c r="G689" s="118"/>
      <c r="H689" s="100"/>
      <c r="I689" s="100"/>
      <c r="J689" s="118"/>
      <c r="K689" s="118"/>
      <c r="L689" s="118"/>
      <c r="M689" s="118"/>
      <c r="N689" s="164"/>
      <c r="O689" s="161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  <c r="AL689" s="118"/>
      <c r="AM689" s="118"/>
      <c r="AN689" s="118"/>
      <c r="AO689" s="118"/>
      <c r="AP689" s="118"/>
      <c r="AQ689" s="118"/>
      <c r="AR689" s="118"/>
      <c r="AS689" s="118"/>
    </row>
    <row r="690">
      <c r="A690" s="118"/>
      <c r="B690" s="118"/>
      <c r="C690" s="118"/>
      <c r="D690" s="118"/>
      <c r="E690" s="118"/>
      <c r="F690" s="118"/>
      <c r="G690" s="118"/>
      <c r="H690" s="100"/>
      <c r="I690" s="100"/>
      <c r="J690" s="118"/>
      <c r="K690" s="118"/>
      <c r="L690" s="118"/>
      <c r="M690" s="118"/>
      <c r="N690" s="164"/>
      <c r="O690" s="161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  <c r="AL690" s="118"/>
      <c r="AM690" s="118"/>
      <c r="AN690" s="118"/>
      <c r="AO690" s="118"/>
      <c r="AP690" s="118"/>
      <c r="AQ690" s="118"/>
      <c r="AR690" s="118"/>
      <c r="AS690" s="118"/>
    </row>
    <row r="691">
      <c r="A691" s="118"/>
      <c r="B691" s="118"/>
      <c r="C691" s="118"/>
      <c r="D691" s="118"/>
      <c r="E691" s="118"/>
      <c r="F691" s="118"/>
      <c r="G691" s="118"/>
      <c r="H691" s="100"/>
      <c r="I691" s="100"/>
      <c r="J691" s="118"/>
      <c r="K691" s="118"/>
      <c r="L691" s="118"/>
      <c r="M691" s="118"/>
      <c r="N691" s="164"/>
      <c r="O691" s="161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  <c r="AL691" s="118"/>
      <c r="AM691" s="118"/>
      <c r="AN691" s="118"/>
      <c r="AO691" s="118"/>
      <c r="AP691" s="118"/>
      <c r="AQ691" s="118"/>
      <c r="AR691" s="118"/>
      <c r="AS691" s="118"/>
    </row>
    <row r="692">
      <c r="A692" s="118"/>
      <c r="B692" s="118"/>
      <c r="C692" s="118"/>
      <c r="D692" s="118"/>
      <c r="E692" s="118"/>
      <c r="F692" s="118"/>
      <c r="G692" s="118"/>
      <c r="H692" s="100"/>
      <c r="I692" s="100"/>
      <c r="J692" s="118"/>
      <c r="K692" s="118"/>
      <c r="L692" s="118"/>
      <c r="M692" s="118"/>
      <c r="N692" s="164"/>
      <c r="O692" s="161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  <c r="AL692" s="118"/>
      <c r="AM692" s="118"/>
      <c r="AN692" s="118"/>
      <c r="AO692" s="118"/>
      <c r="AP692" s="118"/>
      <c r="AQ692" s="118"/>
      <c r="AR692" s="118"/>
      <c r="AS692" s="118"/>
    </row>
    <row r="693">
      <c r="A693" s="118"/>
      <c r="B693" s="118"/>
      <c r="C693" s="118"/>
      <c r="D693" s="118"/>
      <c r="E693" s="118"/>
      <c r="F693" s="118"/>
      <c r="G693" s="118"/>
      <c r="H693" s="100"/>
      <c r="I693" s="100"/>
      <c r="J693" s="118"/>
      <c r="K693" s="118"/>
      <c r="L693" s="118"/>
      <c r="M693" s="118"/>
      <c r="N693" s="164"/>
      <c r="O693" s="161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  <c r="AL693" s="118"/>
      <c r="AM693" s="118"/>
      <c r="AN693" s="118"/>
      <c r="AO693" s="118"/>
      <c r="AP693" s="118"/>
      <c r="AQ693" s="118"/>
      <c r="AR693" s="118"/>
      <c r="AS693" s="118"/>
    </row>
    <row r="694">
      <c r="A694" s="118"/>
      <c r="B694" s="118"/>
      <c r="C694" s="118"/>
      <c r="D694" s="118"/>
      <c r="E694" s="118"/>
      <c r="F694" s="118"/>
      <c r="G694" s="118"/>
      <c r="H694" s="100"/>
      <c r="I694" s="100"/>
      <c r="J694" s="118"/>
      <c r="K694" s="118"/>
      <c r="L694" s="118"/>
      <c r="M694" s="118"/>
      <c r="N694" s="164"/>
      <c r="O694" s="161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  <c r="AL694" s="118"/>
      <c r="AM694" s="118"/>
      <c r="AN694" s="118"/>
      <c r="AO694" s="118"/>
      <c r="AP694" s="118"/>
      <c r="AQ694" s="118"/>
      <c r="AR694" s="118"/>
      <c r="AS694" s="118"/>
    </row>
    <row r="695">
      <c r="A695" s="118"/>
      <c r="B695" s="118"/>
      <c r="C695" s="118"/>
      <c r="D695" s="118"/>
      <c r="E695" s="118"/>
      <c r="F695" s="118"/>
      <c r="G695" s="118"/>
      <c r="H695" s="100"/>
      <c r="I695" s="100"/>
      <c r="J695" s="118"/>
      <c r="K695" s="118"/>
      <c r="L695" s="118"/>
      <c r="M695" s="118"/>
      <c r="N695" s="164"/>
      <c r="O695" s="161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  <c r="AI695" s="118"/>
      <c r="AJ695" s="118"/>
      <c r="AK695" s="118"/>
      <c r="AL695" s="118"/>
      <c r="AM695" s="118"/>
      <c r="AN695" s="118"/>
      <c r="AO695" s="118"/>
      <c r="AP695" s="118"/>
      <c r="AQ695" s="118"/>
      <c r="AR695" s="118"/>
      <c r="AS695" s="118"/>
    </row>
    <row r="696">
      <c r="A696" s="118"/>
      <c r="B696" s="118"/>
      <c r="C696" s="118"/>
      <c r="D696" s="118"/>
      <c r="E696" s="118"/>
      <c r="F696" s="118"/>
      <c r="G696" s="118"/>
      <c r="H696" s="100"/>
      <c r="I696" s="100"/>
      <c r="J696" s="118"/>
      <c r="K696" s="118"/>
      <c r="L696" s="118"/>
      <c r="M696" s="118"/>
      <c r="N696" s="164"/>
      <c r="O696" s="161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  <c r="AI696" s="118"/>
      <c r="AJ696" s="118"/>
      <c r="AK696" s="118"/>
      <c r="AL696" s="118"/>
      <c r="AM696" s="118"/>
      <c r="AN696" s="118"/>
      <c r="AO696" s="118"/>
      <c r="AP696" s="118"/>
      <c r="AQ696" s="118"/>
      <c r="AR696" s="118"/>
      <c r="AS696" s="118"/>
    </row>
    <row r="697">
      <c r="A697" s="118"/>
      <c r="B697" s="118"/>
      <c r="C697" s="118"/>
      <c r="D697" s="118"/>
      <c r="E697" s="118"/>
      <c r="F697" s="118"/>
      <c r="G697" s="118"/>
      <c r="H697" s="100"/>
      <c r="I697" s="100"/>
      <c r="J697" s="118"/>
      <c r="K697" s="118"/>
      <c r="L697" s="118"/>
      <c r="M697" s="118"/>
      <c r="N697" s="164"/>
      <c r="O697" s="161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  <c r="AI697" s="118"/>
      <c r="AJ697" s="118"/>
      <c r="AK697" s="118"/>
      <c r="AL697" s="118"/>
      <c r="AM697" s="118"/>
      <c r="AN697" s="118"/>
      <c r="AO697" s="118"/>
      <c r="AP697" s="118"/>
      <c r="AQ697" s="118"/>
      <c r="AR697" s="118"/>
      <c r="AS697" s="118"/>
    </row>
    <row r="698">
      <c r="A698" s="118"/>
      <c r="B698" s="118"/>
      <c r="C698" s="118"/>
      <c r="D698" s="118"/>
      <c r="E698" s="118"/>
      <c r="F698" s="118"/>
      <c r="G698" s="118"/>
      <c r="H698" s="100"/>
      <c r="I698" s="100"/>
      <c r="J698" s="118"/>
      <c r="K698" s="118"/>
      <c r="L698" s="118"/>
      <c r="M698" s="118"/>
      <c r="N698" s="164"/>
      <c r="O698" s="161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  <c r="AI698" s="118"/>
      <c r="AJ698" s="118"/>
      <c r="AK698" s="118"/>
      <c r="AL698" s="118"/>
      <c r="AM698" s="118"/>
      <c r="AN698" s="118"/>
      <c r="AO698" s="118"/>
      <c r="AP698" s="118"/>
      <c r="AQ698" s="118"/>
      <c r="AR698" s="118"/>
      <c r="AS698" s="118"/>
    </row>
    <row r="699">
      <c r="A699" s="118"/>
      <c r="B699" s="118"/>
      <c r="C699" s="118"/>
      <c r="D699" s="118"/>
      <c r="E699" s="118"/>
      <c r="F699" s="118"/>
      <c r="G699" s="118"/>
      <c r="H699" s="100"/>
      <c r="I699" s="100"/>
      <c r="J699" s="118"/>
      <c r="K699" s="118"/>
      <c r="L699" s="118"/>
      <c r="M699" s="118"/>
      <c r="N699" s="164"/>
      <c r="O699" s="161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  <c r="AI699" s="118"/>
      <c r="AJ699" s="118"/>
      <c r="AK699" s="118"/>
      <c r="AL699" s="118"/>
      <c r="AM699" s="118"/>
      <c r="AN699" s="118"/>
      <c r="AO699" s="118"/>
      <c r="AP699" s="118"/>
      <c r="AQ699" s="118"/>
      <c r="AR699" s="118"/>
      <c r="AS699" s="118"/>
    </row>
    <row r="700">
      <c r="A700" s="118"/>
      <c r="B700" s="118"/>
      <c r="C700" s="118"/>
      <c r="D700" s="118"/>
      <c r="E700" s="118"/>
      <c r="F700" s="118"/>
      <c r="G700" s="118"/>
      <c r="H700" s="100"/>
      <c r="I700" s="100"/>
      <c r="J700" s="118"/>
      <c r="K700" s="118"/>
      <c r="L700" s="118"/>
      <c r="M700" s="118"/>
      <c r="N700" s="164"/>
      <c r="O700" s="161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  <c r="AI700" s="118"/>
      <c r="AJ700" s="118"/>
      <c r="AK700" s="118"/>
      <c r="AL700" s="118"/>
      <c r="AM700" s="118"/>
      <c r="AN700" s="118"/>
      <c r="AO700" s="118"/>
      <c r="AP700" s="118"/>
      <c r="AQ700" s="118"/>
      <c r="AR700" s="118"/>
      <c r="AS700" s="118"/>
    </row>
    <row r="701">
      <c r="A701" s="118"/>
      <c r="B701" s="118"/>
      <c r="C701" s="118"/>
      <c r="D701" s="118"/>
      <c r="E701" s="118"/>
      <c r="F701" s="118"/>
      <c r="G701" s="118"/>
      <c r="H701" s="100"/>
      <c r="I701" s="100"/>
      <c r="J701" s="118"/>
      <c r="K701" s="118"/>
      <c r="L701" s="118"/>
      <c r="M701" s="118"/>
      <c r="N701" s="164"/>
      <c r="O701" s="161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  <c r="AI701" s="118"/>
      <c r="AJ701" s="118"/>
      <c r="AK701" s="118"/>
      <c r="AL701" s="118"/>
      <c r="AM701" s="118"/>
      <c r="AN701" s="118"/>
      <c r="AO701" s="118"/>
      <c r="AP701" s="118"/>
      <c r="AQ701" s="118"/>
      <c r="AR701" s="118"/>
      <c r="AS701" s="118"/>
    </row>
    <row r="702">
      <c r="A702" s="118"/>
      <c r="B702" s="118"/>
      <c r="C702" s="118"/>
      <c r="D702" s="118"/>
      <c r="E702" s="118"/>
      <c r="F702" s="118"/>
      <c r="G702" s="118"/>
      <c r="H702" s="100"/>
      <c r="I702" s="100"/>
      <c r="J702" s="118"/>
      <c r="K702" s="118"/>
      <c r="L702" s="118"/>
      <c r="M702" s="118"/>
      <c r="N702" s="164"/>
      <c r="O702" s="161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  <c r="AI702" s="118"/>
      <c r="AJ702" s="118"/>
      <c r="AK702" s="118"/>
      <c r="AL702" s="118"/>
      <c r="AM702" s="118"/>
      <c r="AN702" s="118"/>
      <c r="AO702" s="118"/>
      <c r="AP702" s="118"/>
      <c r="AQ702" s="118"/>
      <c r="AR702" s="118"/>
      <c r="AS702" s="118"/>
    </row>
    <row r="703">
      <c r="A703" s="118"/>
      <c r="B703" s="118"/>
      <c r="C703" s="118"/>
      <c r="D703" s="118"/>
      <c r="E703" s="118"/>
      <c r="F703" s="118"/>
      <c r="G703" s="118"/>
      <c r="H703" s="100"/>
      <c r="I703" s="100"/>
      <c r="J703" s="118"/>
      <c r="K703" s="118"/>
      <c r="L703" s="118"/>
      <c r="M703" s="118"/>
      <c r="N703" s="164"/>
      <c r="O703" s="161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  <c r="AI703" s="118"/>
      <c r="AJ703" s="118"/>
      <c r="AK703" s="118"/>
      <c r="AL703" s="118"/>
      <c r="AM703" s="118"/>
      <c r="AN703" s="118"/>
      <c r="AO703" s="118"/>
      <c r="AP703" s="118"/>
      <c r="AQ703" s="118"/>
      <c r="AR703" s="118"/>
      <c r="AS703" s="118"/>
    </row>
    <row r="704">
      <c r="A704" s="118"/>
      <c r="B704" s="118"/>
      <c r="C704" s="118"/>
      <c r="D704" s="118"/>
      <c r="E704" s="118"/>
      <c r="F704" s="118"/>
      <c r="G704" s="118"/>
      <c r="H704" s="100"/>
      <c r="I704" s="100"/>
      <c r="J704" s="118"/>
      <c r="K704" s="118"/>
      <c r="L704" s="118"/>
      <c r="M704" s="118"/>
      <c r="N704" s="164"/>
      <c r="O704" s="161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  <c r="AI704" s="118"/>
      <c r="AJ704" s="118"/>
      <c r="AK704" s="118"/>
      <c r="AL704" s="118"/>
      <c r="AM704" s="118"/>
      <c r="AN704" s="118"/>
      <c r="AO704" s="118"/>
      <c r="AP704" s="118"/>
      <c r="AQ704" s="118"/>
      <c r="AR704" s="118"/>
      <c r="AS704" s="118"/>
    </row>
    <row r="705">
      <c r="A705" s="118"/>
      <c r="B705" s="118"/>
      <c r="C705" s="118"/>
      <c r="D705" s="118"/>
      <c r="E705" s="118"/>
      <c r="F705" s="118"/>
      <c r="G705" s="118"/>
      <c r="H705" s="100"/>
      <c r="I705" s="100"/>
      <c r="J705" s="118"/>
      <c r="K705" s="118"/>
      <c r="L705" s="118"/>
      <c r="M705" s="118"/>
      <c r="N705" s="164"/>
      <c r="O705" s="161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  <c r="AI705" s="118"/>
      <c r="AJ705" s="118"/>
      <c r="AK705" s="118"/>
      <c r="AL705" s="118"/>
      <c r="AM705" s="118"/>
      <c r="AN705" s="118"/>
      <c r="AO705" s="118"/>
      <c r="AP705" s="118"/>
      <c r="AQ705" s="118"/>
      <c r="AR705" s="118"/>
      <c r="AS705" s="118"/>
    </row>
    <row r="706">
      <c r="A706" s="118"/>
      <c r="B706" s="118"/>
      <c r="C706" s="118"/>
      <c r="D706" s="118"/>
      <c r="E706" s="118"/>
      <c r="F706" s="118"/>
      <c r="G706" s="118"/>
      <c r="H706" s="100"/>
      <c r="I706" s="100"/>
      <c r="J706" s="118"/>
      <c r="K706" s="118"/>
      <c r="L706" s="118"/>
      <c r="M706" s="118"/>
      <c r="N706" s="164"/>
      <c r="O706" s="161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  <c r="AI706" s="118"/>
      <c r="AJ706" s="118"/>
      <c r="AK706" s="118"/>
      <c r="AL706" s="118"/>
      <c r="AM706" s="118"/>
      <c r="AN706" s="118"/>
      <c r="AO706" s="118"/>
      <c r="AP706" s="118"/>
      <c r="AQ706" s="118"/>
      <c r="AR706" s="118"/>
      <c r="AS706" s="118"/>
    </row>
    <row r="707">
      <c r="A707" s="118"/>
      <c r="B707" s="118"/>
      <c r="C707" s="118"/>
      <c r="D707" s="118"/>
      <c r="E707" s="118"/>
      <c r="F707" s="118"/>
      <c r="G707" s="118"/>
      <c r="H707" s="100"/>
      <c r="I707" s="100"/>
      <c r="J707" s="118"/>
      <c r="K707" s="118"/>
      <c r="L707" s="118"/>
      <c r="M707" s="118"/>
      <c r="N707" s="164"/>
      <c r="O707" s="161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  <c r="AI707" s="118"/>
      <c r="AJ707" s="118"/>
      <c r="AK707" s="118"/>
      <c r="AL707" s="118"/>
      <c r="AM707" s="118"/>
      <c r="AN707" s="118"/>
      <c r="AO707" s="118"/>
      <c r="AP707" s="118"/>
      <c r="AQ707" s="118"/>
      <c r="AR707" s="118"/>
      <c r="AS707" s="118"/>
    </row>
    <row r="708">
      <c r="A708" s="118"/>
      <c r="B708" s="118"/>
      <c r="C708" s="118"/>
      <c r="D708" s="118"/>
      <c r="E708" s="118"/>
      <c r="F708" s="118"/>
      <c r="G708" s="118"/>
      <c r="H708" s="100"/>
      <c r="I708" s="100"/>
      <c r="J708" s="118"/>
      <c r="K708" s="118"/>
      <c r="L708" s="118"/>
      <c r="M708" s="118"/>
      <c r="N708" s="164"/>
      <c r="O708" s="161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8"/>
      <c r="AN708" s="118"/>
      <c r="AO708" s="118"/>
      <c r="AP708" s="118"/>
      <c r="AQ708" s="118"/>
      <c r="AR708" s="118"/>
      <c r="AS708" s="118"/>
    </row>
    <row r="709">
      <c r="A709" s="118"/>
      <c r="B709" s="118"/>
      <c r="C709" s="118"/>
      <c r="D709" s="118"/>
      <c r="E709" s="118"/>
      <c r="F709" s="118"/>
      <c r="G709" s="118"/>
      <c r="H709" s="100"/>
      <c r="I709" s="100"/>
      <c r="J709" s="118"/>
      <c r="K709" s="118"/>
      <c r="L709" s="118"/>
      <c r="M709" s="118"/>
      <c r="N709" s="164"/>
      <c r="O709" s="161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  <c r="AI709" s="118"/>
      <c r="AJ709" s="118"/>
      <c r="AK709" s="118"/>
      <c r="AL709" s="118"/>
      <c r="AM709" s="118"/>
      <c r="AN709" s="118"/>
      <c r="AO709" s="118"/>
      <c r="AP709" s="118"/>
      <c r="AQ709" s="118"/>
      <c r="AR709" s="118"/>
      <c r="AS709" s="118"/>
    </row>
    <row r="710">
      <c r="A710" s="118"/>
      <c r="B710" s="118"/>
      <c r="C710" s="118"/>
      <c r="D710" s="118"/>
      <c r="E710" s="118"/>
      <c r="F710" s="118"/>
      <c r="G710" s="118"/>
      <c r="H710" s="100"/>
      <c r="I710" s="100"/>
      <c r="J710" s="118"/>
      <c r="K710" s="118"/>
      <c r="L710" s="118"/>
      <c r="M710" s="118"/>
      <c r="N710" s="164"/>
      <c r="O710" s="161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</row>
    <row r="711">
      <c r="A711" s="118"/>
      <c r="B711" s="118"/>
      <c r="C711" s="118"/>
      <c r="D711" s="118"/>
      <c r="E711" s="118"/>
      <c r="F711" s="118"/>
      <c r="G711" s="118"/>
      <c r="H711" s="100"/>
      <c r="I711" s="100"/>
      <c r="J711" s="118"/>
      <c r="K711" s="118"/>
      <c r="L711" s="118"/>
      <c r="M711" s="118"/>
      <c r="N711" s="164"/>
      <c r="O711" s="161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  <c r="AI711" s="118"/>
      <c r="AJ711" s="118"/>
      <c r="AK711" s="118"/>
      <c r="AL711" s="118"/>
      <c r="AM711" s="118"/>
      <c r="AN711" s="118"/>
      <c r="AO711" s="118"/>
      <c r="AP711" s="118"/>
      <c r="AQ711" s="118"/>
      <c r="AR711" s="118"/>
      <c r="AS711" s="118"/>
    </row>
    <row r="712">
      <c r="A712" s="118"/>
      <c r="B712" s="118"/>
      <c r="C712" s="118"/>
      <c r="D712" s="118"/>
      <c r="E712" s="118"/>
      <c r="F712" s="118"/>
      <c r="G712" s="118"/>
      <c r="H712" s="100"/>
      <c r="I712" s="100"/>
      <c r="J712" s="118"/>
      <c r="K712" s="118"/>
      <c r="L712" s="118"/>
      <c r="M712" s="118"/>
      <c r="N712" s="164"/>
      <c r="O712" s="161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  <c r="AI712" s="118"/>
      <c r="AJ712" s="118"/>
      <c r="AK712" s="118"/>
      <c r="AL712" s="118"/>
      <c r="AM712" s="118"/>
      <c r="AN712" s="118"/>
      <c r="AO712" s="118"/>
      <c r="AP712" s="118"/>
      <c r="AQ712" s="118"/>
      <c r="AR712" s="118"/>
      <c r="AS712" s="118"/>
    </row>
    <row r="713">
      <c r="A713" s="118"/>
      <c r="B713" s="118"/>
      <c r="C713" s="118"/>
      <c r="D713" s="118"/>
      <c r="E713" s="118"/>
      <c r="F713" s="118"/>
      <c r="G713" s="118"/>
      <c r="H713" s="100"/>
      <c r="I713" s="100"/>
      <c r="J713" s="118"/>
      <c r="K713" s="118"/>
      <c r="L713" s="118"/>
      <c r="M713" s="118"/>
      <c r="N713" s="164"/>
      <c r="O713" s="161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  <c r="AI713" s="118"/>
      <c r="AJ713" s="118"/>
      <c r="AK713" s="118"/>
      <c r="AL713" s="118"/>
      <c r="AM713" s="118"/>
      <c r="AN713" s="118"/>
      <c r="AO713" s="118"/>
      <c r="AP713" s="118"/>
      <c r="AQ713" s="118"/>
      <c r="AR713" s="118"/>
      <c r="AS713" s="118"/>
    </row>
    <row r="714">
      <c r="A714" s="118"/>
      <c r="B714" s="118"/>
      <c r="C714" s="118"/>
      <c r="D714" s="118"/>
      <c r="E714" s="118"/>
      <c r="F714" s="118"/>
      <c r="G714" s="118"/>
      <c r="H714" s="100"/>
      <c r="I714" s="100"/>
      <c r="J714" s="118"/>
      <c r="K714" s="118"/>
      <c r="L714" s="118"/>
      <c r="M714" s="118"/>
      <c r="N714" s="164"/>
      <c r="O714" s="161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  <c r="AI714" s="118"/>
      <c r="AJ714" s="118"/>
      <c r="AK714" s="118"/>
      <c r="AL714" s="118"/>
      <c r="AM714" s="118"/>
      <c r="AN714" s="118"/>
      <c r="AO714" s="118"/>
      <c r="AP714" s="118"/>
      <c r="AQ714" s="118"/>
      <c r="AR714" s="118"/>
      <c r="AS714" s="118"/>
    </row>
    <row r="715">
      <c r="A715" s="118"/>
      <c r="B715" s="118"/>
      <c r="C715" s="118"/>
      <c r="D715" s="118"/>
      <c r="E715" s="118"/>
      <c r="F715" s="118"/>
      <c r="G715" s="118"/>
      <c r="H715" s="100"/>
      <c r="I715" s="100"/>
      <c r="J715" s="118"/>
      <c r="K715" s="118"/>
      <c r="L715" s="118"/>
      <c r="M715" s="118"/>
      <c r="N715" s="164"/>
      <c r="O715" s="161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  <c r="AI715" s="118"/>
      <c r="AJ715" s="118"/>
      <c r="AK715" s="118"/>
      <c r="AL715" s="118"/>
      <c r="AM715" s="118"/>
      <c r="AN715" s="118"/>
      <c r="AO715" s="118"/>
      <c r="AP715" s="118"/>
      <c r="AQ715" s="118"/>
      <c r="AR715" s="118"/>
      <c r="AS715" s="118"/>
    </row>
    <row r="716">
      <c r="A716" s="118"/>
      <c r="B716" s="118"/>
      <c r="C716" s="118"/>
      <c r="D716" s="118"/>
      <c r="E716" s="118"/>
      <c r="F716" s="118"/>
      <c r="G716" s="118"/>
      <c r="H716" s="100"/>
      <c r="I716" s="100"/>
      <c r="J716" s="118"/>
      <c r="K716" s="118"/>
      <c r="L716" s="118"/>
      <c r="M716" s="118"/>
      <c r="N716" s="164"/>
      <c r="O716" s="161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  <c r="AI716" s="118"/>
      <c r="AJ716" s="118"/>
      <c r="AK716" s="118"/>
      <c r="AL716" s="118"/>
      <c r="AM716" s="118"/>
      <c r="AN716" s="118"/>
      <c r="AO716" s="118"/>
      <c r="AP716" s="118"/>
      <c r="AQ716" s="118"/>
      <c r="AR716" s="118"/>
      <c r="AS716" s="118"/>
    </row>
    <row r="717">
      <c r="A717" s="118"/>
      <c r="B717" s="118"/>
      <c r="C717" s="118"/>
      <c r="D717" s="118"/>
      <c r="E717" s="118"/>
      <c r="F717" s="118"/>
      <c r="G717" s="118"/>
      <c r="H717" s="100"/>
      <c r="I717" s="100"/>
      <c r="J717" s="118"/>
      <c r="K717" s="118"/>
      <c r="L717" s="118"/>
      <c r="M717" s="118"/>
      <c r="N717" s="164"/>
      <c r="O717" s="161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  <c r="AI717" s="118"/>
      <c r="AJ717" s="118"/>
      <c r="AK717" s="118"/>
      <c r="AL717" s="118"/>
      <c r="AM717" s="118"/>
      <c r="AN717" s="118"/>
      <c r="AO717" s="118"/>
      <c r="AP717" s="118"/>
      <c r="AQ717" s="118"/>
      <c r="AR717" s="118"/>
      <c r="AS717" s="118"/>
    </row>
    <row r="718">
      <c r="A718" s="118"/>
      <c r="B718" s="118"/>
      <c r="C718" s="118"/>
      <c r="D718" s="118"/>
      <c r="E718" s="118"/>
      <c r="F718" s="118"/>
      <c r="G718" s="118"/>
      <c r="H718" s="100"/>
      <c r="I718" s="100"/>
      <c r="J718" s="118"/>
      <c r="K718" s="118"/>
      <c r="L718" s="118"/>
      <c r="M718" s="118"/>
      <c r="N718" s="164"/>
      <c r="O718" s="161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  <c r="AI718" s="118"/>
      <c r="AJ718" s="118"/>
      <c r="AK718" s="118"/>
      <c r="AL718" s="118"/>
      <c r="AM718" s="118"/>
      <c r="AN718" s="118"/>
      <c r="AO718" s="118"/>
      <c r="AP718" s="118"/>
      <c r="AQ718" s="118"/>
      <c r="AR718" s="118"/>
      <c r="AS718" s="118"/>
    </row>
    <row r="719">
      <c r="A719" s="118"/>
      <c r="B719" s="118"/>
      <c r="C719" s="118"/>
      <c r="D719" s="118"/>
      <c r="E719" s="118"/>
      <c r="F719" s="118"/>
      <c r="G719" s="118"/>
      <c r="H719" s="100"/>
      <c r="I719" s="100"/>
      <c r="J719" s="118"/>
      <c r="K719" s="118"/>
      <c r="L719" s="118"/>
      <c r="M719" s="118"/>
      <c r="N719" s="164"/>
      <c r="O719" s="161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  <c r="AI719" s="118"/>
      <c r="AJ719" s="118"/>
      <c r="AK719" s="118"/>
      <c r="AL719" s="118"/>
      <c r="AM719" s="118"/>
      <c r="AN719" s="118"/>
      <c r="AO719" s="118"/>
      <c r="AP719" s="118"/>
      <c r="AQ719" s="118"/>
      <c r="AR719" s="118"/>
      <c r="AS719" s="118"/>
    </row>
    <row r="720">
      <c r="A720" s="118"/>
      <c r="B720" s="118"/>
      <c r="C720" s="118"/>
      <c r="D720" s="118"/>
      <c r="E720" s="118"/>
      <c r="F720" s="118"/>
      <c r="G720" s="118"/>
      <c r="H720" s="100"/>
      <c r="I720" s="100"/>
      <c r="J720" s="118"/>
      <c r="K720" s="118"/>
      <c r="L720" s="118"/>
      <c r="M720" s="118"/>
      <c r="N720" s="164"/>
      <c r="O720" s="161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  <c r="AI720" s="118"/>
      <c r="AJ720" s="118"/>
      <c r="AK720" s="118"/>
      <c r="AL720" s="118"/>
      <c r="AM720" s="118"/>
      <c r="AN720" s="118"/>
      <c r="AO720" s="118"/>
      <c r="AP720" s="118"/>
      <c r="AQ720" s="118"/>
      <c r="AR720" s="118"/>
      <c r="AS720" s="118"/>
    </row>
    <row r="721">
      <c r="A721" s="118"/>
      <c r="B721" s="118"/>
      <c r="C721" s="118"/>
      <c r="D721" s="118"/>
      <c r="E721" s="118"/>
      <c r="F721" s="118"/>
      <c r="G721" s="118"/>
      <c r="H721" s="100"/>
      <c r="I721" s="100"/>
      <c r="J721" s="118"/>
      <c r="K721" s="118"/>
      <c r="L721" s="118"/>
      <c r="M721" s="118"/>
      <c r="N721" s="164"/>
      <c r="O721" s="161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  <c r="AI721" s="118"/>
      <c r="AJ721" s="118"/>
      <c r="AK721" s="118"/>
      <c r="AL721" s="118"/>
      <c r="AM721" s="118"/>
      <c r="AN721" s="118"/>
      <c r="AO721" s="118"/>
      <c r="AP721" s="118"/>
      <c r="AQ721" s="118"/>
      <c r="AR721" s="118"/>
      <c r="AS721" s="118"/>
    </row>
    <row r="722">
      <c r="A722" s="118"/>
      <c r="B722" s="118"/>
      <c r="C722" s="118"/>
      <c r="D722" s="118"/>
      <c r="E722" s="118"/>
      <c r="F722" s="118"/>
      <c r="G722" s="118"/>
      <c r="H722" s="100"/>
      <c r="I722" s="100"/>
      <c r="J722" s="118"/>
      <c r="K722" s="118"/>
      <c r="L722" s="118"/>
      <c r="M722" s="118"/>
      <c r="N722" s="164"/>
      <c r="O722" s="161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  <c r="AI722" s="118"/>
      <c r="AJ722" s="118"/>
      <c r="AK722" s="118"/>
      <c r="AL722" s="118"/>
      <c r="AM722" s="118"/>
      <c r="AN722" s="118"/>
      <c r="AO722" s="118"/>
      <c r="AP722" s="118"/>
      <c r="AQ722" s="118"/>
      <c r="AR722" s="118"/>
      <c r="AS722" s="118"/>
    </row>
    <row r="723">
      <c r="A723" s="118"/>
      <c r="B723" s="118"/>
      <c r="C723" s="118"/>
      <c r="D723" s="118"/>
      <c r="E723" s="118"/>
      <c r="F723" s="118"/>
      <c r="G723" s="118"/>
      <c r="H723" s="100"/>
      <c r="I723" s="100"/>
      <c r="J723" s="118"/>
      <c r="K723" s="118"/>
      <c r="L723" s="118"/>
      <c r="M723" s="118"/>
      <c r="N723" s="164"/>
      <c r="O723" s="161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  <c r="AI723" s="118"/>
      <c r="AJ723" s="118"/>
      <c r="AK723" s="118"/>
      <c r="AL723" s="118"/>
      <c r="AM723" s="118"/>
      <c r="AN723" s="118"/>
      <c r="AO723" s="118"/>
      <c r="AP723" s="118"/>
      <c r="AQ723" s="118"/>
      <c r="AR723" s="118"/>
      <c r="AS723" s="118"/>
    </row>
    <row r="724">
      <c r="A724" s="118"/>
      <c r="B724" s="118"/>
      <c r="C724" s="118"/>
      <c r="D724" s="118"/>
      <c r="E724" s="118"/>
      <c r="F724" s="118"/>
      <c r="G724" s="118"/>
      <c r="H724" s="100"/>
      <c r="I724" s="100"/>
      <c r="J724" s="118"/>
      <c r="K724" s="118"/>
      <c r="L724" s="118"/>
      <c r="M724" s="118"/>
      <c r="N724" s="164"/>
      <c r="O724" s="161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  <c r="AI724" s="118"/>
      <c r="AJ724" s="118"/>
      <c r="AK724" s="118"/>
      <c r="AL724" s="118"/>
      <c r="AM724" s="118"/>
      <c r="AN724" s="118"/>
      <c r="AO724" s="118"/>
      <c r="AP724" s="118"/>
      <c r="AQ724" s="118"/>
      <c r="AR724" s="118"/>
      <c r="AS724" s="118"/>
    </row>
    <row r="725">
      <c r="A725" s="118"/>
      <c r="B725" s="118"/>
      <c r="C725" s="118"/>
      <c r="D725" s="118"/>
      <c r="E725" s="118"/>
      <c r="F725" s="118"/>
      <c r="G725" s="118"/>
      <c r="H725" s="100"/>
      <c r="I725" s="100"/>
      <c r="J725" s="118"/>
      <c r="K725" s="118"/>
      <c r="L725" s="118"/>
      <c r="M725" s="118"/>
      <c r="N725" s="164"/>
      <c r="O725" s="161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  <c r="AI725" s="118"/>
      <c r="AJ725" s="118"/>
      <c r="AK725" s="118"/>
      <c r="AL725" s="118"/>
      <c r="AM725" s="118"/>
      <c r="AN725" s="118"/>
      <c r="AO725" s="118"/>
      <c r="AP725" s="118"/>
      <c r="AQ725" s="118"/>
      <c r="AR725" s="118"/>
      <c r="AS725" s="118"/>
    </row>
    <row r="726">
      <c r="A726" s="118"/>
      <c r="B726" s="118"/>
      <c r="C726" s="118"/>
      <c r="D726" s="118"/>
      <c r="E726" s="118"/>
      <c r="F726" s="118"/>
      <c r="G726" s="118"/>
      <c r="H726" s="100"/>
      <c r="I726" s="100"/>
      <c r="J726" s="118"/>
      <c r="K726" s="118"/>
      <c r="L726" s="118"/>
      <c r="M726" s="118"/>
      <c r="N726" s="164"/>
      <c r="O726" s="161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  <c r="AI726" s="118"/>
      <c r="AJ726" s="118"/>
      <c r="AK726" s="118"/>
      <c r="AL726" s="118"/>
      <c r="AM726" s="118"/>
      <c r="AN726" s="118"/>
      <c r="AO726" s="118"/>
      <c r="AP726" s="118"/>
      <c r="AQ726" s="118"/>
      <c r="AR726" s="118"/>
      <c r="AS726" s="118"/>
    </row>
    <row r="727">
      <c r="A727" s="118"/>
      <c r="B727" s="118"/>
      <c r="C727" s="118"/>
      <c r="D727" s="118"/>
      <c r="E727" s="118"/>
      <c r="F727" s="118"/>
      <c r="G727" s="118"/>
      <c r="H727" s="100"/>
      <c r="I727" s="100"/>
      <c r="J727" s="118"/>
      <c r="K727" s="118"/>
      <c r="L727" s="118"/>
      <c r="M727" s="118"/>
      <c r="N727" s="164"/>
      <c r="O727" s="161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  <c r="AI727" s="118"/>
      <c r="AJ727" s="118"/>
      <c r="AK727" s="118"/>
      <c r="AL727" s="118"/>
      <c r="AM727" s="118"/>
      <c r="AN727" s="118"/>
      <c r="AO727" s="118"/>
      <c r="AP727" s="118"/>
      <c r="AQ727" s="118"/>
      <c r="AR727" s="118"/>
      <c r="AS727" s="118"/>
    </row>
    <row r="728">
      <c r="A728" s="118"/>
      <c r="B728" s="118"/>
      <c r="C728" s="118"/>
      <c r="D728" s="118"/>
      <c r="E728" s="118"/>
      <c r="F728" s="118"/>
      <c r="G728" s="118"/>
      <c r="H728" s="100"/>
      <c r="I728" s="100"/>
      <c r="J728" s="118"/>
      <c r="K728" s="118"/>
      <c r="L728" s="118"/>
      <c r="M728" s="118"/>
      <c r="N728" s="164"/>
      <c r="O728" s="161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  <c r="AI728" s="118"/>
      <c r="AJ728" s="118"/>
      <c r="AK728" s="118"/>
      <c r="AL728" s="118"/>
      <c r="AM728" s="118"/>
      <c r="AN728" s="118"/>
      <c r="AO728" s="118"/>
      <c r="AP728" s="118"/>
      <c r="AQ728" s="118"/>
      <c r="AR728" s="118"/>
      <c r="AS728" s="118"/>
    </row>
    <row r="729">
      <c r="A729" s="118"/>
      <c r="B729" s="118"/>
      <c r="C729" s="118"/>
      <c r="D729" s="118"/>
      <c r="E729" s="118"/>
      <c r="F729" s="118"/>
      <c r="G729" s="118"/>
      <c r="H729" s="100"/>
      <c r="I729" s="100"/>
      <c r="J729" s="118"/>
      <c r="K729" s="118"/>
      <c r="L729" s="118"/>
      <c r="M729" s="118"/>
      <c r="N729" s="164"/>
      <c r="O729" s="161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  <c r="AI729" s="118"/>
      <c r="AJ729" s="118"/>
      <c r="AK729" s="118"/>
      <c r="AL729" s="118"/>
      <c r="AM729" s="118"/>
      <c r="AN729" s="118"/>
      <c r="AO729" s="118"/>
      <c r="AP729" s="118"/>
      <c r="AQ729" s="118"/>
      <c r="AR729" s="118"/>
      <c r="AS729" s="118"/>
    </row>
    <row r="730">
      <c r="A730" s="118"/>
      <c r="B730" s="118"/>
      <c r="C730" s="118"/>
      <c r="D730" s="118"/>
      <c r="E730" s="118"/>
      <c r="F730" s="118"/>
      <c r="G730" s="118"/>
      <c r="H730" s="100"/>
      <c r="I730" s="100"/>
      <c r="J730" s="118"/>
      <c r="K730" s="118"/>
      <c r="L730" s="118"/>
      <c r="M730" s="118"/>
      <c r="N730" s="164"/>
      <c r="O730" s="161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  <c r="AI730" s="118"/>
      <c r="AJ730" s="118"/>
      <c r="AK730" s="118"/>
      <c r="AL730" s="118"/>
      <c r="AM730" s="118"/>
      <c r="AN730" s="118"/>
      <c r="AO730" s="118"/>
      <c r="AP730" s="118"/>
      <c r="AQ730" s="118"/>
      <c r="AR730" s="118"/>
      <c r="AS730" s="118"/>
    </row>
    <row r="731">
      <c r="A731" s="118"/>
      <c r="B731" s="118"/>
      <c r="C731" s="118"/>
      <c r="D731" s="118"/>
      <c r="E731" s="118"/>
      <c r="F731" s="118"/>
      <c r="G731" s="118"/>
      <c r="H731" s="100"/>
      <c r="I731" s="100"/>
      <c r="J731" s="118"/>
      <c r="K731" s="118"/>
      <c r="L731" s="118"/>
      <c r="M731" s="118"/>
      <c r="N731" s="164"/>
      <c r="O731" s="161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  <c r="AI731" s="118"/>
      <c r="AJ731" s="118"/>
      <c r="AK731" s="118"/>
      <c r="AL731" s="118"/>
      <c r="AM731" s="118"/>
      <c r="AN731" s="118"/>
      <c r="AO731" s="118"/>
      <c r="AP731" s="118"/>
      <c r="AQ731" s="118"/>
      <c r="AR731" s="118"/>
      <c r="AS731" s="118"/>
    </row>
    <row r="732">
      <c r="A732" s="118"/>
      <c r="B732" s="118"/>
      <c r="C732" s="118"/>
      <c r="D732" s="118"/>
      <c r="E732" s="118"/>
      <c r="F732" s="118"/>
      <c r="G732" s="118"/>
      <c r="H732" s="100"/>
      <c r="I732" s="100"/>
      <c r="J732" s="118"/>
      <c r="K732" s="118"/>
      <c r="L732" s="118"/>
      <c r="M732" s="118"/>
      <c r="N732" s="164"/>
      <c r="O732" s="161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  <c r="AI732" s="118"/>
      <c r="AJ732" s="118"/>
      <c r="AK732" s="118"/>
      <c r="AL732" s="118"/>
      <c r="AM732" s="118"/>
      <c r="AN732" s="118"/>
      <c r="AO732" s="118"/>
      <c r="AP732" s="118"/>
      <c r="AQ732" s="118"/>
      <c r="AR732" s="118"/>
      <c r="AS732" s="118"/>
    </row>
    <row r="733">
      <c r="A733" s="118"/>
      <c r="B733" s="118"/>
      <c r="C733" s="118"/>
      <c r="D733" s="118"/>
      <c r="E733" s="118"/>
      <c r="F733" s="118"/>
      <c r="G733" s="118"/>
      <c r="H733" s="100"/>
      <c r="I733" s="100"/>
      <c r="J733" s="118"/>
      <c r="K733" s="118"/>
      <c r="L733" s="118"/>
      <c r="M733" s="118"/>
      <c r="N733" s="164"/>
      <c r="O733" s="161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  <c r="AI733" s="118"/>
      <c r="AJ733" s="118"/>
      <c r="AK733" s="118"/>
      <c r="AL733" s="118"/>
      <c r="AM733" s="118"/>
      <c r="AN733" s="118"/>
      <c r="AO733" s="118"/>
      <c r="AP733" s="118"/>
      <c r="AQ733" s="118"/>
      <c r="AR733" s="118"/>
      <c r="AS733" s="118"/>
    </row>
    <row r="734">
      <c r="A734" s="118"/>
      <c r="B734" s="118"/>
      <c r="C734" s="118"/>
      <c r="D734" s="118"/>
      <c r="E734" s="118"/>
      <c r="F734" s="118"/>
      <c r="G734" s="118"/>
      <c r="H734" s="100"/>
      <c r="I734" s="100"/>
      <c r="J734" s="118"/>
      <c r="K734" s="118"/>
      <c r="L734" s="118"/>
      <c r="M734" s="118"/>
      <c r="N734" s="164"/>
      <c r="O734" s="161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  <c r="AI734" s="118"/>
      <c r="AJ734" s="118"/>
      <c r="AK734" s="118"/>
      <c r="AL734" s="118"/>
      <c r="AM734" s="118"/>
      <c r="AN734" s="118"/>
      <c r="AO734" s="118"/>
      <c r="AP734" s="118"/>
      <c r="AQ734" s="118"/>
      <c r="AR734" s="118"/>
      <c r="AS734" s="118"/>
    </row>
    <row r="735">
      <c r="A735" s="118"/>
      <c r="B735" s="118"/>
      <c r="C735" s="118"/>
      <c r="D735" s="118"/>
      <c r="E735" s="118"/>
      <c r="F735" s="118"/>
      <c r="G735" s="118"/>
      <c r="H735" s="100"/>
      <c r="I735" s="100"/>
      <c r="J735" s="118"/>
      <c r="K735" s="118"/>
      <c r="L735" s="118"/>
      <c r="M735" s="118"/>
      <c r="N735" s="164"/>
      <c r="O735" s="161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  <c r="AI735" s="118"/>
      <c r="AJ735" s="118"/>
      <c r="AK735" s="118"/>
      <c r="AL735" s="118"/>
      <c r="AM735" s="118"/>
      <c r="AN735" s="118"/>
      <c r="AO735" s="118"/>
      <c r="AP735" s="118"/>
      <c r="AQ735" s="118"/>
      <c r="AR735" s="118"/>
      <c r="AS735" s="118"/>
    </row>
    <row r="736">
      <c r="A736" s="118"/>
      <c r="B736" s="118"/>
      <c r="C736" s="118"/>
      <c r="D736" s="118"/>
      <c r="E736" s="118"/>
      <c r="F736" s="118"/>
      <c r="G736" s="118"/>
      <c r="H736" s="100"/>
      <c r="I736" s="100"/>
      <c r="J736" s="118"/>
      <c r="K736" s="118"/>
      <c r="L736" s="118"/>
      <c r="M736" s="118"/>
      <c r="N736" s="164"/>
      <c r="O736" s="161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  <c r="AI736" s="118"/>
      <c r="AJ736" s="118"/>
      <c r="AK736" s="118"/>
      <c r="AL736" s="118"/>
      <c r="AM736" s="118"/>
      <c r="AN736" s="118"/>
      <c r="AO736" s="118"/>
      <c r="AP736" s="118"/>
      <c r="AQ736" s="118"/>
      <c r="AR736" s="118"/>
      <c r="AS736" s="118"/>
    </row>
    <row r="737">
      <c r="A737" s="118"/>
      <c r="B737" s="118"/>
      <c r="C737" s="118"/>
      <c r="D737" s="118"/>
      <c r="E737" s="118"/>
      <c r="F737" s="118"/>
      <c r="G737" s="118"/>
      <c r="H737" s="100"/>
      <c r="I737" s="100"/>
      <c r="J737" s="118"/>
      <c r="K737" s="118"/>
      <c r="L737" s="118"/>
      <c r="M737" s="118"/>
      <c r="N737" s="164"/>
      <c r="O737" s="161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  <c r="AI737" s="118"/>
      <c r="AJ737" s="118"/>
      <c r="AK737" s="118"/>
      <c r="AL737" s="118"/>
      <c r="AM737" s="118"/>
      <c r="AN737" s="118"/>
      <c r="AO737" s="118"/>
      <c r="AP737" s="118"/>
      <c r="AQ737" s="118"/>
      <c r="AR737" s="118"/>
      <c r="AS737" s="118"/>
    </row>
    <row r="738">
      <c r="A738" s="118"/>
      <c r="B738" s="118"/>
      <c r="C738" s="118"/>
      <c r="D738" s="118"/>
      <c r="E738" s="118"/>
      <c r="F738" s="118"/>
      <c r="G738" s="118"/>
      <c r="H738" s="100"/>
      <c r="I738" s="100"/>
      <c r="J738" s="118"/>
      <c r="K738" s="118"/>
      <c r="L738" s="118"/>
      <c r="M738" s="118"/>
      <c r="N738" s="164"/>
      <c r="O738" s="161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  <c r="AI738" s="118"/>
      <c r="AJ738" s="118"/>
      <c r="AK738" s="118"/>
      <c r="AL738" s="118"/>
      <c r="AM738" s="118"/>
      <c r="AN738" s="118"/>
      <c r="AO738" s="118"/>
      <c r="AP738" s="118"/>
      <c r="AQ738" s="118"/>
      <c r="AR738" s="118"/>
      <c r="AS738" s="118"/>
    </row>
    <row r="739">
      <c r="A739" s="118"/>
      <c r="B739" s="118"/>
      <c r="C739" s="118"/>
      <c r="D739" s="118"/>
      <c r="E739" s="118"/>
      <c r="F739" s="118"/>
      <c r="G739" s="118"/>
      <c r="H739" s="100"/>
      <c r="I739" s="100"/>
      <c r="J739" s="118"/>
      <c r="K739" s="118"/>
      <c r="L739" s="118"/>
      <c r="M739" s="118"/>
      <c r="N739" s="164"/>
      <c r="O739" s="161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  <c r="AI739" s="118"/>
      <c r="AJ739" s="118"/>
      <c r="AK739" s="118"/>
      <c r="AL739" s="118"/>
      <c r="AM739" s="118"/>
      <c r="AN739" s="118"/>
      <c r="AO739" s="118"/>
      <c r="AP739" s="118"/>
      <c r="AQ739" s="118"/>
      <c r="AR739" s="118"/>
      <c r="AS739" s="118"/>
    </row>
    <row r="740">
      <c r="A740" s="118"/>
      <c r="B740" s="118"/>
      <c r="C740" s="118"/>
      <c r="D740" s="118"/>
      <c r="E740" s="118"/>
      <c r="F740" s="118"/>
      <c r="G740" s="118"/>
      <c r="H740" s="100"/>
      <c r="I740" s="100"/>
      <c r="J740" s="118"/>
      <c r="K740" s="118"/>
      <c r="L740" s="118"/>
      <c r="M740" s="118"/>
      <c r="N740" s="164"/>
      <c r="O740" s="161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  <c r="AI740" s="118"/>
      <c r="AJ740" s="118"/>
      <c r="AK740" s="118"/>
      <c r="AL740" s="118"/>
      <c r="AM740" s="118"/>
      <c r="AN740" s="118"/>
      <c r="AO740" s="118"/>
      <c r="AP740" s="118"/>
      <c r="AQ740" s="118"/>
      <c r="AR740" s="118"/>
      <c r="AS740" s="118"/>
    </row>
    <row r="741">
      <c r="A741" s="118"/>
      <c r="B741" s="118"/>
      <c r="C741" s="118"/>
      <c r="D741" s="118"/>
      <c r="E741" s="118"/>
      <c r="F741" s="118"/>
      <c r="G741" s="118"/>
      <c r="H741" s="100"/>
      <c r="I741" s="100"/>
      <c r="J741" s="118"/>
      <c r="K741" s="118"/>
      <c r="L741" s="118"/>
      <c r="M741" s="118"/>
      <c r="N741" s="164"/>
      <c r="O741" s="161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  <c r="AI741" s="118"/>
      <c r="AJ741" s="118"/>
      <c r="AK741" s="118"/>
      <c r="AL741" s="118"/>
      <c r="AM741" s="118"/>
      <c r="AN741" s="118"/>
      <c r="AO741" s="118"/>
      <c r="AP741" s="118"/>
      <c r="AQ741" s="118"/>
      <c r="AR741" s="118"/>
      <c r="AS741" s="118"/>
    </row>
    <row r="742">
      <c r="A742" s="118"/>
      <c r="B742" s="118"/>
      <c r="C742" s="118"/>
      <c r="D742" s="118"/>
      <c r="E742" s="118"/>
      <c r="F742" s="118"/>
      <c r="G742" s="118"/>
      <c r="H742" s="100"/>
      <c r="I742" s="100"/>
      <c r="J742" s="118"/>
      <c r="K742" s="118"/>
      <c r="L742" s="118"/>
      <c r="M742" s="118"/>
      <c r="N742" s="164"/>
      <c r="O742" s="161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  <c r="AI742" s="118"/>
      <c r="AJ742" s="118"/>
      <c r="AK742" s="118"/>
      <c r="AL742" s="118"/>
      <c r="AM742" s="118"/>
      <c r="AN742" s="118"/>
      <c r="AO742" s="118"/>
      <c r="AP742" s="118"/>
      <c r="AQ742" s="118"/>
      <c r="AR742" s="118"/>
      <c r="AS742" s="118"/>
    </row>
    <row r="743">
      <c r="A743" s="118"/>
      <c r="B743" s="118"/>
      <c r="C743" s="118"/>
      <c r="D743" s="118"/>
      <c r="E743" s="118"/>
      <c r="F743" s="118"/>
      <c r="G743" s="118"/>
      <c r="H743" s="100"/>
      <c r="I743" s="100"/>
      <c r="J743" s="118"/>
      <c r="K743" s="118"/>
      <c r="L743" s="118"/>
      <c r="M743" s="118"/>
      <c r="N743" s="164"/>
      <c r="O743" s="161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  <c r="AI743" s="118"/>
      <c r="AJ743" s="118"/>
      <c r="AK743" s="118"/>
      <c r="AL743" s="118"/>
      <c r="AM743" s="118"/>
      <c r="AN743" s="118"/>
      <c r="AO743" s="118"/>
      <c r="AP743" s="118"/>
      <c r="AQ743" s="118"/>
      <c r="AR743" s="118"/>
      <c r="AS743" s="118"/>
    </row>
    <row r="744">
      <c r="A744" s="118"/>
      <c r="B744" s="118"/>
      <c r="C744" s="118"/>
      <c r="D744" s="118"/>
      <c r="E744" s="118"/>
      <c r="F744" s="118"/>
      <c r="G744" s="118"/>
      <c r="H744" s="100"/>
      <c r="I744" s="100"/>
      <c r="J744" s="118"/>
      <c r="K744" s="118"/>
      <c r="L744" s="118"/>
      <c r="M744" s="118"/>
      <c r="N744" s="164"/>
      <c r="O744" s="161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  <c r="AI744" s="118"/>
      <c r="AJ744" s="118"/>
      <c r="AK744" s="118"/>
      <c r="AL744" s="118"/>
      <c r="AM744" s="118"/>
      <c r="AN744" s="118"/>
      <c r="AO744" s="118"/>
      <c r="AP744" s="118"/>
      <c r="AQ744" s="118"/>
      <c r="AR744" s="118"/>
      <c r="AS744" s="118"/>
    </row>
    <row r="745">
      <c r="A745" s="118"/>
      <c r="B745" s="118"/>
      <c r="C745" s="118"/>
      <c r="D745" s="118"/>
      <c r="E745" s="118"/>
      <c r="F745" s="118"/>
      <c r="G745" s="118"/>
      <c r="H745" s="100"/>
      <c r="I745" s="100"/>
      <c r="J745" s="118"/>
      <c r="K745" s="118"/>
      <c r="L745" s="118"/>
      <c r="M745" s="118"/>
      <c r="N745" s="164"/>
      <c r="O745" s="161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  <c r="AI745" s="118"/>
      <c r="AJ745" s="118"/>
      <c r="AK745" s="118"/>
      <c r="AL745" s="118"/>
      <c r="AM745" s="118"/>
      <c r="AN745" s="118"/>
      <c r="AO745" s="118"/>
      <c r="AP745" s="118"/>
      <c r="AQ745" s="118"/>
      <c r="AR745" s="118"/>
      <c r="AS745" s="118"/>
    </row>
    <row r="746">
      <c r="A746" s="118"/>
      <c r="B746" s="118"/>
      <c r="C746" s="118"/>
      <c r="D746" s="118"/>
      <c r="E746" s="118"/>
      <c r="F746" s="118"/>
      <c r="G746" s="118"/>
      <c r="H746" s="100"/>
      <c r="I746" s="100"/>
      <c r="J746" s="118"/>
      <c r="K746" s="118"/>
      <c r="L746" s="118"/>
      <c r="M746" s="118"/>
      <c r="N746" s="164"/>
      <c r="O746" s="161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8"/>
      <c r="AN746" s="118"/>
      <c r="AO746" s="118"/>
      <c r="AP746" s="118"/>
      <c r="AQ746" s="118"/>
      <c r="AR746" s="118"/>
      <c r="AS746" s="118"/>
    </row>
    <row r="747">
      <c r="A747" s="118"/>
      <c r="B747" s="118"/>
      <c r="C747" s="118"/>
      <c r="D747" s="118"/>
      <c r="E747" s="118"/>
      <c r="F747" s="118"/>
      <c r="G747" s="118"/>
      <c r="H747" s="100"/>
      <c r="I747" s="100"/>
      <c r="J747" s="118"/>
      <c r="K747" s="118"/>
      <c r="L747" s="118"/>
      <c r="M747" s="118"/>
      <c r="N747" s="164"/>
      <c r="O747" s="161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  <c r="AI747" s="118"/>
      <c r="AJ747" s="118"/>
      <c r="AK747" s="118"/>
      <c r="AL747" s="118"/>
      <c r="AM747" s="118"/>
      <c r="AN747" s="118"/>
      <c r="AO747" s="118"/>
      <c r="AP747" s="118"/>
      <c r="AQ747" s="118"/>
      <c r="AR747" s="118"/>
      <c r="AS747" s="118"/>
    </row>
    <row r="748">
      <c r="A748" s="118"/>
      <c r="B748" s="118"/>
      <c r="C748" s="118"/>
      <c r="D748" s="118"/>
      <c r="E748" s="118"/>
      <c r="F748" s="118"/>
      <c r="G748" s="118"/>
      <c r="H748" s="100"/>
      <c r="I748" s="100"/>
      <c r="J748" s="118"/>
      <c r="K748" s="118"/>
      <c r="L748" s="118"/>
      <c r="M748" s="118"/>
      <c r="N748" s="164"/>
      <c r="O748" s="161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  <c r="AI748" s="118"/>
      <c r="AJ748" s="118"/>
      <c r="AK748" s="118"/>
      <c r="AL748" s="118"/>
      <c r="AM748" s="118"/>
      <c r="AN748" s="118"/>
      <c r="AO748" s="118"/>
      <c r="AP748" s="118"/>
      <c r="AQ748" s="118"/>
      <c r="AR748" s="118"/>
      <c r="AS748" s="118"/>
    </row>
    <row r="749">
      <c r="A749" s="118"/>
      <c r="B749" s="118"/>
      <c r="C749" s="118"/>
      <c r="D749" s="118"/>
      <c r="E749" s="118"/>
      <c r="F749" s="118"/>
      <c r="G749" s="118"/>
      <c r="H749" s="100"/>
      <c r="I749" s="100"/>
      <c r="J749" s="118"/>
      <c r="K749" s="118"/>
      <c r="L749" s="118"/>
      <c r="M749" s="118"/>
      <c r="N749" s="164"/>
      <c r="O749" s="161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  <c r="AI749" s="118"/>
      <c r="AJ749" s="118"/>
      <c r="AK749" s="118"/>
      <c r="AL749" s="118"/>
      <c r="AM749" s="118"/>
      <c r="AN749" s="118"/>
      <c r="AO749" s="118"/>
      <c r="AP749" s="118"/>
      <c r="AQ749" s="118"/>
      <c r="AR749" s="118"/>
      <c r="AS749" s="118"/>
    </row>
    <row r="750">
      <c r="A750" s="118"/>
      <c r="B750" s="118"/>
      <c r="C750" s="118"/>
      <c r="D750" s="118"/>
      <c r="E750" s="118"/>
      <c r="F750" s="118"/>
      <c r="G750" s="118"/>
      <c r="H750" s="100"/>
      <c r="I750" s="100"/>
      <c r="J750" s="118"/>
      <c r="K750" s="118"/>
      <c r="L750" s="118"/>
      <c r="M750" s="118"/>
      <c r="N750" s="164"/>
      <c r="O750" s="161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  <c r="AI750" s="118"/>
      <c r="AJ750" s="118"/>
      <c r="AK750" s="118"/>
      <c r="AL750" s="118"/>
      <c r="AM750" s="118"/>
      <c r="AN750" s="118"/>
      <c r="AO750" s="118"/>
      <c r="AP750" s="118"/>
      <c r="AQ750" s="118"/>
      <c r="AR750" s="118"/>
      <c r="AS750" s="118"/>
    </row>
    <row r="751">
      <c r="A751" s="118"/>
      <c r="B751" s="118"/>
      <c r="C751" s="118"/>
      <c r="D751" s="118"/>
      <c r="E751" s="118"/>
      <c r="F751" s="118"/>
      <c r="G751" s="118"/>
      <c r="H751" s="100"/>
      <c r="I751" s="100"/>
      <c r="J751" s="118"/>
      <c r="K751" s="118"/>
      <c r="L751" s="118"/>
      <c r="M751" s="118"/>
      <c r="N751" s="164"/>
      <c r="O751" s="161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  <c r="AI751" s="118"/>
      <c r="AJ751" s="118"/>
      <c r="AK751" s="118"/>
      <c r="AL751" s="118"/>
      <c r="AM751" s="118"/>
      <c r="AN751" s="118"/>
      <c r="AO751" s="118"/>
      <c r="AP751" s="118"/>
      <c r="AQ751" s="118"/>
      <c r="AR751" s="118"/>
      <c r="AS751" s="118"/>
    </row>
    <row r="752">
      <c r="A752" s="118"/>
      <c r="B752" s="118"/>
      <c r="C752" s="118"/>
      <c r="D752" s="118"/>
      <c r="E752" s="118"/>
      <c r="F752" s="118"/>
      <c r="G752" s="118"/>
      <c r="H752" s="100"/>
      <c r="I752" s="100"/>
      <c r="J752" s="118"/>
      <c r="K752" s="118"/>
      <c r="L752" s="118"/>
      <c r="M752" s="118"/>
      <c r="N752" s="164"/>
      <c r="O752" s="161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  <c r="AI752" s="118"/>
      <c r="AJ752" s="118"/>
      <c r="AK752" s="118"/>
      <c r="AL752" s="118"/>
      <c r="AM752" s="118"/>
      <c r="AN752" s="118"/>
      <c r="AO752" s="118"/>
      <c r="AP752" s="118"/>
      <c r="AQ752" s="118"/>
      <c r="AR752" s="118"/>
      <c r="AS752" s="118"/>
    </row>
    <row r="753">
      <c r="A753" s="118"/>
      <c r="B753" s="118"/>
      <c r="C753" s="118"/>
      <c r="D753" s="118"/>
      <c r="E753" s="118"/>
      <c r="F753" s="118"/>
      <c r="G753" s="118"/>
      <c r="H753" s="100"/>
      <c r="I753" s="100"/>
      <c r="J753" s="118"/>
      <c r="K753" s="118"/>
      <c r="L753" s="118"/>
      <c r="M753" s="118"/>
      <c r="N753" s="164"/>
      <c r="O753" s="161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  <c r="AI753" s="118"/>
      <c r="AJ753" s="118"/>
      <c r="AK753" s="118"/>
      <c r="AL753" s="118"/>
      <c r="AM753" s="118"/>
      <c r="AN753" s="118"/>
      <c r="AO753" s="118"/>
      <c r="AP753" s="118"/>
      <c r="AQ753" s="118"/>
      <c r="AR753" s="118"/>
      <c r="AS753" s="118"/>
    </row>
    <row r="754">
      <c r="A754" s="118"/>
      <c r="B754" s="118"/>
      <c r="C754" s="118"/>
      <c r="D754" s="118"/>
      <c r="E754" s="118"/>
      <c r="F754" s="118"/>
      <c r="G754" s="118"/>
      <c r="H754" s="100"/>
      <c r="I754" s="100"/>
      <c r="J754" s="118"/>
      <c r="K754" s="118"/>
      <c r="L754" s="118"/>
      <c r="M754" s="118"/>
      <c r="N754" s="164"/>
      <c r="O754" s="161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  <c r="AI754" s="118"/>
      <c r="AJ754" s="118"/>
      <c r="AK754" s="118"/>
      <c r="AL754" s="118"/>
      <c r="AM754" s="118"/>
      <c r="AN754" s="118"/>
      <c r="AO754" s="118"/>
      <c r="AP754" s="118"/>
      <c r="AQ754" s="118"/>
      <c r="AR754" s="118"/>
      <c r="AS754" s="118"/>
    </row>
    <row r="755">
      <c r="A755" s="118"/>
      <c r="B755" s="118"/>
      <c r="C755" s="118"/>
      <c r="D755" s="118"/>
      <c r="E755" s="118"/>
      <c r="F755" s="118"/>
      <c r="G755" s="118"/>
      <c r="H755" s="100"/>
      <c r="I755" s="100"/>
      <c r="J755" s="118"/>
      <c r="K755" s="118"/>
      <c r="L755" s="118"/>
      <c r="M755" s="118"/>
      <c r="N755" s="164"/>
      <c r="O755" s="161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  <c r="AI755" s="118"/>
      <c r="AJ755" s="118"/>
      <c r="AK755" s="118"/>
      <c r="AL755" s="118"/>
      <c r="AM755" s="118"/>
      <c r="AN755" s="118"/>
      <c r="AO755" s="118"/>
      <c r="AP755" s="118"/>
      <c r="AQ755" s="118"/>
      <c r="AR755" s="118"/>
      <c r="AS755" s="118"/>
    </row>
    <row r="756">
      <c r="A756" s="118"/>
      <c r="B756" s="118"/>
      <c r="C756" s="118"/>
      <c r="D756" s="118"/>
      <c r="E756" s="118"/>
      <c r="F756" s="118"/>
      <c r="G756" s="118"/>
      <c r="H756" s="100"/>
      <c r="I756" s="100"/>
      <c r="J756" s="118"/>
      <c r="K756" s="118"/>
      <c r="L756" s="118"/>
      <c r="M756" s="118"/>
      <c r="N756" s="164"/>
      <c r="O756" s="161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  <c r="AI756" s="118"/>
      <c r="AJ756" s="118"/>
      <c r="AK756" s="118"/>
      <c r="AL756" s="118"/>
      <c r="AM756" s="118"/>
      <c r="AN756" s="118"/>
      <c r="AO756" s="118"/>
      <c r="AP756" s="118"/>
      <c r="AQ756" s="118"/>
      <c r="AR756" s="118"/>
      <c r="AS756" s="118"/>
    </row>
    <row r="757">
      <c r="A757" s="118"/>
      <c r="B757" s="118"/>
      <c r="C757" s="118"/>
      <c r="D757" s="118"/>
      <c r="E757" s="118"/>
      <c r="F757" s="118"/>
      <c r="G757" s="118"/>
      <c r="H757" s="100"/>
      <c r="I757" s="100"/>
      <c r="J757" s="118"/>
      <c r="K757" s="118"/>
      <c r="L757" s="118"/>
      <c r="M757" s="118"/>
      <c r="N757" s="164"/>
      <c r="O757" s="161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  <c r="AI757" s="118"/>
      <c r="AJ757" s="118"/>
      <c r="AK757" s="118"/>
      <c r="AL757" s="118"/>
      <c r="AM757" s="118"/>
      <c r="AN757" s="118"/>
      <c r="AO757" s="118"/>
      <c r="AP757" s="118"/>
      <c r="AQ757" s="118"/>
      <c r="AR757" s="118"/>
      <c r="AS757" s="118"/>
    </row>
    <row r="758">
      <c r="A758" s="118"/>
      <c r="B758" s="118"/>
      <c r="C758" s="118"/>
      <c r="D758" s="118"/>
      <c r="E758" s="118"/>
      <c r="F758" s="118"/>
      <c r="G758" s="118"/>
      <c r="H758" s="100"/>
      <c r="I758" s="100"/>
      <c r="J758" s="118"/>
      <c r="K758" s="118"/>
      <c r="L758" s="118"/>
      <c r="M758" s="118"/>
      <c r="N758" s="164"/>
      <c r="O758" s="161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  <c r="AI758" s="118"/>
      <c r="AJ758" s="118"/>
      <c r="AK758" s="118"/>
      <c r="AL758" s="118"/>
      <c r="AM758" s="118"/>
      <c r="AN758" s="118"/>
      <c r="AO758" s="118"/>
      <c r="AP758" s="118"/>
      <c r="AQ758" s="118"/>
      <c r="AR758" s="118"/>
      <c r="AS758" s="118"/>
    </row>
    <row r="759">
      <c r="A759" s="118"/>
      <c r="B759" s="118"/>
      <c r="C759" s="118"/>
      <c r="D759" s="118"/>
      <c r="E759" s="118"/>
      <c r="F759" s="118"/>
      <c r="G759" s="118"/>
      <c r="H759" s="100"/>
      <c r="I759" s="100"/>
      <c r="J759" s="118"/>
      <c r="K759" s="118"/>
      <c r="L759" s="118"/>
      <c r="M759" s="118"/>
      <c r="N759" s="164"/>
      <c r="O759" s="161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  <c r="AI759" s="118"/>
      <c r="AJ759" s="118"/>
      <c r="AK759" s="118"/>
      <c r="AL759" s="118"/>
      <c r="AM759" s="118"/>
      <c r="AN759" s="118"/>
      <c r="AO759" s="118"/>
      <c r="AP759" s="118"/>
      <c r="AQ759" s="118"/>
      <c r="AR759" s="118"/>
      <c r="AS759" s="118"/>
    </row>
    <row r="760">
      <c r="A760" s="118"/>
      <c r="B760" s="118"/>
      <c r="C760" s="118"/>
      <c r="D760" s="118"/>
      <c r="E760" s="118"/>
      <c r="F760" s="118"/>
      <c r="G760" s="118"/>
      <c r="H760" s="100"/>
      <c r="I760" s="100"/>
      <c r="J760" s="118"/>
      <c r="K760" s="118"/>
      <c r="L760" s="118"/>
      <c r="M760" s="118"/>
      <c r="N760" s="164"/>
      <c r="O760" s="161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  <c r="AI760" s="118"/>
      <c r="AJ760" s="118"/>
      <c r="AK760" s="118"/>
      <c r="AL760" s="118"/>
      <c r="AM760" s="118"/>
      <c r="AN760" s="118"/>
      <c r="AO760" s="118"/>
      <c r="AP760" s="118"/>
      <c r="AQ760" s="118"/>
      <c r="AR760" s="118"/>
      <c r="AS760" s="118"/>
    </row>
    <row r="761">
      <c r="A761" s="118"/>
      <c r="B761" s="118"/>
      <c r="C761" s="118"/>
      <c r="D761" s="118"/>
      <c r="E761" s="118"/>
      <c r="F761" s="118"/>
      <c r="G761" s="118"/>
      <c r="H761" s="100"/>
      <c r="I761" s="100"/>
      <c r="J761" s="118"/>
      <c r="K761" s="118"/>
      <c r="L761" s="118"/>
      <c r="M761" s="118"/>
      <c r="N761" s="164"/>
      <c r="O761" s="161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  <c r="AI761" s="118"/>
      <c r="AJ761" s="118"/>
      <c r="AK761" s="118"/>
      <c r="AL761" s="118"/>
      <c r="AM761" s="118"/>
      <c r="AN761" s="118"/>
      <c r="AO761" s="118"/>
      <c r="AP761" s="118"/>
      <c r="AQ761" s="118"/>
      <c r="AR761" s="118"/>
      <c r="AS761" s="118"/>
    </row>
    <row r="762">
      <c r="A762" s="118"/>
      <c r="B762" s="118"/>
      <c r="C762" s="118"/>
      <c r="D762" s="118"/>
      <c r="E762" s="118"/>
      <c r="F762" s="118"/>
      <c r="G762" s="118"/>
      <c r="H762" s="100"/>
      <c r="I762" s="100"/>
      <c r="J762" s="118"/>
      <c r="K762" s="118"/>
      <c r="L762" s="118"/>
      <c r="M762" s="118"/>
      <c r="N762" s="164"/>
      <c r="O762" s="161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  <c r="AI762" s="118"/>
      <c r="AJ762" s="118"/>
      <c r="AK762" s="118"/>
      <c r="AL762" s="118"/>
      <c r="AM762" s="118"/>
      <c r="AN762" s="118"/>
      <c r="AO762" s="118"/>
      <c r="AP762" s="118"/>
      <c r="AQ762" s="118"/>
      <c r="AR762" s="118"/>
      <c r="AS762" s="118"/>
    </row>
    <row r="763">
      <c r="A763" s="118"/>
      <c r="B763" s="118"/>
      <c r="C763" s="118"/>
      <c r="D763" s="118"/>
      <c r="E763" s="118"/>
      <c r="F763" s="118"/>
      <c r="G763" s="118"/>
      <c r="H763" s="100"/>
      <c r="I763" s="100"/>
      <c r="J763" s="118"/>
      <c r="K763" s="118"/>
      <c r="L763" s="118"/>
      <c r="M763" s="118"/>
      <c r="N763" s="164"/>
      <c r="O763" s="161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</row>
    <row r="764">
      <c r="A764" s="118"/>
      <c r="B764" s="118"/>
      <c r="C764" s="118"/>
      <c r="D764" s="118"/>
      <c r="E764" s="118"/>
      <c r="F764" s="118"/>
      <c r="G764" s="118"/>
      <c r="H764" s="100"/>
      <c r="I764" s="100"/>
      <c r="J764" s="118"/>
      <c r="K764" s="118"/>
      <c r="L764" s="118"/>
      <c r="M764" s="118"/>
      <c r="N764" s="164"/>
      <c r="O764" s="161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  <c r="AI764" s="118"/>
      <c r="AJ764" s="118"/>
      <c r="AK764" s="118"/>
      <c r="AL764" s="118"/>
      <c r="AM764" s="118"/>
      <c r="AN764" s="118"/>
      <c r="AO764" s="118"/>
      <c r="AP764" s="118"/>
      <c r="AQ764" s="118"/>
      <c r="AR764" s="118"/>
      <c r="AS764" s="118"/>
    </row>
    <row r="765">
      <c r="A765" s="118"/>
      <c r="B765" s="118"/>
      <c r="C765" s="118"/>
      <c r="D765" s="118"/>
      <c r="E765" s="118"/>
      <c r="F765" s="118"/>
      <c r="G765" s="118"/>
      <c r="H765" s="100"/>
      <c r="I765" s="100"/>
      <c r="J765" s="118"/>
      <c r="K765" s="118"/>
      <c r="L765" s="118"/>
      <c r="M765" s="118"/>
      <c r="N765" s="164"/>
      <c r="O765" s="161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  <c r="AI765" s="118"/>
      <c r="AJ765" s="118"/>
      <c r="AK765" s="118"/>
      <c r="AL765" s="118"/>
      <c r="AM765" s="118"/>
      <c r="AN765" s="118"/>
      <c r="AO765" s="118"/>
      <c r="AP765" s="118"/>
      <c r="AQ765" s="118"/>
      <c r="AR765" s="118"/>
      <c r="AS765" s="118"/>
    </row>
    <row r="766">
      <c r="A766" s="118"/>
      <c r="B766" s="118"/>
      <c r="C766" s="118"/>
      <c r="D766" s="118"/>
      <c r="E766" s="118"/>
      <c r="F766" s="118"/>
      <c r="G766" s="118"/>
      <c r="H766" s="100"/>
      <c r="I766" s="100"/>
      <c r="J766" s="118"/>
      <c r="K766" s="118"/>
      <c r="L766" s="118"/>
      <c r="M766" s="118"/>
      <c r="N766" s="164"/>
      <c r="O766" s="161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  <c r="AI766" s="118"/>
      <c r="AJ766" s="118"/>
      <c r="AK766" s="118"/>
      <c r="AL766" s="118"/>
      <c r="AM766" s="118"/>
      <c r="AN766" s="118"/>
      <c r="AO766" s="118"/>
      <c r="AP766" s="118"/>
      <c r="AQ766" s="118"/>
      <c r="AR766" s="118"/>
      <c r="AS766" s="118"/>
    </row>
    <row r="767">
      <c r="A767" s="118"/>
      <c r="B767" s="118"/>
      <c r="C767" s="118"/>
      <c r="D767" s="118"/>
      <c r="E767" s="118"/>
      <c r="F767" s="118"/>
      <c r="G767" s="118"/>
      <c r="H767" s="100"/>
      <c r="I767" s="100"/>
      <c r="J767" s="118"/>
      <c r="K767" s="118"/>
      <c r="L767" s="118"/>
      <c r="M767" s="118"/>
      <c r="N767" s="164"/>
      <c r="O767" s="161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  <c r="AI767" s="118"/>
      <c r="AJ767" s="118"/>
      <c r="AK767" s="118"/>
      <c r="AL767" s="118"/>
      <c r="AM767" s="118"/>
      <c r="AN767" s="118"/>
      <c r="AO767" s="118"/>
      <c r="AP767" s="118"/>
      <c r="AQ767" s="118"/>
      <c r="AR767" s="118"/>
      <c r="AS767" s="118"/>
    </row>
    <row r="768">
      <c r="A768" s="118"/>
      <c r="B768" s="118"/>
      <c r="C768" s="118"/>
      <c r="D768" s="118"/>
      <c r="E768" s="118"/>
      <c r="F768" s="118"/>
      <c r="G768" s="118"/>
      <c r="H768" s="100"/>
      <c r="I768" s="100"/>
      <c r="J768" s="118"/>
      <c r="K768" s="118"/>
      <c r="L768" s="118"/>
      <c r="M768" s="118"/>
      <c r="N768" s="164"/>
      <c r="O768" s="161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  <c r="AI768" s="118"/>
      <c r="AJ768" s="118"/>
      <c r="AK768" s="118"/>
      <c r="AL768" s="118"/>
      <c r="AM768" s="118"/>
      <c r="AN768" s="118"/>
      <c r="AO768" s="118"/>
      <c r="AP768" s="118"/>
      <c r="AQ768" s="118"/>
      <c r="AR768" s="118"/>
      <c r="AS768" s="118"/>
    </row>
    <row r="769">
      <c r="A769" s="118"/>
      <c r="B769" s="118"/>
      <c r="C769" s="118"/>
      <c r="D769" s="118"/>
      <c r="E769" s="118"/>
      <c r="F769" s="118"/>
      <c r="G769" s="118"/>
      <c r="H769" s="100"/>
      <c r="I769" s="100"/>
      <c r="J769" s="118"/>
      <c r="K769" s="118"/>
      <c r="L769" s="118"/>
      <c r="M769" s="118"/>
      <c r="N769" s="164"/>
      <c r="O769" s="161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  <c r="AI769" s="118"/>
      <c r="AJ769" s="118"/>
      <c r="AK769" s="118"/>
      <c r="AL769" s="118"/>
      <c r="AM769" s="118"/>
      <c r="AN769" s="118"/>
      <c r="AO769" s="118"/>
      <c r="AP769" s="118"/>
      <c r="AQ769" s="118"/>
      <c r="AR769" s="118"/>
      <c r="AS769" s="118"/>
    </row>
    <row r="770">
      <c r="A770" s="118"/>
      <c r="B770" s="118"/>
      <c r="C770" s="118"/>
      <c r="D770" s="118"/>
      <c r="E770" s="118"/>
      <c r="F770" s="118"/>
      <c r="G770" s="118"/>
      <c r="H770" s="100"/>
      <c r="I770" s="100"/>
      <c r="J770" s="118"/>
      <c r="K770" s="118"/>
      <c r="L770" s="118"/>
      <c r="M770" s="118"/>
      <c r="N770" s="164"/>
      <c r="O770" s="161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  <c r="AI770" s="118"/>
      <c r="AJ770" s="118"/>
      <c r="AK770" s="118"/>
      <c r="AL770" s="118"/>
      <c r="AM770" s="118"/>
      <c r="AN770" s="118"/>
      <c r="AO770" s="118"/>
      <c r="AP770" s="118"/>
      <c r="AQ770" s="118"/>
      <c r="AR770" s="118"/>
      <c r="AS770" s="118"/>
    </row>
    <row r="771">
      <c r="A771" s="118"/>
      <c r="B771" s="118"/>
      <c r="C771" s="118"/>
      <c r="D771" s="118"/>
      <c r="E771" s="118"/>
      <c r="F771" s="118"/>
      <c r="G771" s="118"/>
      <c r="H771" s="100"/>
      <c r="I771" s="100"/>
      <c r="J771" s="118"/>
      <c r="K771" s="118"/>
      <c r="L771" s="118"/>
      <c r="M771" s="118"/>
      <c r="N771" s="164"/>
      <c r="O771" s="161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  <c r="AI771" s="118"/>
      <c r="AJ771" s="118"/>
      <c r="AK771" s="118"/>
      <c r="AL771" s="118"/>
      <c r="AM771" s="118"/>
      <c r="AN771" s="118"/>
      <c r="AO771" s="118"/>
      <c r="AP771" s="118"/>
      <c r="AQ771" s="118"/>
      <c r="AR771" s="118"/>
      <c r="AS771" s="118"/>
    </row>
    <row r="772">
      <c r="A772" s="118"/>
      <c r="B772" s="118"/>
      <c r="C772" s="118"/>
      <c r="D772" s="118"/>
      <c r="E772" s="118"/>
      <c r="F772" s="118"/>
      <c r="G772" s="118"/>
      <c r="H772" s="100"/>
      <c r="I772" s="100"/>
      <c r="J772" s="118"/>
      <c r="K772" s="118"/>
      <c r="L772" s="118"/>
      <c r="M772" s="118"/>
      <c r="N772" s="164"/>
      <c r="O772" s="161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  <c r="AI772" s="118"/>
      <c r="AJ772" s="118"/>
      <c r="AK772" s="118"/>
      <c r="AL772" s="118"/>
      <c r="AM772" s="118"/>
      <c r="AN772" s="118"/>
      <c r="AO772" s="118"/>
      <c r="AP772" s="118"/>
      <c r="AQ772" s="118"/>
      <c r="AR772" s="118"/>
      <c r="AS772" s="118"/>
    </row>
    <row r="773">
      <c r="A773" s="118"/>
      <c r="B773" s="118"/>
      <c r="C773" s="118"/>
      <c r="D773" s="118"/>
      <c r="E773" s="118"/>
      <c r="F773" s="118"/>
      <c r="G773" s="118"/>
      <c r="H773" s="100"/>
      <c r="I773" s="100"/>
      <c r="J773" s="118"/>
      <c r="K773" s="118"/>
      <c r="L773" s="118"/>
      <c r="M773" s="118"/>
      <c r="N773" s="164"/>
      <c r="O773" s="161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  <c r="AI773" s="118"/>
      <c r="AJ773" s="118"/>
      <c r="AK773" s="118"/>
      <c r="AL773" s="118"/>
      <c r="AM773" s="118"/>
      <c r="AN773" s="118"/>
      <c r="AO773" s="118"/>
      <c r="AP773" s="118"/>
      <c r="AQ773" s="118"/>
      <c r="AR773" s="118"/>
      <c r="AS773" s="118"/>
    </row>
    <row r="774">
      <c r="A774" s="118"/>
      <c r="B774" s="118"/>
      <c r="C774" s="118"/>
      <c r="D774" s="118"/>
      <c r="E774" s="118"/>
      <c r="F774" s="118"/>
      <c r="G774" s="118"/>
      <c r="H774" s="100"/>
      <c r="I774" s="100"/>
      <c r="J774" s="118"/>
      <c r="K774" s="118"/>
      <c r="L774" s="118"/>
      <c r="M774" s="118"/>
      <c r="N774" s="164"/>
      <c r="O774" s="161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  <c r="AI774" s="118"/>
      <c r="AJ774" s="118"/>
      <c r="AK774" s="118"/>
      <c r="AL774" s="118"/>
      <c r="AM774" s="118"/>
      <c r="AN774" s="118"/>
      <c r="AO774" s="118"/>
      <c r="AP774" s="118"/>
      <c r="AQ774" s="118"/>
      <c r="AR774" s="118"/>
      <c r="AS774" s="118"/>
    </row>
    <row r="775">
      <c r="A775" s="118"/>
      <c r="B775" s="118"/>
      <c r="C775" s="118"/>
      <c r="D775" s="118"/>
      <c r="E775" s="118"/>
      <c r="F775" s="118"/>
      <c r="G775" s="118"/>
      <c r="H775" s="100"/>
      <c r="I775" s="100"/>
      <c r="J775" s="118"/>
      <c r="K775" s="118"/>
      <c r="L775" s="118"/>
      <c r="M775" s="118"/>
      <c r="N775" s="164"/>
      <c r="O775" s="161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  <c r="AL775" s="118"/>
      <c r="AM775" s="118"/>
      <c r="AN775" s="118"/>
      <c r="AO775" s="118"/>
      <c r="AP775" s="118"/>
      <c r="AQ775" s="118"/>
      <c r="AR775" s="118"/>
      <c r="AS775" s="118"/>
    </row>
    <row r="776">
      <c r="A776" s="118"/>
      <c r="B776" s="118"/>
      <c r="C776" s="118"/>
      <c r="D776" s="118"/>
      <c r="E776" s="118"/>
      <c r="F776" s="118"/>
      <c r="G776" s="118"/>
      <c r="H776" s="100"/>
      <c r="I776" s="100"/>
      <c r="J776" s="118"/>
      <c r="K776" s="118"/>
      <c r="L776" s="118"/>
      <c r="M776" s="118"/>
      <c r="N776" s="164"/>
      <c r="O776" s="161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  <c r="AI776" s="118"/>
      <c r="AJ776" s="118"/>
      <c r="AK776" s="118"/>
      <c r="AL776" s="118"/>
      <c r="AM776" s="118"/>
      <c r="AN776" s="118"/>
      <c r="AO776" s="118"/>
      <c r="AP776" s="118"/>
      <c r="AQ776" s="118"/>
      <c r="AR776" s="118"/>
      <c r="AS776" s="118"/>
    </row>
    <row r="777">
      <c r="A777" s="118"/>
      <c r="B777" s="118"/>
      <c r="C777" s="118"/>
      <c r="D777" s="118"/>
      <c r="E777" s="118"/>
      <c r="F777" s="118"/>
      <c r="G777" s="118"/>
      <c r="H777" s="100"/>
      <c r="I777" s="100"/>
      <c r="J777" s="118"/>
      <c r="K777" s="118"/>
      <c r="L777" s="118"/>
      <c r="M777" s="118"/>
      <c r="N777" s="164"/>
      <c r="O777" s="161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  <c r="AI777" s="118"/>
      <c r="AJ777" s="118"/>
      <c r="AK777" s="118"/>
      <c r="AL777" s="118"/>
      <c r="AM777" s="118"/>
      <c r="AN777" s="118"/>
      <c r="AO777" s="118"/>
      <c r="AP777" s="118"/>
      <c r="AQ777" s="118"/>
      <c r="AR777" s="118"/>
      <c r="AS777" s="118"/>
    </row>
    <row r="778">
      <c r="A778" s="118"/>
      <c r="B778" s="118"/>
      <c r="C778" s="118"/>
      <c r="D778" s="118"/>
      <c r="E778" s="118"/>
      <c r="F778" s="118"/>
      <c r="G778" s="118"/>
      <c r="H778" s="100"/>
      <c r="I778" s="100"/>
      <c r="J778" s="118"/>
      <c r="K778" s="118"/>
      <c r="L778" s="118"/>
      <c r="M778" s="118"/>
      <c r="N778" s="164"/>
      <c r="O778" s="161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  <c r="AI778" s="118"/>
      <c r="AJ778" s="118"/>
      <c r="AK778" s="118"/>
      <c r="AL778" s="118"/>
      <c r="AM778" s="118"/>
      <c r="AN778" s="118"/>
      <c r="AO778" s="118"/>
      <c r="AP778" s="118"/>
      <c r="AQ778" s="118"/>
      <c r="AR778" s="118"/>
      <c r="AS778" s="118"/>
    </row>
    <row r="779">
      <c r="A779" s="118"/>
      <c r="B779" s="118"/>
      <c r="C779" s="118"/>
      <c r="D779" s="118"/>
      <c r="E779" s="118"/>
      <c r="F779" s="118"/>
      <c r="G779" s="118"/>
      <c r="H779" s="100"/>
      <c r="I779" s="100"/>
      <c r="J779" s="118"/>
      <c r="K779" s="118"/>
      <c r="L779" s="118"/>
      <c r="M779" s="118"/>
      <c r="N779" s="164"/>
      <c r="O779" s="161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  <c r="AI779" s="118"/>
      <c r="AJ779" s="118"/>
      <c r="AK779" s="118"/>
      <c r="AL779" s="118"/>
      <c r="AM779" s="118"/>
      <c r="AN779" s="118"/>
      <c r="AO779" s="118"/>
      <c r="AP779" s="118"/>
      <c r="AQ779" s="118"/>
      <c r="AR779" s="118"/>
      <c r="AS779" s="118"/>
    </row>
    <row r="780">
      <c r="A780" s="118"/>
      <c r="B780" s="118"/>
      <c r="C780" s="118"/>
      <c r="D780" s="118"/>
      <c r="E780" s="118"/>
      <c r="F780" s="118"/>
      <c r="G780" s="118"/>
      <c r="H780" s="100"/>
      <c r="I780" s="100"/>
      <c r="J780" s="118"/>
      <c r="K780" s="118"/>
      <c r="L780" s="118"/>
      <c r="M780" s="118"/>
      <c r="N780" s="164"/>
      <c r="O780" s="161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  <c r="AI780" s="118"/>
      <c r="AJ780" s="118"/>
      <c r="AK780" s="118"/>
      <c r="AL780" s="118"/>
      <c r="AM780" s="118"/>
      <c r="AN780" s="118"/>
      <c r="AO780" s="118"/>
      <c r="AP780" s="118"/>
      <c r="AQ780" s="118"/>
      <c r="AR780" s="118"/>
      <c r="AS780" s="118"/>
    </row>
    <row r="781">
      <c r="A781" s="118"/>
      <c r="B781" s="118"/>
      <c r="C781" s="118"/>
      <c r="D781" s="118"/>
      <c r="E781" s="118"/>
      <c r="F781" s="118"/>
      <c r="G781" s="118"/>
      <c r="H781" s="100"/>
      <c r="I781" s="100"/>
      <c r="J781" s="118"/>
      <c r="K781" s="118"/>
      <c r="L781" s="118"/>
      <c r="M781" s="118"/>
      <c r="N781" s="164"/>
      <c r="O781" s="161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  <c r="AI781" s="118"/>
      <c r="AJ781" s="118"/>
      <c r="AK781" s="118"/>
      <c r="AL781" s="118"/>
      <c r="AM781" s="118"/>
      <c r="AN781" s="118"/>
      <c r="AO781" s="118"/>
      <c r="AP781" s="118"/>
      <c r="AQ781" s="118"/>
      <c r="AR781" s="118"/>
      <c r="AS781" s="118"/>
    </row>
    <row r="782">
      <c r="A782" s="118"/>
      <c r="B782" s="118"/>
      <c r="C782" s="118"/>
      <c r="D782" s="118"/>
      <c r="E782" s="118"/>
      <c r="F782" s="118"/>
      <c r="G782" s="118"/>
      <c r="H782" s="100"/>
      <c r="I782" s="100"/>
      <c r="J782" s="118"/>
      <c r="K782" s="118"/>
      <c r="L782" s="118"/>
      <c r="M782" s="118"/>
      <c r="N782" s="164"/>
      <c r="O782" s="161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  <c r="AI782" s="118"/>
      <c r="AJ782" s="118"/>
      <c r="AK782" s="118"/>
      <c r="AL782" s="118"/>
      <c r="AM782" s="118"/>
      <c r="AN782" s="118"/>
      <c r="AO782" s="118"/>
      <c r="AP782" s="118"/>
      <c r="AQ782" s="118"/>
      <c r="AR782" s="118"/>
      <c r="AS782" s="118"/>
    </row>
    <row r="783">
      <c r="A783" s="118"/>
      <c r="B783" s="118"/>
      <c r="C783" s="118"/>
      <c r="D783" s="118"/>
      <c r="E783" s="118"/>
      <c r="F783" s="118"/>
      <c r="G783" s="118"/>
      <c r="H783" s="100"/>
      <c r="I783" s="100"/>
      <c r="J783" s="118"/>
      <c r="K783" s="118"/>
      <c r="L783" s="118"/>
      <c r="M783" s="118"/>
      <c r="N783" s="164"/>
      <c r="O783" s="161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  <c r="AI783" s="118"/>
      <c r="AJ783" s="118"/>
      <c r="AK783" s="118"/>
      <c r="AL783" s="118"/>
      <c r="AM783" s="118"/>
      <c r="AN783" s="118"/>
      <c r="AO783" s="118"/>
      <c r="AP783" s="118"/>
      <c r="AQ783" s="118"/>
      <c r="AR783" s="118"/>
      <c r="AS783" s="118"/>
    </row>
    <row r="784">
      <c r="A784" s="118"/>
      <c r="B784" s="118"/>
      <c r="C784" s="118"/>
      <c r="D784" s="118"/>
      <c r="E784" s="118"/>
      <c r="F784" s="118"/>
      <c r="G784" s="118"/>
      <c r="H784" s="100"/>
      <c r="I784" s="100"/>
      <c r="J784" s="118"/>
      <c r="K784" s="118"/>
      <c r="L784" s="118"/>
      <c r="M784" s="118"/>
      <c r="N784" s="164"/>
      <c r="O784" s="161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8"/>
      <c r="AN784" s="118"/>
      <c r="AO784" s="118"/>
      <c r="AP784" s="118"/>
      <c r="AQ784" s="118"/>
      <c r="AR784" s="118"/>
      <c r="AS784" s="118"/>
    </row>
    <row r="785">
      <c r="A785" s="118"/>
      <c r="B785" s="118"/>
      <c r="C785" s="118"/>
      <c r="D785" s="118"/>
      <c r="E785" s="118"/>
      <c r="F785" s="118"/>
      <c r="G785" s="118"/>
      <c r="H785" s="100"/>
      <c r="I785" s="100"/>
      <c r="J785" s="118"/>
      <c r="K785" s="118"/>
      <c r="L785" s="118"/>
      <c r="M785" s="118"/>
      <c r="N785" s="164"/>
      <c r="O785" s="161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  <c r="AI785" s="118"/>
      <c r="AJ785" s="118"/>
      <c r="AK785" s="118"/>
      <c r="AL785" s="118"/>
      <c r="AM785" s="118"/>
      <c r="AN785" s="118"/>
      <c r="AO785" s="118"/>
      <c r="AP785" s="118"/>
      <c r="AQ785" s="118"/>
      <c r="AR785" s="118"/>
      <c r="AS785" s="118"/>
    </row>
    <row r="786">
      <c r="A786" s="118"/>
      <c r="B786" s="118"/>
      <c r="C786" s="118"/>
      <c r="D786" s="118"/>
      <c r="E786" s="118"/>
      <c r="F786" s="118"/>
      <c r="G786" s="118"/>
      <c r="H786" s="100"/>
      <c r="I786" s="100"/>
      <c r="J786" s="118"/>
      <c r="K786" s="118"/>
      <c r="L786" s="118"/>
      <c r="M786" s="118"/>
      <c r="N786" s="164"/>
      <c r="O786" s="161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  <c r="AI786" s="118"/>
      <c r="AJ786" s="118"/>
      <c r="AK786" s="118"/>
      <c r="AL786" s="118"/>
      <c r="AM786" s="118"/>
      <c r="AN786" s="118"/>
      <c r="AO786" s="118"/>
      <c r="AP786" s="118"/>
      <c r="AQ786" s="118"/>
      <c r="AR786" s="118"/>
      <c r="AS786" s="118"/>
    </row>
    <row r="787">
      <c r="A787" s="118"/>
      <c r="B787" s="118"/>
      <c r="C787" s="118"/>
      <c r="D787" s="118"/>
      <c r="E787" s="118"/>
      <c r="F787" s="118"/>
      <c r="G787" s="118"/>
      <c r="H787" s="100"/>
      <c r="I787" s="100"/>
      <c r="J787" s="118"/>
      <c r="K787" s="118"/>
      <c r="L787" s="118"/>
      <c r="M787" s="118"/>
      <c r="N787" s="164"/>
      <c r="O787" s="161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  <c r="AI787" s="118"/>
      <c r="AJ787" s="118"/>
      <c r="AK787" s="118"/>
      <c r="AL787" s="118"/>
      <c r="AM787" s="118"/>
      <c r="AN787" s="118"/>
      <c r="AO787" s="118"/>
      <c r="AP787" s="118"/>
      <c r="AQ787" s="118"/>
      <c r="AR787" s="118"/>
      <c r="AS787" s="118"/>
    </row>
    <row r="788">
      <c r="A788" s="118"/>
      <c r="B788" s="118"/>
      <c r="C788" s="118"/>
      <c r="D788" s="118"/>
      <c r="E788" s="118"/>
      <c r="F788" s="118"/>
      <c r="G788" s="118"/>
      <c r="H788" s="100"/>
      <c r="I788" s="100"/>
      <c r="J788" s="118"/>
      <c r="K788" s="118"/>
      <c r="L788" s="118"/>
      <c r="M788" s="118"/>
      <c r="N788" s="164"/>
      <c r="O788" s="161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  <c r="AI788" s="118"/>
      <c r="AJ788" s="118"/>
      <c r="AK788" s="118"/>
      <c r="AL788" s="118"/>
      <c r="AM788" s="118"/>
      <c r="AN788" s="118"/>
      <c r="AO788" s="118"/>
      <c r="AP788" s="118"/>
      <c r="AQ788" s="118"/>
      <c r="AR788" s="118"/>
      <c r="AS788" s="118"/>
    </row>
    <row r="789">
      <c r="A789" s="118"/>
      <c r="B789" s="118"/>
      <c r="C789" s="118"/>
      <c r="D789" s="118"/>
      <c r="E789" s="118"/>
      <c r="F789" s="118"/>
      <c r="G789" s="118"/>
      <c r="H789" s="100"/>
      <c r="I789" s="100"/>
      <c r="J789" s="118"/>
      <c r="K789" s="118"/>
      <c r="L789" s="118"/>
      <c r="M789" s="118"/>
      <c r="N789" s="164"/>
      <c r="O789" s="161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  <c r="AI789" s="118"/>
      <c r="AJ789" s="118"/>
      <c r="AK789" s="118"/>
      <c r="AL789" s="118"/>
      <c r="AM789" s="118"/>
      <c r="AN789" s="118"/>
      <c r="AO789" s="118"/>
      <c r="AP789" s="118"/>
      <c r="AQ789" s="118"/>
      <c r="AR789" s="118"/>
      <c r="AS789" s="118"/>
    </row>
    <row r="790">
      <c r="A790" s="118"/>
      <c r="B790" s="118"/>
      <c r="C790" s="118"/>
      <c r="D790" s="118"/>
      <c r="E790" s="118"/>
      <c r="F790" s="118"/>
      <c r="G790" s="118"/>
      <c r="H790" s="100"/>
      <c r="I790" s="100"/>
      <c r="J790" s="118"/>
      <c r="K790" s="118"/>
      <c r="L790" s="118"/>
      <c r="M790" s="118"/>
      <c r="N790" s="164"/>
      <c r="O790" s="161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  <c r="AI790" s="118"/>
      <c r="AJ790" s="118"/>
      <c r="AK790" s="118"/>
      <c r="AL790" s="118"/>
      <c r="AM790" s="118"/>
      <c r="AN790" s="118"/>
      <c r="AO790" s="118"/>
      <c r="AP790" s="118"/>
      <c r="AQ790" s="118"/>
      <c r="AR790" s="118"/>
      <c r="AS790" s="118"/>
    </row>
    <row r="791">
      <c r="A791" s="118"/>
      <c r="B791" s="118"/>
      <c r="C791" s="118"/>
      <c r="D791" s="118"/>
      <c r="E791" s="118"/>
      <c r="F791" s="118"/>
      <c r="G791" s="118"/>
      <c r="H791" s="100"/>
      <c r="I791" s="100"/>
      <c r="J791" s="118"/>
      <c r="K791" s="118"/>
      <c r="L791" s="118"/>
      <c r="M791" s="118"/>
      <c r="N791" s="164"/>
      <c r="O791" s="161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  <c r="AI791" s="118"/>
      <c r="AJ791" s="118"/>
      <c r="AK791" s="118"/>
      <c r="AL791" s="118"/>
      <c r="AM791" s="118"/>
      <c r="AN791" s="118"/>
      <c r="AO791" s="118"/>
      <c r="AP791" s="118"/>
      <c r="AQ791" s="118"/>
      <c r="AR791" s="118"/>
      <c r="AS791" s="118"/>
    </row>
    <row r="792">
      <c r="A792" s="118"/>
      <c r="B792" s="118"/>
      <c r="C792" s="118"/>
      <c r="D792" s="118"/>
      <c r="E792" s="118"/>
      <c r="F792" s="118"/>
      <c r="G792" s="118"/>
      <c r="H792" s="100"/>
      <c r="I792" s="100"/>
      <c r="J792" s="118"/>
      <c r="K792" s="118"/>
      <c r="L792" s="118"/>
      <c r="M792" s="118"/>
      <c r="N792" s="164"/>
      <c r="O792" s="161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  <c r="AI792" s="118"/>
      <c r="AJ792" s="118"/>
      <c r="AK792" s="118"/>
      <c r="AL792" s="118"/>
      <c r="AM792" s="118"/>
      <c r="AN792" s="118"/>
      <c r="AO792" s="118"/>
      <c r="AP792" s="118"/>
      <c r="AQ792" s="118"/>
      <c r="AR792" s="118"/>
      <c r="AS792" s="118"/>
    </row>
    <row r="793">
      <c r="A793" s="118"/>
      <c r="B793" s="118"/>
      <c r="C793" s="118"/>
      <c r="D793" s="118"/>
      <c r="E793" s="118"/>
      <c r="F793" s="118"/>
      <c r="G793" s="118"/>
      <c r="H793" s="100"/>
      <c r="I793" s="100"/>
      <c r="J793" s="118"/>
      <c r="K793" s="118"/>
      <c r="L793" s="118"/>
      <c r="M793" s="118"/>
      <c r="N793" s="164"/>
      <c r="O793" s="161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  <c r="AI793" s="118"/>
      <c r="AJ793" s="118"/>
      <c r="AK793" s="118"/>
      <c r="AL793" s="118"/>
      <c r="AM793" s="118"/>
      <c r="AN793" s="118"/>
      <c r="AO793" s="118"/>
      <c r="AP793" s="118"/>
      <c r="AQ793" s="118"/>
      <c r="AR793" s="118"/>
      <c r="AS793" s="118"/>
    </row>
    <row r="794">
      <c r="A794" s="118"/>
      <c r="B794" s="118"/>
      <c r="C794" s="118"/>
      <c r="D794" s="118"/>
      <c r="E794" s="118"/>
      <c r="F794" s="118"/>
      <c r="G794" s="118"/>
      <c r="H794" s="100"/>
      <c r="I794" s="100"/>
      <c r="J794" s="118"/>
      <c r="K794" s="118"/>
      <c r="L794" s="118"/>
      <c r="M794" s="118"/>
      <c r="N794" s="164"/>
      <c r="O794" s="161"/>
      <c r="P794" s="161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  <c r="AI794" s="118"/>
      <c r="AJ794" s="118"/>
      <c r="AK794" s="118"/>
      <c r="AL794" s="118"/>
      <c r="AM794" s="118"/>
      <c r="AN794" s="118"/>
      <c r="AO794" s="118"/>
      <c r="AP794" s="118"/>
      <c r="AQ794" s="118"/>
      <c r="AR794" s="118"/>
      <c r="AS794" s="118"/>
    </row>
    <row r="795">
      <c r="A795" s="118"/>
      <c r="B795" s="118"/>
      <c r="C795" s="118"/>
      <c r="D795" s="118"/>
      <c r="E795" s="118"/>
      <c r="F795" s="118"/>
      <c r="G795" s="118"/>
      <c r="H795" s="100"/>
      <c r="I795" s="100"/>
      <c r="J795" s="118"/>
      <c r="K795" s="118"/>
      <c r="L795" s="118"/>
      <c r="M795" s="118"/>
      <c r="N795" s="164"/>
      <c r="O795" s="161"/>
      <c r="P795" s="161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  <c r="AI795" s="118"/>
      <c r="AJ795" s="118"/>
      <c r="AK795" s="118"/>
      <c r="AL795" s="118"/>
      <c r="AM795" s="118"/>
      <c r="AN795" s="118"/>
      <c r="AO795" s="118"/>
      <c r="AP795" s="118"/>
      <c r="AQ795" s="118"/>
      <c r="AR795" s="118"/>
      <c r="AS795" s="118"/>
    </row>
    <row r="796">
      <c r="A796" s="118"/>
      <c r="B796" s="118"/>
      <c r="C796" s="118"/>
      <c r="D796" s="118"/>
      <c r="E796" s="118"/>
      <c r="F796" s="161"/>
      <c r="G796" s="161"/>
      <c r="H796" s="100"/>
      <c r="I796" s="100"/>
      <c r="J796" s="161"/>
      <c r="K796" s="161"/>
      <c r="L796" s="161"/>
      <c r="M796" s="161"/>
      <c r="N796" s="161"/>
      <c r="O796" s="161"/>
      <c r="P796" s="161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  <c r="AI796" s="118"/>
      <c r="AJ796" s="118"/>
      <c r="AK796" s="118"/>
      <c r="AL796" s="118"/>
      <c r="AM796" s="118"/>
      <c r="AN796" s="118"/>
      <c r="AO796" s="118"/>
      <c r="AP796" s="118"/>
      <c r="AQ796" s="118"/>
      <c r="AR796" s="118"/>
      <c r="AS796" s="118"/>
    </row>
    <row r="797">
      <c r="A797" s="118"/>
      <c r="B797" s="118"/>
      <c r="C797" s="118"/>
      <c r="D797" s="118"/>
      <c r="E797" s="118"/>
      <c r="F797" s="161"/>
      <c r="G797" s="161"/>
      <c r="H797" s="100"/>
      <c r="I797" s="100"/>
      <c r="J797" s="161"/>
      <c r="K797" s="161"/>
      <c r="L797" s="161"/>
      <c r="M797" s="161"/>
      <c r="N797" s="161"/>
      <c r="O797" s="161"/>
      <c r="P797" s="161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  <c r="AI797" s="118"/>
      <c r="AJ797" s="118"/>
      <c r="AK797" s="118"/>
      <c r="AL797" s="118"/>
      <c r="AM797" s="118"/>
      <c r="AN797" s="118"/>
      <c r="AO797" s="118"/>
      <c r="AP797" s="118"/>
      <c r="AQ797" s="118"/>
      <c r="AR797" s="118"/>
      <c r="AS797" s="118"/>
    </row>
    <row r="798">
      <c r="A798" s="118"/>
      <c r="B798" s="118"/>
      <c r="C798" s="118"/>
      <c r="D798" s="118"/>
      <c r="E798" s="118"/>
      <c r="F798" s="161"/>
      <c r="G798" s="161"/>
      <c r="H798" s="100"/>
      <c r="I798" s="100"/>
      <c r="J798" s="161"/>
      <c r="K798" s="161"/>
      <c r="L798" s="161"/>
      <c r="M798" s="161"/>
      <c r="N798" s="161"/>
      <c r="O798" s="161"/>
      <c r="P798" s="161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  <c r="AI798" s="118"/>
      <c r="AJ798" s="118"/>
      <c r="AK798" s="118"/>
      <c r="AL798" s="118"/>
      <c r="AM798" s="118"/>
      <c r="AN798" s="118"/>
      <c r="AO798" s="118"/>
      <c r="AP798" s="118"/>
      <c r="AQ798" s="118"/>
      <c r="AR798" s="118"/>
      <c r="AS798" s="118"/>
    </row>
    <row r="799">
      <c r="A799" s="118"/>
      <c r="B799" s="118"/>
      <c r="C799" s="118"/>
      <c r="D799" s="118"/>
      <c r="E799" s="118"/>
      <c r="F799" s="161"/>
      <c r="G799" s="161"/>
      <c r="H799" s="100"/>
      <c r="I799" s="100"/>
      <c r="J799" s="161"/>
      <c r="K799" s="161"/>
      <c r="L799" s="161"/>
      <c r="M799" s="161"/>
      <c r="N799" s="161"/>
      <c r="O799" s="161"/>
      <c r="P799" s="161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  <c r="AI799" s="118"/>
      <c r="AJ799" s="118"/>
      <c r="AK799" s="118"/>
      <c r="AL799" s="118"/>
      <c r="AM799" s="118"/>
      <c r="AN799" s="118"/>
      <c r="AO799" s="118"/>
      <c r="AP799" s="118"/>
      <c r="AQ799" s="118"/>
      <c r="AR799" s="118"/>
      <c r="AS799" s="118"/>
    </row>
    <row r="800">
      <c r="A800" s="118"/>
      <c r="B800" s="118"/>
      <c r="C800" s="118"/>
      <c r="D800" s="118"/>
      <c r="E800" s="118"/>
      <c r="F800" s="161"/>
      <c r="G800" s="161"/>
      <c r="H800" s="100"/>
      <c r="I800" s="100"/>
      <c r="J800" s="161"/>
      <c r="K800" s="161"/>
      <c r="L800" s="161"/>
      <c r="M800" s="161"/>
      <c r="N800" s="161"/>
      <c r="O800" s="161"/>
      <c r="P800" s="161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  <c r="AI800" s="118"/>
      <c r="AJ800" s="118"/>
      <c r="AK800" s="118"/>
      <c r="AL800" s="118"/>
      <c r="AM800" s="118"/>
      <c r="AN800" s="118"/>
      <c r="AO800" s="118"/>
      <c r="AP800" s="118"/>
      <c r="AQ800" s="118"/>
      <c r="AR800" s="118"/>
      <c r="AS800" s="118"/>
    </row>
    <row r="801">
      <c r="A801" s="118"/>
      <c r="B801" s="118"/>
      <c r="C801" s="118"/>
      <c r="D801" s="118"/>
      <c r="E801" s="118"/>
      <c r="F801" s="161"/>
      <c r="G801" s="161"/>
      <c r="H801" s="100"/>
      <c r="I801" s="100"/>
      <c r="J801" s="161"/>
      <c r="K801" s="161"/>
      <c r="L801" s="161"/>
      <c r="M801" s="161"/>
      <c r="N801" s="161"/>
      <c r="O801" s="161"/>
      <c r="P801" s="161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  <c r="AI801" s="118"/>
      <c r="AJ801" s="118"/>
      <c r="AK801" s="118"/>
      <c r="AL801" s="118"/>
      <c r="AM801" s="118"/>
      <c r="AN801" s="118"/>
      <c r="AO801" s="118"/>
      <c r="AP801" s="118"/>
      <c r="AQ801" s="118"/>
      <c r="AR801" s="118"/>
      <c r="AS801" s="118"/>
    </row>
    <row r="802">
      <c r="A802" s="118"/>
      <c r="B802" s="118"/>
      <c r="C802" s="118"/>
      <c r="D802" s="118"/>
      <c r="E802" s="118"/>
      <c r="F802" s="161"/>
      <c r="G802" s="161"/>
      <c r="H802" s="100"/>
      <c r="I802" s="100"/>
      <c r="J802" s="161"/>
      <c r="K802" s="161"/>
      <c r="L802" s="161"/>
      <c r="M802" s="161"/>
      <c r="N802" s="161"/>
      <c r="O802" s="161"/>
      <c r="P802" s="161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  <c r="AI802" s="118"/>
      <c r="AJ802" s="118"/>
      <c r="AK802" s="118"/>
      <c r="AL802" s="118"/>
      <c r="AM802" s="118"/>
      <c r="AN802" s="118"/>
      <c r="AO802" s="118"/>
      <c r="AP802" s="118"/>
      <c r="AQ802" s="118"/>
      <c r="AR802" s="118"/>
      <c r="AS802" s="118"/>
    </row>
    <row r="803">
      <c r="A803" s="118"/>
      <c r="B803" s="118"/>
      <c r="C803" s="118"/>
      <c r="D803" s="118"/>
      <c r="E803" s="118"/>
      <c r="F803" s="161"/>
      <c r="G803" s="161"/>
      <c r="H803" s="100"/>
      <c r="I803" s="100"/>
      <c r="J803" s="161"/>
      <c r="K803" s="161"/>
      <c r="L803" s="161"/>
      <c r="M803" s="161"/>
      <c r="N803" s="161"/>
      <c r="O803" s="161"/>
      <c r="P803" s="161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  <c r="AI803" s="118"/>
      <c r="AJ803" s="118"/>
      <c r="AK803" s="118"/>
      <c r="AL803" s="118"/>
      <c r="AM803" s="118"/>
      <c r="AN803" s="118"/>
      <c r="AO803" s="118"/>
      <c r="AP803" s="118"/>
      <c r="AQ803" s="118"/>
      <c r="AR803" s="118"/>
      <c r="AS803" s="118"/>
    </row>
    <row r="804">
      <c r="A804" s="118"/>
      <c r="B804" s="118"/>
      <c r="C804" s="118"/>
      <c r="D804" s="118"/>
      <c r="E804" s="118"/>
      <c r="F804" s="161"/>
      <c r="G804" s="161"/>
      <c r="H804" s="100"/>
      <c r="I804" s="100"/>
      <c r="J804" s="161"/>
      <c r="K804" s="161"/>
      <c r="L804" s="161"/>
      <c r="M804" s="161"/>
      <c r="N804" s="161"/>
      <c r="O804" s="161"/>
      <c r="P804" s="161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  <c r="AI804" s="118"/>
      <c r="AJ804" s="118"/>
      <c r="AK804" s="118"/>
      <c r="AL804" s="118"/>
      <c r="AM804" s="118"/>
      <c r="AN804" s="118"/>
      <c r="AO804" s="118"/>
      <c r="AP804" s="118"/>
      <c r="AQ804" s="118"/>
      <c r="AR804" s="118"/>
      <c r="AS804" s="118"/>
    </row>
    <row r="805">
      <c r="A805" s="118"/>
      <c r="B805" s="118"/>
      <c r="C805" s="118"/>
      <c r="D805" s="118"/>
      <c r="E805" s="118"/>
      <c r="F805" s="161"/>
      <c r="G805" s="161"/>
      <c r="H805" s="1"/>
      <c r="I805" s="1"/>
      <c r="J805" s="161"/>
      <c r="K805" s="161"/>
      <c r="L805" s="161"/>
      <c r="M805" s="161"/>
      <c r="N805" s="161"/>
      <c r="O805" s="161"/>
      <c r="P805" s="161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  <c r="AI805" s="118"/>
      <c r="AJ805" s="118"/>
      <c r="AK805" s="118"/>
      <c r="AL805" s="118"/>
      <c r="AM805" s="118"/>
      <c r="AN805" s="118"/>
      <c r="AO805" s="118"/>
      <c r="AP805" s="118"/>
      <c r="AQ805" s="118"/>
      <c r="AR805" s="118"/>
      <c r="AS805" s="118"/>
    </row>
    <row r="806">
      <c r="A806" s="118"/>
      <c r="B806" s="118"/>
      <c r="C806" s="118"/>
      <c r="D806" s="118"/>
      <c r="E806" s="118"/>
      <c r="F806" s="161"/>
      <c r="G806" s="161"/>
      <c r="H806" s="1"/>
      <c r="I806" s="1"/>
      <c r="J806" s="161"/>
      <c r="K806" s="161"/>
      <c r="L806" s="161"/>
      <c r="M806" s="161"/>
      <c r="N806" s="161"/>
      <c r="O806" s="161"/>
      <c r="P806" s="161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  <c r="AI806" s="118"/>
      <c r="AJ806" s="118"/>
      <c r="AK806" s="118"/>
      <c r="AL806" s="118"/>
      <c r="AM806" s="118"/>
      <c r="AN806" s="118"/>
      <c r="AO806" s="118"/>
      <c r="AP806" s="118"/>
      <c r="AQ806" s="118"/>
      <c r="AR806" s="118"/>
      <c r="AS806" s="118"/>
    </row>
    <row r="807">
      <c r="A807" s="118"/>
      <c r="B807" s="118"/>
      <c r="C807" s="118"/>
      <c r="D807" s="118"/>
      <c r="E807" s="118"/>
      <c r="F807" s="161"/>
      <c r="G807" s="161"/>
      <c r="H807" s="1"/>
      <c r="I807" s="1"/>
      <c r="J807" s="161"/>
      <c r="K807" s="161"/>
      <c r="L807" s="161"/>
      <c r="M807" s="161"/>
      <c r="N807" s="161"/>
      <c r="O807" s="161"/>
      <c r="P807" s="161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  <c r="AI807" s="118"/>
      <c r="AJ807" s="118"/>
      <c r="AK807" s="118"/>
      <c r="AL807" s="118"/>
      <c r="AM807" s="118"/>
      <c r="AN807" s="118"/>
      <c r="AO807" s="118"/>
      <c r="AP807" s="118"/>
      <c r="AQ807" s="118"/>
      <c r="AR807" s="118"/>
      <c r="AS807" s="118"/>
    </row>
    <row r="808">
      <c r="A808" s="118"/>
      <c r="B808" s="118"/>
      <c r="C808" s="118"/>
      <c r="D808" s="118"/>
      <c r="E808" s="118"/>
      <c r="F808" s="161"/>
      <c r="G808" s="161"/>
      <c r="H808" s="1"/>
      <c r="I808" s="1"/>
      <c r="J808" s="161"/>
      <c r="K808" s="161"/>
      <c r="L808" s="161"/>
      <c r="M808" s="161"/>
      <c r="N808" s="161"/>
      <c r="O808" s="161"/>
      <c r="P808" s="161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  <c r="AI808" s="118"/>
      <c r="AJ808" s="118"/>
      <c r="AK808" s="118"/>
      <c r="AL808" s="118"/>
      <c r="AM808" s="118"/>
      <c r="AN808" s="118"/>
      <c r="AO808" s="118"/>
      <c r="AP808" s="118"/>
      <c r="AQ808" s="118"/>
      <c r="AR808" s="118"/>
      <c r="AS808" s="118"/>
    </row>
    <row r="809">
      <c r="A809" s="118"/>
      <c r="B809" s="118"/>
      <c r="C809" s="118"/>
      <c r="D809" s="118"/>
      <c r="E809" s="118"/>
      <c r="F809" s="161"/>
      <c r="G809" s="161"/>
      <c r="H809" s="1"/>
      <c r="I809" s="1"/>
      <c r="J809" s="161"/>
      <c r="K809" s="161"/>
      <c r="L809" s="161"/>
      <c r="M809" s="161"/>
      <c r="N809" s="161"/>
      <c r="O809" s="161"/>
      <c r="P809" s="161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  <c r="AI809" s="118"/>
      <c r="AJ809" s="118"/>
      <c r="AK809" s="118"/>
      <c r="AL809" s="118"/>
      <c r="AM809" s="118"/>
      <c r="AN809" s="118"/>
      <c r="AO809" s="118"/>
      <c r="AP809" s="118"/>
      <c r="AQ809" s="118"/>
      <c r="AR809" s="118"/>
      <c r="AS809" s="118"/>
    </row>
    <row r="810">
      <c r="A810" s="118"/>
      <c r="B810" s="118"/>
      <c r="C810" s="118"/>
      <c r="D810" s="118"/>
      <c r="E810" s="118"/>
      <c r="F810" s="161"/>
      <c r="G810" s="161"/>
      <c r="H810" s="1"/>
      <c r="I810" s="1"/>
      <c r="J810" s="161"/>
      <c r="K810" s="161"/>
      <c r="L810" s="161"/>
      <c r="M810" s="161"/>
      <c r="N810" s="161"/>
      <c r="O810" s="161"/>
      <c r="P810" s="161"/>
      <c r="Q810" s="161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  <c r="AI810" s="118"/>
      <c r="AJ810" s="118"/>
      <c r="AK810" s="118"/>
      <c r="AL810" s="118"/>
      <c r="AM810" s="118"/>
      <c r="AN810" s="118"/>
      <c r="AO810" s="118"/>
      <c r="AP810" s="118"/>
      <c r="AQ810" s="118"/>
      <c r="AR810" s="118"/>
      <c r="AS810" s="118"/>
    </row>
    <row r="811">
      <c r="A811" s="118"/>
      <c r="B811" s="118"/>
      <c r="C811" s="118"/>
      <c r="D811" s="118"/>
      <c r="E811" s="118"/>
      <c r="F811" s="161"/>
      <c r="G811" s="161"/>
      <c r="H811" s="1"/>
      <c r="I811" s="1"/>
      <c r="J811" s="161"/>
      <c r="K811" s="161"/>
      <c r="L811" s="161"/>
      <c r="M811" s="161"/>
      <c r="N811" s="161"/>
      <c r="O811" s="161"/>
      <c r="P811" s="161"/>
      <c r="Q811" s="161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  <c r="AI811" s="118"/>
      <c r="AJ811" s="118"/>
      <c r="AK811" s="118"/>
      <c r="AL811" s="118"/>
      <c r="AM811" s="118"/>
      <c r="AN811" s="118"/>
      <c r="AO811" s="118"/>
      <c r="AP811" s="118"/>
      <c r="AQ811" s="118"/>
      <c r="AR811" s="118"/>
      <c r="AS811" s="118"/>
    </row>
    <row r="812">
      <c r="A812" s="118"/>
      <c r="B812" s="118"/>
      <c r="C812" s="118"/>
      <c r="D812" s="118"/>
      <c r="E812" s="118"/>
      <c r="F812" s="161"/>
      <c r="G812" s="161"/>
      <c r="H812" s="1"/>
      <c r="I812" s="1"/>
      <c r="J812" s="161"/>
      <c r="K812" s="161"/>
      <c r="L812" s="161"/>
      <c r="M812" s="161"/>
      <c r="N812" s="161"/>
      <c r="O812" s="161"/>
      <c r="P812" s="161"/>
      <c r="Q812" s="161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  <c r="AI812" s="118"/>
      <c r="AJ812" s="118"/>
      <c r="AK812" s="118"/>
      <c r="AL812" s="118"/>
      <c r="AM812" s="118"/>
      <c r="AN812" s="118"/>
      <c r="AO812" s="118"/>
      <c r="AP812" s="118"/>
      <c r="AQ812" s="118"/>
      <c r="AR812" s="118"/>
      <c r="AS812" s="118"/>
    </row>
    <row r="813">
      <c r="A813" s="118"/>
      <c r="B813" s="118"/>
      <c r="C813" s="118"/>
      <c r="D813" s="118"/>
      <c r="E813" s="118"/>
      <c r="F813" s="161"/>
      <c r="G813" s="161"/>
      <c r="H813" s="1"/>
      <c r="I813" s="1"/>
      <c r="J813" s="161"/>
      <c r="K813" s="161"/>
      <c r="L813" s="161"/>
      <c r="M813" s="161"/>
      <c r="N813" s="161"/>
      <c r="O813" s="161"/>
      <c r="P813" s="161"/>
      <c r="Q813" s="161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  <c r="AI813" s="118"/>
      <c r="AJ813" s="118"/>
      <c r="AK813" s="118"/>
      <c r="AL813" s="118"/>
      <c r="AM813" s="118"/>
      <c r="AN813" s="118"/>
      <c r="AO813" s="118"/>
      <c r="AP813" s="118"/>
      <c r="AQ813" s="118"/>
      <c r="AR813" s="118"/>
      <c r="AS813" s="118"/>
    </row>
    <row r="814">
      <c r="A814" s="118"/>
      <c r="B814" s="118"/>
      <c r="C814" s="118"/>
      <c r="D814" s="118"/>
      <c r="E814" s="118"/>
      <c r="F814" s="161"/>
      <c r="G814" s="161"/>
      <c r="H814" s="1"/>
      <c r="I814" s="1"/>
      <c r="J814" s="161"/>
      <c r="K814" s="161"/>
      <c r="L814" s="161"/>
      <c r="M814" s="161"/>
      <c r="N814" s="161"/>
      <c r="O814" s="161"/>
      <c r="P814" s="161"/>
      <c r="Q814" s="161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  <c r="AI814" s="118"/>
      <c r="AJ814" s="118"/>
      <c r="AK814" s="118"/>
      <c r="AL814" s="118"/>
      <c r="AM814" s="118"/>
      <c r="AN814" s="118"/>
      <c r="AO814" s="118"/>
      <c r="AP814" s="118"/>
      <c r="AQ814" s="118"/>
      <c r="AR814" s="118"/>
      <c r="AS814" s="118"/>
    </row>
    <row r="815">
      <c r="A815" s="118"/>
      <c r="B815" s="118"/>
      <c r="C815" s="118"/>
      <c r="D815" s="118"/>
      <c r="E815" s="118"/>
      <c r="F815" s="161"/>
      <c r="G815" s="161"/>
      <c r="H815" s="1"/>
      <c r="I815" s="1"/>
      <c r="J815" s="161"/>
      <c r="K815" s="161"/>
      <c r="L815" s="161"/>
      <c r="M815" s="161"/>
      <c r="N815" s="161"/>
      <c r="O815" s="161"/>
      <c r="P815" s="161"/>
      <c r="Q815" s="161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  <c r="AI815" s="118"/>
      <c r="AJ815" s="118"/>
      <c r="AK815" s="118"/>
      <c r="AL815" s="118"/>
      <c r="AM815" s="118"/>
      <c r="AN815" s="118"/>
      <c r="AO815" s="118"/>
      <c r="AP815" s="118"/>
      <c r="AQ815" s="118"/>
      <c r="AR815" s="118"/>
      <c r="AS815" s="118"/>
    </row>
    <row r="816">
      <c r="A816" s="118"/>
      <c r="B816" s="118"/>
      <c r="C816" s="118"/>
      <c r="D816" s="118"/>
      <c r="E816" s="118"/>
      <c r="F816" s="161"/>
      <c r="G816" s="161"/>
      <c r="H816" s="1"/>
      <c r="I816" s="1"/>
      <c r="J816" s="161"/>
      <c r="K816" s="161"/>
      <c r="L816" s="161"/>
      <c r="M816" s="161"/>
      <c r="N816" s="161"/>
      <c r="O816" s="161"/>
      <c r="P816" s="161"/>
      <c r="Q816" s="161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</row>
    <row r="817">
      <c r="A817" s="118"/>
      <c r="B817" s="118"/>
      <c r="C817" s="118"/>
      <c r="D817" s="118"/>
      <c r="E817" s="118"/>
      <c r="F817" s="161"/>
      <c r="G817" s="161"/>
      <c r="H817" s="1"/>
      <c r="I817" s="1"/>
      <c r="J817" s="161"/>
      <c r="K817" s="161"/>
      <c r="L817" s="161"/>
      <c r="M817" s="161"/>
      <c r="N817" s="161"/>
      <c r="O817" s="161"/>
      <c r="P817" s="161"/>
      <c r="Q817" s="161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  <c r="AI817" s="118"/>
      <c r="AJ817" s="118"/>
      <c r="AK817" s="118"/>
      <c r="AL817" s="118"/>
      <c r="AM817" s="118"/>
      <c r="AN817" s="118"/>
      <c r="AO817" s="118"/>
      <c r="AP817" s="118"/>
      <c r="AQ817" s="118"/>
      <c r="AR817" s="118"/>
      <c r="AS817" s="118"/>
    </row>
    <row r="818">
      <c r="A818" s="118"/>
      <c r="B818" s="118"/>
      <c r="C818" s="118"/>
      <c r="D818" s="118"/>
      <c r="E818" s="118"/>
      <c r="F818" s="161"/>
      <c r="G818" s="161"/>
      <c r="H818" s="1"/>
      <c r="I818" s="1"/>
      <c r="J818" s="161"/>
      <c r="K818" s="161"/>
      <c r="L818" s="161"/>
      <c r="M818" s="161"/>
      <c r="N818" s="161"/>
      <c r="O818" s="161"/>
      <c r="P818" s="161"/>
      <c r="Q818" s="161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  <c r="AI818" s="118"/>
      <c r="AJ818" s="118"/>
      <c r="AK818" s="118"/>
      <c r="AL818" s="118"/>
      <c r="AM818" s="118"/>
      <c r="AN818" s="118"/>
      <c r="AO818" s="118"/>
      <c r="AP818" s="118"/>
      <c r="AQ818" s="118"/>
      <c r="AR818" s="118"/>
      <c r="AS818" s="118"/>
    </row>
    <row r="819">
      <c r="A819" s="118"/>
      <c r="B819" s="118"/>
      <c r="C819" s="118"/>
      <c r="D819" s="118"/>
      <c r="E819" s="118"/>
      <c r="F819" s="161"/>
      <c r="G819" s="161"/>
      <c r="H819" s="1"/>
      <c r="I819" s="1"/>
      <c r="J819" s="161"/>
      <c r="K819" s="161"/>
      <c r="L819" s="161"/>
      <c r="M819" s="161"/>
      <c r="N819" s="161"/>
      <c r="O819" s="161"/>
      <c r="P819" s="161"/>
      <c r="Q819" s="161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  <c r="AI819" s="118"/>
      <c r="AJ819" s="118"/>
      <c r="AK819" s="118"/>
      <c r="AL819" s="118"/>
      <c r="AM819" s="118"/>
      <c r="AN819" s="118"/>
      <c r="AO819" s="118"/>
      <c r="AP819" s="118"/>
      <c r="AQ819" s="118"/>
      <c r="AR819" s="118"/>
      <c r="AS819" s="118"/>
    </row>
    <row r="820">
      <c r="A820" s="118"/>
      <c r="B820" s="118"/>
      <c r="C820" s="118"/>
      <c r="D820" s="118"/>
      <c r="E820" s="118"/>
      <c r="F820" s="161"/>
      <c r="G820" s="161"/>
      <c r="H820" s="1"/>
      <c r="I820" s="1"/>
      <c r="J820" s="161"/>
      <c r="K820" s="161"/>
      <c r="L820" s="161"/>
      <c r="M820" s="161"/>
      <c r="N820" s="161"/>
      <c r="O820" s="161"/>
      <c r="P820" s="161"/>
      <c r="Q820" s="161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  <c r="AI820" s="118"/>
      <c r="AJ820" s="118"/>
      <c r="AK820" s="118"/>
      <c r="AL820" s="118"/>
      <c r="AM820" s="118"/>
      <c r="AN820" s="118"/>
      <c r="AO820" s="118"/>
      <c r="AP820" s="118"/>
      <c r="AQ820" s="118"/>
      <c r="AR820" s="118"/>
      <c r="AS820" s="118"/>
    </row>
    <row r="821">
      <c r="A821" s="118"/>
      <c r="B821" s="118"/>
      <c r="C821" s="118"/>
      <c r="D821" s="118"/>
      <c r="E821" s="118"/>
      <c r="F821" s="161"/>
      <c r="G821" s="161"/>
      <c r="H821" s="1"/>
      <c r="I821" s="1"/>
      <c r="J821" s="161"/>
      <c r="K821" s="161"/>
      <c r="L821" s="161"/>
      <c r="M821" s="161"/>
      <c r="N821" s="161"/>
      <c r="O821" s="161"/>
      <c r="P821" s="161"/>
      <c r="Q821" s="161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  <c r="AI821" s="118"/>
      <c r="AJ821" s="118"/>
      <c r="AK821" s="118"/>
      <c r="AL821" s="118"/>
      <c r="AM821" s="118"/>
      <c r="AN821" s="118"/>
      <c r="AO821" s="118"/>
      <c r="AP821" s="118"/>
      <c r="AQ821" s="118"/>
      <c r="AR821" s="118"/>
      <c r="AS821" s="118"/>
    </row>
    <row r="822">
      <c r="A822" s="118"/>
      <c r="B822" s="118"/>
      <c r="C822" s="118"/>
      <c r="D822" s="118"/>
      <c r="E822" s="118"/>
      <c r="F822" s="161"/>
      <c r="G822" s="161"/>
      <c r="H822" s="1"/>
      <c r="I822" s="1"/>
      <c r="J822" s="161"/>
      <c r="K822" s="161"/>
      <c r="L822" s="161"/>
      <c r="M822" s="161"/>
      <c r="N822" s="161"/>
      <c r="O822" s="161"/>
      <c r="P822" s="161"/>
      <c r="Q822" s="161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8"/>
      <c r="AN822" s="118"/>
      <c r="AO822" s="118"/>
      <c r="AP822" s="118"/>
      <c r="AQ822" s="118"/>
      <c r="AR822" s="118"/>
      <c r="AS822" s="118"/>
    </row>
    <row r="823">
      <c r="A823" s="118"/>
      <c r="B823" s="118"/>
      <c r="C823" s="118"/>
      <c r="D823" s="118"/>
      <c r="E823" s="118"/>
      <c r="F823" s="161"/>
      <c r="G823" s="161"/>
      <c r="H823" s="1"/>
      <c r="I823" s="1"/>
      <c r="J823" s="161"/>
      <c r="K823" s="161"/>
      <c r="L823" s="161"/>
      <c r="M823" s="161"/>
      <c r="N823" s="161"/>
      <c r="O823" s="161"/>
      <c r="P823" s="161"/>
      <c r="Q823" s="161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  <c r="AI823" s="118"/>
      <c r="AJ823" s="118"/>
      <c r="AK823" s="118"/>
      <c r="AL823" s="118"/>
      <c r="AM823" s="118"/>
      <c r="AN823" s="118"/>
      <c r="AO823" s="118"/>
      <c r="AP823" s="118"/>
      <c r="AQ823" s="118"/>
      <c r="AR823" s="118"/>
      <c r="AS823" s="118"/>
    </row>
    <row r="824">
      <c r="A824" s="118"/>
      <c r="B824" s="118"/>
      <c r="C824" s="118"/>
      <c r="D824" s="118"/>
      <c r="E824" s="118"/>
      <c r="F824" s="161"/>
      <c r="G824" s="161"/>
      <c r="H824" s="1"/>
      <c r="I824" s="1"/>
      <c r="J824" s="161"/>
      <c r="K824" s="161"/>
      <c r="L824" s="161"/>
      <c r="M824" s="161"/>
      <c r="N824" s="161"/>
      <c r="O824" s="161"/>
      <c r="P824" s="161"/>
      <c r="Q824" s="161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  <c r="AI824" s="118"/>
      <c r="AJ824" s="118"/>
      <c r="AK824" s="118"/>
      <c r="AL824" s="118"/>
      <c r="AM824" s="118"/>
      <c r="AN824" s="118"/>
      <c r="AO824" s="118"/>
      <c r="AP824" s="118"/>
      <c r="AQ824" s="118"/>
      <c r="AR824" s="118"/>
      <c r="AS824" s="118"/>
    </row>
    <row r="825">
      <c r="A825" s="118"/>
      <c r="B825" s="118"/>
      <c r="C825" s="118"/>
      <c r="D825" s="118"/>
      <c r="E825" s="118"/>
      <c r="F825" s="161"/>
      <c r="G825" s="161"/>
      <c r="H825" s="1"/>
      <c r="I825" s="1"/>
      <c r="J825" s="161"/>
      <c r="K825" s="161"/>
      <c r="L825" s="161"/>
      <c r="M825" s="161"/>
      <c r="N825" s="161"/>
      <c r="O825" s="161"/>
      <c r="P825" s="161"/>
      <c r="Q825" s="161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  <c r="AI825" s="118"/>
      <c r="AJ825" s="118"/>
      <c r="AK825" s="118"/>
      <c r="AL825" s="118"/>
      <c r="AM825" s="118"/>
      <c r="AN825" s="118"/>
      <c r="AO825" s="118"/>
      <c r="AP825" s="118"/>
      <c r="AQ825" s="118"/>
      <c r="AR825" s="118"/>
      <c r="AS825" s="118"/>
    </row>
    <row r="826">
      <c r="A826" s="118"/>
      <c r="B826" s="118"/>
      <c r="C826" s="118"/>
      <c r="D826" s="118"/>
      <c r="E826" s="118"/>
      <c r="F826" s="161"/>
      <c r="G826" s="161"/>
      <c r="H826" s="1"/>
      <c r="I826" s="1"/>
      <c r="J826" s="161"/>
      <c r="K826" s="161"/>
      <c r="L826" s="161"/>
      <c r="M826" s="161"/>
      <c r="N826" s="161"/>
      <c r="O826" s="161"/>
      <c r="P826" s="161"/>
      <c r="Q826" s="161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  <c r="AI826" s="118"/>
      <c r="AJ826" s="118"/>
      <c r="AK826" s="118"/>
      <c r="AL826" s="118"/>
      <c r="AM826" s="118"/>
      <c r="AN826" s="118"/>
      <c r="AO826" s="118"/>
      <c r="AP826" s="118"/>
      <c r="AQ826" s="118"/>
      <c r="AR826" s="118"/>
      <c r="AS826" s="118"/>
    </row>
    <row r="827">
      <c r="A827" s="118"/>
      <c r="B827" s="118"/>
      <c r="C827" s="118"/>
      <c r="D827" s="118"/>
      <c r="E827" s="118"/>
      <c r="F827" s="161"/>
      <c r="G827" s="161"/>
      <c r="H827" s="1"/>
      <c r="I827" s="1"/>
      <c r="J827" s="161"/>
      <c r="K827" s="161"/>
      <c r="L827" s="161"/>
      <c r="M827" s="161"/>
      <c r="N827" s="161"/>
      <c r="O827" s="161"/>
      <c r="P827" s="161"/>
      <c r="Q827" s="161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  <c r="AI827" s="118"/>
      <c r="AJ827" s="118"/>
      <c r="AK827" s="118"/>
      <c r="AL827" s="118"/>
      <c r="AM827" s="118"/>
      <c r="AN827" s="118"/>
      <c r="AO827" s="118"/>
      <c r="AP827" s="118"/>
      <c r="AQ827" s="118"/>
      <c r="AR827" s="118"/>
      <c r="AS827" s="118"/>
    </row>
    <row r="828">
      <c r="A828" s="118"/>
      <c r="B828" s="118"/>
      <c r="C828" s="118"/>
      <c r="D828" s="118"/>
      <c r="E828" s="118"/>
      <c r="F828" s="161"/>
      <c r="G828" s="161"/>
      <c r="H828" s="1"/>
      <c r="I828" s="1"/>
      <c r="J828" s="161"/>
      <c r="K828" s="161"/>
      <c r="L828" s="161"/>
      <c r="M828" s="161"/>
      <c r="N828" s="161"/>
      <c r="O828" s="161"/>
      <c r="P828" s="161"/>
      <c r="Q828" s="161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  <c r="AI828" s="118"/>
      <c r="AJ828" s="118"/>
      <c r="AK828" s="118"/>
      <c r="AL828" s="118"/>
      <c r="AM828" s="118"/>
      <c r="AN828" s="118"/>
      <c r="AO828" s="118"/>
      <c r="AP828" s="118"/>
      <c r="AQ828" s="118"/>
      <c r="AR828" s="118"/>
      <c r="AS828" s="118"/>
    </row>
    <row r="829">
      <c r="A829" s="118"/>
      <c r="B829" s="118"/>
      <c r="C829" s="118"/>
      <c r="D829" s="118"/>
      <c r="E829" s="118"/>
      <c r="F829" s="161"/>
      <c r="G829" s="161"/>
      <c r="H829" s="1"/>
      <c r="I829" s="1"/>
      <c r="J829" s="161"/>
      <c r="K829" s="161"/>
      <c r="L829" s="161"/>
      <c r="M829" s="161"/>
      <c r="N829" s="161"/>
      <c r="O829" s="161"/>
      <c r="P829" s="161"/>
      <c r="Q829" s="161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  <c r="AL829" s="118"/>
      <c r="AM829" s="118"/>
      <c r="AN829" s="118"/>
      <c r="AO829" s="118"/>
      <c r="AP829" s="118"/>
      <c r="AQ829" s="118"/>
      <c r="AR829" s="118"/>
      <c r="AS829" s="118"/>
    </row>
    <row r="830">
      <c r="A830" s="118"/>
      <c r="B830" s="118"/>
      <c r="C830" s="118"/>
      <c r="D830" s="118"/>
      <c r="E830" s="118"/>
      <c r="F830" s="161"/>
      <c r="G830" s="161"/>
      <c r="H830" s="1"/>
      <c r="I830" s="1"/>
      <c r="J830" s="161"/>
      <c r="K830" s="161"/>
      <c r="L830" s="161"/>
      <c r="M830" s="161"/>
      <c r="N830" s="161"/>
      <c r="O830" s="161"/>
      <c r="P830" s="161"/>
      <c r="Q830" s="161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  <c r="AL830" s="118"/>
      <c r="AM830" s="118"/>
      <c r="AN830" s="118"/>
      <c r="AO830" s="118"/>
      <c r="AP830" s="118"/>
      <c r="AQ830" s="118"/>
      <c r="AR830" s="118"/>
      <c r="AS830" s="118"/>
    </row>
  </sheetData>
  <mergeCells count="15">
    <mergeCell ref="G3:G4"/>
    <mergeCell ref="H3:H4"/>
    <mergeCell ref="I3:I4"/>
    <mergeCell ref="J3:M3"/>
    <mergeCell ref="N3:N4"/>
    <mergeCell ref="O3:O4"/>
    <mergeCell ref="P3:P4"/>
    <mergeCell ref="Q3:Q4"/>
    <mergeCell ref="J1:M1"/>
    <mergeCell ref="A3:A4"/>
    <mergeCell ref="B3:B4"/>
    <mergeCell ref="C3:C4"/>
    <mergeCell ref="D3:D4"/>
    <mergeCell ref="E3:E4"/>
    <mergeCell ref="F3:F4"/>
  </mergeCells>
  <drawing r:id="rId4"/>
  <legacyDrawing r:id="rId5"/>
</worksheet>
</file>